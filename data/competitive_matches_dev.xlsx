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e2d545616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es" sheetId="1" r:id="Rfd9a2507fe45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0.00"/>
    <x:numFmt numFmtId="203" formatCode="0.0%"/>
  </x:numFmts>
  <x:fonts count="4">
    <x:font>
      <x:sz val="11"/>
      <x:name val="Carlito"/>
    </x:font>
    <x:font>
      <x:b/>
      <x:sz val="14"/>
      <x:name val="Arial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c56423133f443b" /><Relationship Type="http://schemas.openxmlformats.org/officeDocument/2006/relationships/theme" Target="/xl/theme/theme1.xml" Id="R79c6d8ac88a24e12" /><Relationship Type="http://schemas.openxmlformats.org/officeDocument/2006/relationships/sharedStrings" Target="/xl/sharedStrings.xml" Id="Rd2a1a718682d4447" /><Relationship Type="http://schemas.openxmlformats.org/officeDocument/2006/relationships/worksheet" Target="/xl/worksheets/sheet1.xml" Id="Rfd9a2507fe4546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1" hidden="0" customWidth="1"/>
    <x:col min="5" max="5" width="13" hidden="0" customWidth="1"/>
    <x:col min="6" max="6" width="10" hidden="0" customWidth="1"/>
    <x:col min="7" max="7" width="11" hidden="0" customWidth="1"/>
    <x:col min="8" max="8" width="10" hidden="0" customWidth="1"/>
    <x:col min="9" max="9" width="9" hidden="0" customWidth="1"/>
    <x:col min="10" max="10" width="11" hidden="0" customWidth="1"/>
    <x:col min="11" max="11" width="12" hidden="0" customWidth="1"/>
    <x:col min="12" max="12" width="9" hidden="0" customWidth="1"/>
    <x:col min="13" max="13" width="9" hidden="0" customWidth="1"/>
    <x:col min="14" max="14" width="9" hidden="0" customWidth="1"/>
    <x:col min="15" max="15" width="10" hidden="0" customWidth="1"/>
    <x:col min="16" max="16" width="12" hidden="0" customWidth="1"/>
    <x:col min="17" max="17" width="13" hidden="0" customWidth="1"/>
    <x:col min="18" max="18" width="13" hidden="0" customWidth="1"/>
    <x:col min="19" max="19" width="29" hidden="0" customWidth="1"/>
    <x:col min="20" max="20" width="23" hidden="0" customWidth="1"/>
    <x:col min="21" max="21" width="24" hidden="0" customWidth="1"/>
    <x:col min="22" max="22" width="19" hidden="0" customWidth="1"/>
  </x:cols>
  <x:sheetData>
    <x:row r="1" ht="26" customHeight="1">
      <x:c r="A1" s="1" t="str">
        <x:v>VALORANT Personal Coach — Competitive Match History</x:v>
      </x:c>
    </x:row>
    <x:row r="3" ht="42" customHeight="1">
      <x:c r="A3" s="6" t="str">
        <x:v>Match id</x:v>
      </x:c>
      <x:c r="B3" s="6" t="str">
        <x:v>Date</x:v>
      </x:c>
      <x:c r="C3" s="6" t="str">
        <x:v>Map</x:v>
      </x:c>
      <x:c r="D3" s="6" t="str">
        <x:v>Placement</x:v>
      </x:c>
      <x:c r="E3" s="6" t="str">
        <x:v>Agent</x:v>
      </x:c>
      <x:c r="F3" s="6" t="str">
        <x:v>Team Score</x:v>
      </x:c>
      <x:c r="G3" s="6" t="str">
        <x:v>Opponent Score</x:v>
      </x:c>
      <x:c r="H3" s="6" t="str">
        <x:v>Result</x:v>
      </x:c>
      <x:c r="I3" s="6" t="str">
        <x:v>Win Flag</x:v>
      </x:c>
      <x:c r="J3" s="6" t="str">
        <x:v>Score Margin</x:v>
      </x:c>
      <x:c r="K3" s="6" t="str">
        <x:v>Rounds Played</x:v>
      </x:c>
      <x:c r="L3" s="6" t="str">
        <x:v>Kills</x:v>
      </x:c>
      <x:c r="M3" s="6" t="str">
        <x:v>Deaths</x:v>
      </x:c>
      <x:c r="N3" s="6" t="str">
        <x:v>Assists</x:v>
      </x:c>
      <x:c r="O3" s="6" t="str">
        <x:v>K/D</x:v>
      </x:c>
      <x:c r="P3" s="6" t="str">
        <x:v>Kills/Round</x:v>
      </x:c>
      <x:c r="Q3" s="6" t="str">
        <x:v>Deaths/Round</x:v>
      </x:c>
      <x:c r="R3" s="6" t="str">
        <x:v>Assists/Round</x:v>
      </x:c>
      <x:c r="S3" s="6" t="str">
        <x:v>DDΔ (Average Damage Delta per Round)</x:v>
      </x:c>
      <x:c r="T3" s="6" t="str">
        <x:v>HS% (Headshot Percentage)</x:v>
      </x:c>
      <x:c r="U3" s="6" t="str">
        <x:v>ACS (Average Combat Score)</x:v>
      </x:c>
      <x:c r="V3" s="6" t="str">
        <x:v>TRS (Tracker Score)</x:v>
      </x:c>
    </x:row>
    <x:row r="4" ht="16" customHeight="1">
      <x:c r="A4" s="7" t="n">
        <x:v>1</x:v>
      </x:c>
      <x:c r="B4" s="8" t="n">
        <x:v>45829</x:v>
      </x:c>
      <x:c r="C4" s="7" t="str">
        <x:v>Pearl</x:v>
      </x:c>
      <x:c r="D4" s="7" t="str">
        <x:v>6th</x:v>
      </x:c>
      <x:c r="E4" s="7" t="str">
        <x:v>Iso</x:v>
      </x:c>
      <x:c r="F4" s="7" t="n">
        <x:v>10</x:v>
      </x:c>
      <x:c r="G4" s="7" t="n">
        <x:v>13</x:v>
      </x:c>
      <x:c r="H4" s="7" t="str">
        <x:f>IF(F4&gt;G4,"Win",IF(F4&lt;G4,"Loss","Draw"))</x:f>
        <x:v>Loss</x:v>
      </x:c>
      <x:c r="I4" s="7" t="n">
        <x:f>IF(H4="Win",1,0)</x:f>
        <x:v>0</x:v>
      </x:c>
      <x:c r="J4" s="7" t="n">
        <x:f>F4-G4</x:f>
        <x:v>-3</x:v>
      </x:c>
      <x:c r="K4" s="7" t="n">
        <x:f>F4+G4</x:f>
        <x:v>23</x:v>
      </x:c>
      <x:c r="L4" s="7" t="n">
        <x:v>13</x:v>
      </x:c>
      <x:c r="M4" s="7" t="n">
        <x:v>17</x:v>
      </x:c>
      <x:c r="N4" s="7" t="n">
        <x:v>4</x:v>
      </x:c>
      <x:c r="O4" s="9" t="n">
        <x:f>IF(M4=0,"n.a.",L4/M4)</x:f>
        <x:v>0.7647058823529411</x:v>
      </x:c>
      <x:c r="P4" s="9" t="n">
        <x:f>IF(K4=0,"n.a.",L4/K4)</x:f>
        <x:v>0.5652173913043478</x:v>
      </x:c>
      <x:c r="Q4" s="9" t="n">
        <x:f>IF(K4=0,"n.a.",M4/K4)</x:f>
        <x:v>0.7391304347826086</x:v>
      </x:c>
      <x:c r="R4" s="9" t="n">
        <x:f>IF(K4=0,"n.a.",N4/K4)</x:f>
        <x:v>0.17391304347826086</x:v>
      </x:c>
      <x:c r="S4" s="7" t="n">
        <x:v>-25</x:v>
      </x:c>
      <x:c r="T4" s="10" t="n">
        <x:v>0.24</x:v>
      </x:c>
      <x:c r="U4" s="7" t="n">
        <x:v>174</x:v>
      </x:c>
      <x:c r="V4" s="7" t="n">
        <x:v>274</x:v>
      </x:c>
    </x:row>
    <x:row r="5" ht="16" customHeight="1">
      <x:c r="A5" s="7" t="n">
        <x:v>2</x:v>
      </x:c>
      <x:c r="B5" s="8" t="n">
        <x:v>45829</x:v>
      </x:c>
      <x:c r="C5" s="7" t="str">
        <x:v>Icebox</x:v>
      </x:c>
      <x:c r="D5" s="7" t="str">
        <x:v>7th</x:v>
      </x:c>
      <x:c r="E5" s="7" t="str">
        <x:v>Neon</x:v>
      </x:c>
      <x:c r="F5" s="7" t="n">
        <x:v>13</x:v>
      </x:c>
      <x:c r="G5" s="7" t="n">
        <x:v>6</x:v>
      </x:c>
      <x:c r="H5" s="7" t="str">
        <x:f>IF(F5&gt;G5,"Win",IF(F5&lt;G5,"Loss","Draw"))</x:f>
        <x:v>Win</x:v>
      </x:c>
      <x:c r="I5" s="7" t="n">
        <x:f>IF(H5="Win",1,0)</x:f>
        <x:v>1</x:v>
      </x:c>
      <x:c r="J5" s="7" t="n">
        <x:f>F5-G5</x:f>
        <x:v>7</x:v>
      </x:c>
      <x:c r="K5" s="7" t="n">
        <x:f>F5+G5</x:f>
        <x:v>19</x:v>
      </x:c>
      <x:c r="L5" s="7" t="n">
        <x:v>14</x:v>
      </x:c>
      <x:c r="M5" s="7" t="n">
        <x:v>15</x:v>
      </x:c>
      <x:c r="N5" s="7" t="n">
        <x:v>3</x:v>
      </x:c>
      <x:c r="O5" s="9" t="n">
        <x:f>IF(M5=0,"n.a.",L5/M5)</x:f>
        <x:v>0.9333333333333333</x:v>
      </x:c>
      <x:c r="P5" s="9" t="n">
        <x:f>IF(K5=0,"n.a.",L5/K5)</x:f>
        <x:v>0.7368421052631579</x:v>
      </x:c>
      <x:c r="Q5" s="9" t="n">
        <x:f>IF(K5=0,"n.a.",M5/K5)</x:f>
        <x:v>0.7894736842105263</x:v>
      </x:c>
      <x:c r="R5" s="9" t="n">
        <x:f>IF(K5=0,"n.a.",N5/K5)</x:f>
        <x:v>0.15789473684210525</x:v>
      </x:c>
      <x:c r="S5" s="7" t="n">
        <x:v>-7</x:v>
      </x:c>
      <x:c r="T5" s="10" t="n">
        <x:v>0.31</x:v>
      </x:c>
      <x:c r="U5" s="7" t="n">
        <x:v>200</x:v>
      </x:c>
      <x:c r="V5" s="7" t="n">
        <x:v>543</x:v>
      </x:c>
    </x:row>
    <x:row r="6" ht="16" customHeight="1">
      <x:c r="A6" s="7" t="n">
        <x:v>3</x:v>
      </x:c>
      <x:c r="B6" s="8" t="n">
        <x:v>45830</x:v>
      </x:c>
      <x:c r="C6" s="7" t="str">
        <x:v>Lotus</x:v>
      </x:c>
      <x:c r="D6" s="7" t="str">
        <x:v>6th</x:v>
      </x:c>
      <x:c r="E6" s="7" t="str">
        <x:v>Neon</x:v>
      </x:c>
      <x:c r="F6" s="7" t="n">
        <x:v>8</x:v>
      </x:c>
      <x:c r="G6" s="7" t="n">
        <x:v>13</x:v>
      </x:c>
      <x:c r="H6" s="7" t="str">
        <x:f>IF(F6&gt;G6,"Win",IF(F6&lt;G6,"Loss","Draw"))</x:f>
        <x:v>Loss</x:v>
      </x:c>
      <x:c r="I6" s="7" t="n">
        <x:f>IF(H6="Win",1,0)</x:f>
        <x:v>0</x:v>
      </x:c>
      <x:c r="J6" s="7" t="n">
        <x:f>F6-G6</x:f>
        <x:v>-5</x:v>
      </x:c>
      <x:c r="K6" s="7" t="n">
        <x:f>F6+G6</x:f>
        <x:v>21</x:v>
      </x:c>
      <x:c r="L6" s="7" t="n">
        <x:v>14</x:v>
      </x:c>
      <x:c r="M6" s="7" t="n">
        <x:v>20</x:v>
      </x:c>
      <x:c r="N6" s="7" t="n">
        <x:v>4</x:v>
      </x:c>
      <x:c r="O6" s="9" t="n">
        <x:f>IF(M6=0,"n.a.",L6/M6)</x:f>
        <x:v>0.7</x:v>
      </x:c>
      <x:c r="P6" s="9" t="n">
        <x:f>IF(K6=0,"n.a.",L6/K6)</x:f>
        <x:v>0.6666666666666666</x:v>
      </x:c>
      <x:c r="Q6" s="9" t="n">
        <x:f>IF(K6=0,"n.a.",M6/K6)</x:f>
        <x:v>0.9523809523809523</x:v>
      </x:c>
      <x:c r="R6" s="9" t="n">
        <x:f>IF(K6=0,"n.a.",N6/K6)</x:f>
        <x:v>0.19047619047619047</x:v>
      </x:c>
      <x:c r="S6" s="7" t="n">
        <x:v>-34</x:v>
      </x:c>
      <x:c r="T6" s="10" t="n">
        <x:v>0.31</x:v>
      </x:c>
      <x:c r="U6" s="7" t="n">
        <x:v>198</x:v>
      </x:c>
      <x:c r="V6" s="7" t="n">
        <x:v>371</x:v>
      </x:c>
    </x:row>
    <x:row r="7" ht="16" customHeight="1">
      <x:c r="A7" s="7" t="n">
        <x:v>4</x:v>
      </x:c>
      <x:c r="B7" s="8" t="n">
        <x:v>45830</x:v>
      </x:c>
      <x:c r="C7" s="7" t="str">
        <x:v>Ascent</x:v>
      </x:c>
      <x:c r="D7" s="7" t="str">
        <x:v>10th</x:v>
      </x:c>
      <x:c r="E7" s="7" t="str">
        <x:v>Killjoy</x:v>
      </x:c>
      <x:c r="F7" s="7" t="n">
        <x:v>6</x:v>
      </x:c>
      <x:c r="G7" s="7" t="n">
        <x:v>13</x:v>
      </x:c>
      <x:c r="H7" s="7" t="str">
        <x:f>IF(F7&gt;G7,"Win",IF(F7&lt;G7,"Loss","Draw"))</x:f>
        <x:v>Loss</x:v>
      </x:c>
      <x:c r="I7" s="7" t="n">
        <x:f>IF(H7="Win",1,0)</x:f>
        <x:v>0</x:v>
      </x:c>
      <x:c r="J7" s="7" t="n">
        <x:f>F7-G7</x:f>
        <x:v>-7</x:v>
      </x:c>
      <x:c r="K7" s="7" t="n">
        <x:f>F7+G7</x:f>
        <x:v>19</x:v>
      </x:c>
      <x:c r="L7" s="7" t="n">
        <x:v>6</x:v>
      </x:c>
      <x:c r="M7" s="7" t="n">
        <x:v>17</x:v>
      </x:c>
      <x:c r="N7" s="7" t="n">
        <x:v>2</x:v>
      </x:c>
      <x:c r="O7" s="9" t="n">
        <x:f>IF(M7=0,"n.a.",L7/M7)</x:f>
        <x:v>0.35294117647058826</x:v>
      </x:c>
      <x:c r="P7" s="9" t="n">
        <x:f>IF(K7=0,"n.a.",L7/K7)</x:f>
        <x:v>0.3157894736842105</x:v>
      </x:c>
      <x:c r="Q7" s="9" t="n">
        <x:f>IF(K7=0,"n.a.",M7/K7)</x:f>
        <x:v>0.8947368421052632</x:v>
      </x:c>
      <x:c r="R7" s="9" t="n">
        <x:f>IF(K7=0,"n.a.",N7/K7)</x:f>
        <x:v>0.10526315789473684</x:v>
      </x:c>
      <x:c r="S7" s="7" t="n">
        <x:v>-71</x:v>
      </x:c>
      <x:c r="T7" s="10" t="n">
        <x:v>0.17</x:v>
      </x:c>
      <x:c r="U7" s="7" t="n">
        <x:v>115</x:v>
      </x:c>
      <x:c r="V7" s="7" t="n">
        <x:v>126</x:v>
      </x:c>
    </x:row>
    <x:row r="8" ht="16" customHeight="1">
      <x:c r="A8" s="7" t="n">
        <x:v>5</x:v>
      </x:c>
      <x:c r="B8" s="8" t="n">
        <x:v>45830</x:v>
      </x:c>
      <x:c r="C8" s="7" t="str">
        <x:v>Icebox</x:v>
      </x:c>
      <x:c r="D8" s="7" t="str">
        <x:v>2nd</x:v>
      </x:c>
      <x:c r="E8" s="7" t="str">
        <x:v>Skye</x:v>
      </x:c>
      <x:c r="F8" s="7" t="n">
        <x:v>4</x:v>
      </x:c>
      <x:c r="G8" s="7" t="n">
        <x:v>0</x:v>
      </x:c>
      <x:c r="H8" s="7" t="str">
        <x:f>IF(F8&gt;G8,"Win",IF(F8&lt;G8,"Loss","Draw"))</x:f>
        <x:v>Win</x:v>
      </x:c>
      <x:c r="I8" s="7" t="n">
        <x:f>IF(H8="Win",1,0)</x:f>
        <x:v>1</x:v>
      </x:c>
      <x:c r="J8" s="7" t="n">
        <x:f>F8-G8</x:f>
        <x:v>4</x:v>
      </x:c>
      <x:c r="K8" s="7" t="n">
        <x:f>F8+G8</x:f>
        <x:v>4</x:v>
      </x:c>
      <x:c r="L8" s="7" t="n">
        <x:v>4</x:v>
      </x:c>
      <x:c r="M8" s="7" t="n">
        <x:v>1</x:v>
      </x:c>
      <x:c r="N8" s="7" t="n">
        <x:v>0</x:v>
      </x:c>
      <x:c r="O8" s="9" t="n">
        <x:f>IF(M8=0,"n.a.",L8/M8)</x:f>
        <x:v>4</x:v>
      </x:c>
      <x:c r="P8" s="9" t="n">
        <x:f>IF(K8=0,"n.a.",L8/K8)</x:f>
        <x:v>1</x:v>
      </x:c>
      <x:c r="Q8" s="9" t="n">
        <x:f>IF(K8=0,"n.a.",M8/K8)</x:f>
        <x:v>0.25</x:v>
      </x:c>
      <x:c r="R8" s="9" t="n">
        <x:f>IF(K8=0,"n.a.",N8/K8)</x:f>
        <x:v>0</x:v>
      </x:c>
      <x:c r="S8" s="7" t="n">
        <x:v>72</x:v>
      </x:c>
      <x:c r="T8" s="10" t="n">
        <x:v>0.4</x:v>
      </x:c>
      <x:c r="U8" s="7" t="n">
        <x:v>230</x:v>
      </x:c>
      <x:c r="V8" s="7" t="n">
        <x:v>886</x:v>
      </x:c>
    </x:row>
    <x:row r="9" ht="16" customHeight="1">
      <x:c r="A9" s="7" t="n">
        <x:v>6</x:v>
      </x:c>
      <x:c r="B9" s="8" t="n">
        <x:v>45830</x:v>
      </x:c>
      <x:c r="C9" s="7" t="str">
        <x:v>Haven</x:v>
      </x:c>
      <x:c r="D9" s="7" t="str">
        <x:v>3rd</x:v>
      </x:c>
      <x:c r="E9" s="7" t="str">
        <x:v>Sage</x:v>
      </x:c>
      <x:c r="F9" s="7" t="n">
        <x:v>9</x:v>
      </x:c>
      <x:c r="G9" s="7" t="n">
        <x:v>13</x:v>
      </x:c>
      <x:c r="H9" s="7" t="str">
        <x:f>IF(F9&gt;G9,"Win",IF(F9&lt;G9,"Loss","Draw"))</x:f>
        <x:v>Loss</x:v>
      </x:c>
      <x:c r="I9" s="7" t="n">
        <x:f>IF(H9="Win",1,0)</x:f>
        <x:v>0</x:v>
      </x:c>
      <x:c r="J9" s="7" t="n">
        <x:f>F9-G9</x:f>
        <x:v>-4</x:v>
      </x:c>
      <x:c r="K9" s="7" t="n">
        <x:f>F9+G9</x:f>
        <x:v>22</x:v>
      </x:c>
      <x:c r="L9" s="7" t="n">
        <x:v>24</x:v>
      </x:c>
      <x:c r="M9" s="7" t="n">
        <x:v>14</x:v>
      </x:c>
      <x:c r="N9" s="7" t="n">
        <x:v>2</x:v>
      </x:c>
      <x:c r="O9" s="9" t="n">
        <x:f>IF(M9=0,"n.a.",L9/M9)</x:f>
        <x:v>1.7142857142857142</x:v>
      </x:c>
      <x:c r="P9" s="9" t="n">
        <x:f>IF(K9=0,"n.a.",L9/K9)</x:f>
        <x:v>1.0909090909090908</x:v>
      </x:c>
      <x:c r="Q9" s="9" t="n">
        <x:f>IF(K9=0,"n.a.",M9/K9)</x:f>
        <x:v>0.6363636363636364</x:v>
      </x:c>
      <x:c r="R9" s="9" t="n">
        <x:f>IF(K9=0,"n.a.",N9/K9)</x:f>
        <x:v>0.09090909090909091</x:v>
      </x:c>
      <x:c r="S9" s="7" t="n">
        <x:v>36</x:v>
      </x:c>
      <x:c r="T9" s="10" t="n">
        <x:v>0.43</x:v>
      </x:c>
      <x:c r="U9" s="7" t="n">
        <x:v>275</x:v>
      </x:c>
      <x:c r="V9" s="7" t="n">
        <x:v>607</x:v>
      </x:c>
    </x:row>
    <x:row r="10" ht="16" customHeight="1">
      <x:c r="A10" s="7" t="n">
        <x:v>7</x:v>
      </x:c>
      <x:c r="B10" s="8" t="n">
        <x:v>45832</x:v>
      </x:c>
      <x:c r="C10" s="7" t="str">
        <x:v>Ascent</x:v>
      </x:c>
      <x:c r="D10" s="7" t="str">
        <x:v>7th</x:v>
      </x:c>
      <x:c r="E10" s="7" t="str">
        <x:v>Neon</x:v>
      </x:c>
      <x:c r="F10" s="7" t="n">
        <x:v>13</x:v>
      </x:c>
      <x:c r="G10" s="7" t="n">
        <x:v>2</x:v>
      </x:c>
      <x:c r="H10" s="7" t="str">
        <x:f>IF(F10&gt;G10,"Win",IF(F10&lt;G10,"Loss","Draw"))</x:f>
        <x:v>Win</x:v>
      </x:c>
      <x:c r="I10" s="7" t="n">
        <x:f>IF(H10="Win",1,0)</x:f>
        <x:v>1</x:v>
      </x:c>
      <x:c r="J10" s="7" t="n">
        <x:f>F10-G10</x:f>
        <x:v>11</x:v>
      </x:c>
      <x:c r="K10" s="7" t="n">
        <x:f>F10+G10</x:f>
        <x:v>15</x:v>
      </x:c>
      <x:c r="L10" s="7" t="n">
        <x:v>10</x:v>
      </x:c>
      <x:c r="M10" s="7" t="n">
        <x:v>12</x:v>
      </x:c>
      <x:c r="N10" s="7" t="n">
        <x:v>4</x:v>
      </x:c>
      <x:c r="O10" s="9" t="n">
        <x:f>IF(M10=0,"n.a.",L10/M10)</x:f>
        <x:v>0.8333333333333334</x:v>
      </x:c>
      <x:c r="P10" s="9" t="n">
        <x:f>IF(K10=0,"n.a.",L10/K10)</x:f>
        <x:v>0.6666666666666666</x:v>
      </x:c>
      <x:c r="Q10" s="9" t="n">
        <x:f>IF(K10=0,"n.a.",M10/K10)</x:f>
        <x:v>0.8</x:v>
      </x:c>
      <x:c r="R10" s="9" t="n">
        <x:f>IF(K10=0,"n.a.",N10/K10)</x:f>
        <x:v>0.26666666666666666</x:v>
      </x:c>
      <x:c r="S10" s="7" t="n">
        <x:v>-20</x:v>
      </x:c>
      <x:c r="T10" s="10" t="n">
        <x:v>0.26</x:v>
      </x:c>
      <x:c r="U10" s="7" t="n">
        <x:v>196</x:v>
      </x:c>
      <x:c r="V10" s="7" t="n">
        <x:v>558</x:v>
      </x:c>
    </x:row>
    <x:row r="11" ht="16" customHeight="1">
      <x:c r="A11" s="7" t="n">
        <x:v>8</x:v>
      </x:c>
      <x:c r="B11" s="8" t="n">
        <x:v>45832</x:v>
      </x:c>
      <x:c r="C11" s="7" t="str">
        <x:v>Sunset</x:v>
      </x:c>
      <x:c r="D11" s="7" t="str">
        <x:v>4th</x:v>
      </x:c>
      <x:c r="E11" s="7" t="str">
        <x:v>Neon</x:v>
      </x:c>
      <x:c r="F11" s="7" t="n">
        <x:v>13</x:v>
      </x:c>
      <x:c r="G11" s="7" t="n">
        <x:v>7</x:v>
      </x:c>
      <x:c r="H11" s="7" t="str">
        <x:f>IF(F11&gt;G11,"Win",IF(F11&lt;G11,"Loss","Draw"))</x:f>
        <x:v>Win</x:v>
      </x:c>
      <x:c r="I11" s="7" t="n">
        <x:f>IF(H11="Win",1,0)</x:f>
        <x:v>1</x:v>
      </x:c>
      <x:c r="J11" s="7" t="n">
        <x:f>F11-G11</x:f>
        <x:v>6</x:v>
      </x:c>
      <x:c r="K11" s="7" t="n">
        <x:f>F11+G11</x:f>
        <x:v>20</x:v>
      </x:c>
      <x:c r="L11" s="7" t="n">
        <x:v>17</x:v>
      </x:c>
      <x:c r="M11" s="7" t="n">
        <x:v>15</x:v>
      </x:c>
      <x:c r="N11" s="7" t="n">
        <x:v>0</x:v>
      </x:c>
      <x:c r="O11" s="9" t="n">
        <x:f>IF(M11=0,"n.a.",L11/M11)</x:f>
        <x:v>1.1333333333333333</x:v>
      </x:c>
      <x:c r="P11" s="9" t="n">
        <x:f>IF(K11=0,"n.a.",L11/K11)</x:f>
        <x:v>0.85</x:v>
      </x:c>
      <x:c r="Q11" s="9" t="n">
        <x:f>IF(K11=0,"n.a.",M11/K11)</x:f>
        <x:v>0.75</x:v>
      </x:c>
      <x:c r="R11" s="9" t="n">
        <x:f>IF(K11=0,"n.a.",N11/K11)</x:f>
        <x:v>0</x:v>
      </x:c>
      <x:c r="S11" s="7" t="n">
        <x:v>25</x:v>
      </x:c>
      <x:c r="T11" s="10" t="n">
        <x:v>0.18</x:v>
      </x:c>
      <x:c r="U11" s="7" t="n">
        <x:v>254</x:v>
      </x:c>
      <x:c r="V11" s="7" t="n">
        <x:v>603</x:v>
      </x:c>
    </x:row>
    <x:row r="12" ht="16" customHeight="1">
      <x:c r="A12" s="7" t="n">
        <x:v>9</x:v>
      </x:c>
      <x:c r="B12" s="8" t="n">
        <x:v>45834</x:v>
      </x:c>
      <x:c r="C12" s="7" t="str">
        <x:v>Haven</x:v>
      </x:c>
      <x:c r="D12" s="7" t="str">
        <x:v>4th</x:v>
      </x:c>
      <x:c r="E12" s="7" t="str">
        <x:v>Neon</x:v>
      </x:c>
      <x:c r="F12" s="7" t="n">
        <x:v>16</x:v>
      </x:c>
      <x:c r="G12" s="7" t="n">
        <x:v>14</x:v>
      </x:c>
      <x:c r="H12" s="7" t="str">
        <x:f>IF(F12&gt;G12,"Win",IF(F12&lt;G12,"Loss","Draw"))</x:f>
        <x:v>Win</x:v>
      </x:c>
      <x:c r="I12" s="7" t="n">
        <x:f>IF(H12="Win",1,0)</x:f>
        <x:v>1</x:v>
      </x:c>
      <x:c r="J12" s="7" t="n">
        <x:f>F12-G12</x:f>
        <x:v>2</x:v>
      </x:c>
      <x:c r="K12" s="7" t="n">
        <x:f>F12+G12</x:f>
        <x:v>30</x:v>
      </x:c>
      <x:c r="L12" s="7" t="n">
        <x:v>23</x:v>
      </x:c>
      <x:c r="M12" s="7" t="n">
        <x:v>24</x:v>
      </x:c>
      <x:c r="N12" s="7" t="n">
        <x:v>10</x:v>
      </x:c>
      <x:c r="O12" s="9" t="n">
        <x:f>IF(M12=0,"n.a.",L12/M12)</x:f>
        <x:v>0.9583333333333334</x:v>
      </x:c>
      <x:c r="P12" s="9" t="n">
        <x:f>IF(K12=0,"n.a.",L12/K12)</x:f>
        <x:v>0.7666666666666667</x:v>
      </x:c>
      <x:c r="Q12" s="9" t="n">
        <x:f>IF(K12=0,"n.a.",M12/K12)</x:f>
        <x:v>0.8</x:v>
      </x:c>
      <x:c r="R12" s="9" t="n">
        <x:f>IF(K12=0,"n.a.",N12/K12)</x:f>
        <x:v>0.3333333333333333</x:v>
      </x:c>
      <x:c r="S12" s="7" t="n">
        <x:v>-20</x:v>
      </x:c>
      <x:c r="T12" s="10" t="n">
        <x:v>0.27</x:v>
      </x:c>
      <x:c r="U12" s="7" t="n">
        <x:v>219</x:v>
      </x:c>
      <x:c r="V12" s="7" t="n">
        <x:v>564</x:v>
      </x:c>
    </x:row>
    <x:row r="13" ht="16" customHeight="1">
      <x:c r="A13" s="7" t="n">
        <x:v>10</x:v>
      </x:c>
      <x:c r="B13" s="8" t="n">
        <x:v>45834</x:v>
      </x:c>
      <x:c r="C13" s="7" t="str">
        <x:v>Lotus</x:v>
      </x:c>
      <x:c r="D13" s="7" t="str">
        <x:v>3rd</x:v>
      </x:c>
      <x:c r="E13" s="7" t="str">
        <x:v>Iso</x:v>
      </x:c>
      <x:c r="F13" s="7" t="n">
        <x:v>13</x:v>
      </x:c>
      <x:c r="G13" s="7" t="n">
        <x:v>4</x:v>
      </x:c>
      <x:c r="H13" s="7" t="str">
        <x:f>IF(F13&gt;G13,"Win",IF(F13&lt;G13,"Loss","Draw"))</x:f>
        <x:v>Win</x:v>
      </x:c>
      <x:c r="I13" s="7" t="n">
        <x:f>IF(H13="Win",1,0)</x:f>
        <x:v>1</x:v>
      </x:c>
      <x:c r="J13" s="7" t="n">
        <x:f>F13-G13</x:f>
        <x:v>9</x:v>
      </x:c>
      <x:c r="K13" s="7" t="n">
        <x:f>F13+G13</x:f>
        <x:v>17</x:v>
      </x:c>
      <x:c r="L13" s="7" t="n">
        <x:v>15</x:v>
      </x:c>
      <x:c r="M13" s="7" t="n">
        <x:v>11</x:v>
      </x:c>
      <x:c r="N13" s="7" t="n">
        <x:v>2</x:v>
      </x:c>
      <x:c r="O13" s="9" t="n">
        <x:f>IF(M13=0,"n.a.",L13/M13)</x:f>
        <x:v>1.3636363636363635</x:v>
      </x:c>
      <x:c r="P13" s="9" t="n">
        <x:f>IF(K13=0,"n.a.",L13/K13)</x:f>
        <x:v>0.8823529411764706</x:v>
      </x:c>
      <x:c r="Q13" s="9" t="n">
        <x:f>IF(K13=0,"n.a.",M13/K13)</x:f>
        <x:v>0.6470588235294118</x:v>
      </x:c>
      <x:c r="R13" s="9" t="n">
        <x:f>IF(K13=0,"n.a.",N13/K13)</x:f>
        <x:v>0.11764705882352941</x:v>
      </x:c>
      <x:c r="S13" s="7" t="n">
        <x:v>34</x:v>
      </x:c>
      <x:c r="T13" s="10" t="n">
        <x:v>0.24</x:v>
      </x:c>
      <x:c r="U13" s="7" t="n">
        <x:v>227</x:v>
      </x:c>
      <x:c r="V13" s="7" t="n">
        <x:v>744</x:v>
      </x:c>
    </x:row>
    <x:row r="14" ht="16" customHeight="1">
      <x:c r="A14" s="7" t="n">
        <x:v>11</x:v>
      </x:c>
      <x:c r="B14" s="8" t="n">
        <x:v>45834</x:v>
      </x:c>
      <x:c r="C14" s="7" t="str">
        <x:v>Bind</x:v>
      </x:c>
      <x:c r="D14" s="7" t="str">
        <x:v>10th</x:v>
      </x:c>
      <x:c r="E14" s="7" t="str">
        <x:v>Neon</x:v>
      </x:c>
      <x:c r="F14" s="7" t="n">
        <x:v>13</x:v>
      </x:c>
      <x:c r="G14" s="7" t="n">
        <x:v>11</x:v>
      </x:c>
      <x:c r="H14" s="7" t="str">
        <x:f>IF(F14&gt;G14,"Win",IF(F14&lt;G14,"Loss","Draw"))</x:f>
        <x:v>Win</x:v>
      </x:c>
      <x:c r="I14" s="7" t="n">
        <x:f>IF(H14="Win",1,0)</x:f>
        <x:v>1</x:v>
      </x:c>
      <x:c r="J14" s="7" t="n">
        <x:f>F14-G14</x:f>
        <x:v>2</x:v>
      </x:c>
      <x:c r="K14" s="7" t="n">
        <x:f>F14+G14</x:f>
        <x:v>24</x:v>
      </x:c>
      <x:c r="L14" s="7" t="n">
        <x:v>11</x:v>
      </x:c>
      <x:c r="M14" s="7" t="n">
        <x:v>20</x:v>
      </x:c>
      <x:c r="N14" s="7" t="n">
        <x:v>4</x:v>
      </x:c>
      <x:c r="O14" s="9" t="n">
        <x:f>IF(M14=0,"n.a.",L14/M14)</x:f>
        <x:v>0.55</x:v>
      </x:c>
      <x:c r="P14" s="9" t="n">
        <x:f>IF(K14=0,"n.a.",L14/K14)</x:f>
        <x:v>0.4583333333333333</x:v>
      </x:c>
      <x:c r="Q14" s="9" t="n">
        <x:f>IF(K14=0,"n.a.",M14/K14)</x:f>
        <x:v>0.8333333333333334</x:v>
      </x:c>
      <x:c r="R14" s="9" t="n">
        <x:f>IF(K14=0,"n.a.",N14/K14)</x:f>
        <x:v>0.16666666666666666</x:v>
      </x:c>
      <x:c r="S14" s="7" t="n">
        <x:v>-57</x:v>
      </x:c>
      <x:c r="T14" s="10" t="n">
        <x:v>0.15</x:v>
      </x:c>
      <x:c r="U14" s="7" t="n">
        <x:v>140</x:v>
      </x:c>
      <x:c r="V14" s="7" t="n">
        <x:v>222</x:v>
      </x:c>
    </x:row>
    <x:row r="15" ht="16" customHeight="1">
      <x:c r="A15" s="7" t="n">
        <x:v>12</x:v>
      </x:c>
      <x:c r="B15" s="8" t="n">
        <x:v>45834</x:v>
      </x:c>
      <x:c r="C15" s="7" t="str">
        <x:v>Sunset</x:v>
      </x:c>
      <x:c r="D15" s="7" t="str">
        <x:v>10th</x:v>
      </x:c>
      <x:c r="E15" s="7" t="str">
        <x:v>Omen</x:v>
      </x:c>
      <x:c r="F15" s="7" t="n">
        <x:v>4</x:v>
      </x:c>
      <x:c r="G15" s="7" t="n">
        <x:v>13</x:v>
      </x:c>
      <x:c r="H15" s="7" t="str">
        <x:f>IF(F15&gt;G15,"Win",IF(F15&lt;G15,"Loss","Draw"))</x:f>
        <x:v>Loss</x:v>
      </x:c>
      <x:c r="I15" s="7" t="n">
        <x:f>IF(H15="Win",1,0)</x:f>
        <x:v>0</x:v>
      </x:c>
      <x:c r="J15" s="7" t="n">
        <x:f>F15-G15</x:f>
        <x:v>-9</x:v>
      </x:c>
      <x:c r="K15" s="7" t="n">
        <x:f>F15+G15</x:f>
        <x:v>17</x:v>
      </x:c>
      <x:c r="L15" s="7" t="n">
        <x:v>3</x:v>
      </x:c>
      <x:c r="M15" s="7" t="n">
        <x:v>11</x:v>
      </x:c>
      <x:c r="N15" s="7" t="n">
        <x:v>1</x:v>
      </x:c>
      <x:c r="O15" s="9" t="n">
        <x:f>IF(M15=0,"n.a.",L15/M15)</x:f>
        <x:v>0.2727272727272727</x:v>
      </x:c>
      <x:c r="P15" s="9" t="n">
        <x:f>IF(K15=0,"n.a.",L15/K15)</x:f>
        <x:v>0.17647058823529413</x:v>
      </x:c>
      <x:c r="Q15" s="9" t="n">
        <x:f>IF(K15=0,"n.a.",M15/K15)</x:f>
        <x:v>0.6470588235294118</x:v>
      </x:c>
      <x:c r="R15" s="9" t="n">
        <x:f>IF(K15=0,"n.a.",N15/K15)</x:f>
        <x:v>0.058823529411764705</x:v>
      </x:c>
      <x:c r="S15" s="7" t="n">
        <x:v>-60</x:v>
      </x:c>
      <x:c r="T15" s="10" t="n">
        <x:v>0.5</x:v>
      </x:c>
      <x:c r="U15" s="7" t="n">
        <x:v>53</x:v>
      </x:c>
      <x:c r="V15" s="7" t="n">
        <x:v>100</x:v>
      </x:c>
    </x:row>
    <x:row r="16" ht="16" customHeight="1">
      <x:c r="A16" s="7" t="n">
        <x:v>13</x:v>
      </x:c>
      <x:c r="B16" s="8" t="n">
        <x:v>45834</x:v>
      </x:c>
      <x:c r="C16" s="7" t="str">
        <x:v>Corrode</x:v>
      </x:c>
      <x:c r="D16" s="7" t="str">
        <x:v>10th</x:v>
      </x:c>
      <x:c r="E16" s="7" t="str">
        <x:v>Neon</x:v>
      </x:c>
      <x:c r="F16" s="7" t="n">
        <x:v>6</x:v>
      </x:c>
      <x:c r="G16" s="7" t="n">
        <x:v>13</x:v>
      </x:c>
      <x:c r="H16" s="7" t="str">
        <x:f>IF(F16&gt;G16,"Win",IF(F16&lt;G16,"Loss","Draw"))</x:f>
        <x:v>Loss</x:v>
      </x:c>
      <x:c r="I16" s="7" t="n">
        <x:f>IF(H16="Win",1,0)</x:f>
        <x:v>0</x:v>
      </x:c>
      <x:c r="J16" s="7" t="n">
        <x:f>F16-G16</x:f>
        <x:v>-7</x:v>
      </x:c>
      <x:c r="K16" s="7" t="n">
        <x:f>F16+G16</x:f>
        <x:v>19</x:v>
      </x:c>
      <x:c r="L16" s="7" t="n">
        <x:v>5</x:v>
      </x:c>
      <x:c r="M16" s="7" t="n">
        <x:v>16</x:v>
      </x:c>
      <x:c r="N16" s="7" t="n">
        <x:v>5</x:v>
      </x:c>
      <x:c r="O16" s="9" t="n">
        <x:f>IF(M16=0,"n.a.",L16/M16)</x:f>
        <x:v>0.3125</x:v>
      </x:c>
      <x:c r="P16" s="9" t="n">
        <x:f>IF(K16=0,"n.a.",L16/K16)</x:f>
        <x:v>0.2631578947368421</x:v>
      </x:c>
      <x:c r="Q16" s="9" t="n">
        <x:f>IF(K16=0,"n.a.",M16/K16)</x:f>
        <x:v>0.8421052631578947</x:v>
      </x:c>
      <x:c r="R16" s="9" t="n">
        <x:f>IF(K16=0,"n.a.",N16/K16)</x:f>
        <x:v>0.2631578947368421</x:v>
      </x:c>
      <x:c r="S16" s="7" t="n">
        <x:v>-95</x:v>
      </x:c>
      <x:c r="T16" s="10" t="n">
        <x:v>0.16</x:v>
      </x:c>
      <x:c r="U16" s="7" t="n">
        <x:v>79</x:v>
      </x:c>
      <x:c r="V16" s="7" t="n">
        <x:v>100</x:v>
      </x:c>
    </x:row>
    <x:row r="17" ht="16" customHeight="1">
      <x:c r="A17" s="7" t="n">
        <x:v>14</x:v>
      </x:c>
      <x:c r="B17" s="8" t="n">
        <x:v>45835</x:v>
      </x:c>
      <x:c r="C17" s="7" t="str">
        <x:v>Sunset</x:v>
      </x:c>
      <x:c r="D17" s="7" t="str">
        <x:v>3rd</x:v>
      </x:c>
      <x:c r="E17" s="7" t="str">
        <x:v>Yoru</x:v>
      </x:c>
      <x:c r="F17" s="7" t="n">
        <x:v>13</x:v>
      </x:c>
      <x:c r="G17" s="7" t="n">
        <x:v>8</x:v>
      </x:c>
      <x:c r="H17" s="7" t="str">
        <x:f>IF(F17&gt;G17,"Win",IF(F17&lt;G17,"Loss","Draw"))</x:f>
        <x:v>Win</x:v>
      </x:c>
      <x:c r="I17" s="7" t="n">
        <x:f>IF(H17="Win",1,0)</x:f>
        <x:v>1</x:v>
      </x:c>
      <x:c r="J17" s="7" t="n">
        <x:f>F17-G17</x:f>
        <x:v>5</x:v>
      </x:c>
      <x:c r="K17" s="7" t="n">
        <x:f>F17+G17</x:f>
        <x:v>21</x:v>
      </x:c>
      <x:c r="L17" s="7" t="n">
        <x:v>19</x:v>
      </x:c>
      <x:c r="M17" s="7" t="n">
        <x:v>16</x:v>
      </x:c>
      <x:c r="N17" s="7" t="n">
        <x:v>4</x:v>
      </x:c>
      <x:c r="O17" s="9" t="n">
        <x:f>IF(M17=0,"n.a.",L17/M17)</x:f>
        <x:v>1.1875</x:v>
      </x:c>
      <x:c r="P17" s="9" t="n">
        <x:f>IF(K17=0,"n.a.",L17/K17)</x:f>
        <x:v>0.9047619047619048</x:v>
      </x:c>
      <x:c r="Q17" s="9" t="n">
        <x:f>IF(K17=0,"n.a.",M17/K17)</x:f>
        <x:v>0.7619047619047619</x:v>
      </x:c>
      <x:c r="R17" s="9" t="n">
        <x:f>IF(K17=0,"n.a.",N17/K17)</x:f>
        <x:v>0.19047619047619047</x:v>
      </x:c>
      <x:c r="S17" s="7" t="n">
        <x:v>22</x:v>
      </x:c>
      <x:c r="T17" s="10" t="n">
        <x:v>0.25</x:v>
      </x:c>
      <x:c r="U17" s="7" t="n">
        <x:v>264</x:v>
      </x:c>
      <x:c r="V17" s="7" t="n">
        <x:v>851</x:v>
      </x:c>
    </x:row>
    <x:row r="18" ht="16" customHeight="1">
      <x:c r="A18" s="7" t="n">
        <x:v>15</x:v>
      </x:c>
      <x:c r="B18" s="8" t="n">
        <x:v>45835</x:v>
      </x:c>
      <x:c r="C18" s="7" t="str">
        <x:v>Lotus</x:v>
      </x:c>
      <x:c r="D18" s="7" t="str">
        <x:v>2nd</x:v>
      </x:c>
      <x:c r="E18" s="7" t="str">
        <x:v>Phoenix</x:v>
      </x:c>
      <x:c r="F18" s="7" t="n">
        <x:v>8</x:v>
      </x:c>
      <x:c r="G18" s="7" t="n">
        <x:v>13</x:v>
      </x:c>
      <x:c r="H18" s="7" t="str">
        <x:f>IF(F18&gt;G18,"Win",IF(F18&lt;G18,"Loss","Draw"))</x:f>
        <x:v>Loss</x:v>
      </x:c>
      <x:c r="I18" s="7" t="n">
        <x:f>IF(H18="Win",1,0)</x:f>
        <x:v>0</x:v>
      </x:c>
      <x:c r="J18" s="7" t="n">
        <x:f>F18-G18</x:f>
        <x:v>-5</x:v>
      </x:c>
      <x:c r="K18" s="7" t="n">
        <x:f>F18+G18</x:f>
        <x:v>21</x:v>
      </x:c>
      <x:c r="L18" s="7" t="n">
        <x:v>17</x:v>
      </x:c>
      <x:c r="M18" s="7" t="n">
        <x:v>17</x:v>
      </x:c>
      <x:c r="N18" s="7" t="n">
        <x:v>2</x:v>
      </x:c>
      <x:c r="O18" s="9" t="n">
        <x:f>IF(M18=0,"n.a.",L18/M18)</x:f>
        <x:v>1</x:v>
      </x:c>
      <x:c r="P18" s="9" t="n">
        <x:f>IF(K18=0,"n.a.",L18/K18)</x:f>
        <x:v>0.8095238095238095</x:v>
      </x:c>
      <x:c r="Q18" s="9" t="n">
        <x:f>IF(K18=0,"n.a.",M18/K18)</x:f>
        <x:v>0.8095238095238095</x:v>
      </x:c>
      <x:c r="R18" s="9" t="n">
        <x:f>IF(K18=0,"n.a.",N18/K18)</x:f>
        <x:v>0.09523809523809523</x:v>
      </x:c>
      <x:c r="S18" s="7" t="n">
        <x:v>-20</x:v>
      </x:c>
      <x:c r="T18" s="10" t="n">
        <x:v>0.28</x:v>
      </x:c>
      <x:c r="U18" s="7" t="n">
        <x:v>230</x:v>
      </x:c>
      <x:c r="V18" s="7" t="n">
        <x:v>497</x:v>
      </x:c>
    </x:row>
    <x:row r="19" ht="16" customHeight="1">
      <x:c r="A19" s="7" t="n">
        <x:v>16</x:v>
      </x:c>
      <x:c r="B19" s="8" t="n">
        <x:v>45836</x:v>
      </x:c>
      <x:c r="C19" s="7" t="str">
        <x:v>Lotus</x:v>
      </x:c>
      <x:c r="D19" s="7" t="str">
        <x:v>2nd</x:v>
      </x:c>
      <x:c r="E19" s="7" t="str">
        <x:v>Astra</x:v>
      </x:c>
      <x:c r="F19" s="7" t="n">
        <x:v>14</x:v>
      </x:c>
      <x:c r="G19" s="7" t="n">
        <x:v>12</x:v>
      </x:c>
      <x:c r="H19" s="7" t="str">
        <x:f>IF(F19&gt;G19,"Win",IF(F19&lt;G19,"Loss","Draw"))</x:f>
        <x:v>Win</x:v>
      </x:c>
      <x:c r="I19" s="7" t="n">
        <x:f>IF(H19="Win",1,0)</x:f>
        <x:v>1</x:v>
      </x:c>
      <x:c r="J19" s="7" t="n">
        <x:f>F19-G19</x:f>
        <x:v>2</x:v>
      </x:c>
      <x:c r="K19" s="7" t="n">
        <x:f>F19+G19</x:f>
        <x:v>26</x:v>
      </x:c>
      <x:c r="L19" s="7" t="n">
        <x:v>28</x:v>
      </x:c>
      <x:c r="M19" s="7" t="n">
        <x:v>19</x:v>
      </x:c>
      <x:c r="N19" s="7" t="n">
        <x:v>5</x:v>
      </x:c>
      <x:c r="O19" s="9" t="n">
        <x:f>IF(M19=0,"n.a.",L19/M19)</x:f>
        <x:v>1.4736842105263157</x:v>
      </x:c>
      <x:c r="P19" s="9" t="n">
        <x:f>IF(K19=0,"n.a.",L19/K19)</x:f>
        <x:v>1.0769230769230769</x:v>
      </x:c>
      <x:c r="Q19" s="9" t="n">
        <x:f>IF(K19=0,"n.a.",M19/K19)</x:f>
        <x:v>0.7307692307692307</x:v>
      </x:c>
      <x:c r="R19" s="9" t="n">
        <x:f>IF(K19=0,"n.a.",N19/K19)</x:f>
        <x:v>0.19230769230769232</x:v>
      </x:c>
      <x:c r="S19" s="7" t="n">
        <x:v>78</x:v>
      </x:c>
      <x:c r="T19" s="10" t="n">
        <x:v>0.3</x:v>
      </x:c>
      <x:c r="U19" s="7" t="n">
        <x:v>294</x:v>
      </x:c>
      <x:c r="V19" s="7" t="n">
        <x:v>878</x:v>
      </x:c>
    </x:row>
    <x:row r="20" ht="16" customHeight="1">
      <x:c r="A20" s="7" t="n">
        <x:v>17</x:v>
      </x:c>
      <x:c r="B20" s="8" t="n">
        <x:v>45836</x:v>
      </x:c>
      <x:c r="C20" s="7" t="str">
        <x:v>Corrode</x:v>
      </x:c>
      <x:c r="D20" s="7" t="str">
        <x:v>8th</x:v>
      </x:c>
      <x:c r="E20" s="7" t="str">
        <x:v>Jett</x:v>
      </x:c>
      <x:c r="F20" s="7" t="n">
        <x:v>13</x:v>
      </x:c>
      <x:c r="G20" s="7" t="n">
        <x:v>8</x:v>
      </x:c>
      <x:c r="H20" s="7" t="str">
        <x:f>IF(F20&gt;G20,"Win",IF(F20&lt;G20,"Loss","Draw"))</x:f>
        <x:v>Win</x:v>
      </x:c>
      <x:c r="I20" s="7" t="n">
        <x:f>IF(H20="Win",1,0)</x:f>
        <x:v>1</x:v>
      </x:c>
      <x:c r="J20" s="7" t="n">
        <x:f>F20-G20</x:f>
        <x:v>5</x:v>
      </x:c>
      <x:c r="K20" s="7" t="n">
        <x:f>F20+G20</x:f>
        <x:v>21</x:v>
      </x:c>
      <x:c r="L20" s="7" t="n">
        <x:v>15</x:v>
      </x:c>
      <x:c r="M20" s="7" t="n">
        <x:v>17</x:v>
      </x:c>
      <x:c r="N20" s="7" t="n">
        <x:v>4</x:v>
      </x:c>
      <x:c r="O20" s="9" t="n">
        <x:f>IF(M20=0,"n.a.",L20/M20)</x:f>
        <x:v>0.8823529411764706</x:v>
      </x:c>
      <x:c r="P20" s="9" t="n">
        <x:f>IF(K20=0,"n.a.",L20/K20)</x:f>
        <x:v>0.7142857142857143</x:v>
      </x:c>
      <x:c r="Q20" s="9" t="n">
        <x:f>IF(K20=0,"n.a.",M20/K20)</x:f>
        <x:v>0.8095238095238095</x:v>
      </x:c>
      <x:c r="R20" s="9" t="n">
        <x:f>IF(K20=0,"n.a.",N20/K20)</x:f>
        <x:v>0.19047619047619047</x:v>
      </x:c>
      <x:c r="S20" s="7" t="n">
        <x:v>-23</x:v>
      </x:c>
      <x:c r="T20" s="10" t="n">
        <x:v>0.21</x:v>
      </x:c>
      <x:c r="U20" s="7" t="n">
        <x:v>182</x:v>
      </x:c>
      <x:c r="V20" s="7" t="n">
        <x:v>602</x:v>
      </x:c>
    </x:row>
    <x:row r="21" ht="16" customHeight="1">
      <x:c r="A21" s="7" t="n">
        <x:v>18</x:v>
      </x:c>
      <x:c r="B21" s="8" t="n">
        <x:v>45836</x:v>
      </x:c>
      <x:c r="C21" s="7" t="str">
        <x:v>Corrode</x:v>
      </x:c>
      <x:c r="D21" s="7" t="str">
        <x:v>2nd</x:v>
      </x:c>
      <x:c r="E21" s="7" t="str">
        <x:v>Chamber</x:v>
      </x:c>
      <x:c r="F21" s="7" t="n">
        <x:v>12</x:v>
      </x:c>
      <x:c r="G21" s="7" t="n">
        <x:v>14</x:v>
      </x:c>
      <x:c r="H21" s="7" t="str">
        <x:f>IF(F21&gt;G21,"Win",IF(F21&lt;G21,"Loss","Draw"))</x:f>
        <x:v>Loss</x:v>
      </x:c>
      <x:c r="I21" s="7" t="n">
        <x:f>IF(H21="Win",1,0)</x:f>
        <x:v>0</x:v>
      </x:c>
      <x:c r="J21" s="7" t="n">
        <x:f>F21-G21</x:f>
        <x:v>-2</x:v>
      </x:c>
      <x:c r="K21" s="7" t="n">
        <x:f>F21+G21</x:f>
        <x:v>26</x:v>
      </x:c>
      <x:c r="L21" s="7" t="n">
        <x:v>29</x:v>
      </x:c>
      <x:c r="M21" s="7" t="n">
        <x:v>17</x:v>
      </x:c>
      <x:c r="N21" s="7" t="n">
        <x:v>2</x:v>
      </x:c>
      <x:c r="O21" s="9" t="n">
        <x:f>IF(M21=0,"n.a.",L21/M21)</x:f>
        <x:v>1.7058823529411764</x:v>
      </x:c>
      <x:c r="P21" s="9" t="n">
        <x:f>IF(K21=0,"n.a.",L21/K21)</x:f>
        <x:v>1.1153846153846154</x:v>
      </x:c>
      <x:c r="Q21" s="9" t="n">
        <x:f>IF(K21=0,"n.a.",M21/K21)</x:f>
        <x:v>0.6538461538461539</x:v>
      </x:c>
      <x:c r="R21" s="9" t="n">
        <x:f>IF(K21=0,"n.a.",N21/K21)</x:f>
        <x:v>0.07692307692307693</x:v>
      </x:c>
      <x:c r="S21" s="7" t="n">
        <x:v>29</x:v>
      </x:c>
      <x:c r="T21" s="10" t="n">
        <x:v>0.26</x:v>
      </x:c>
      <x:c r="U21" s="7" t="n">
        <x:v>293</x:v>
      </x:c>
      <x:c r="V21" s="7" t="n">
        <x:v>721</x:v>
      </x:c>
    </x:row>
    <x:row r="22" ht="16" customHeight="1">
      <x:c r="A22" s="7" t="n">
        <x:v>19</x:v>
      </x:c>
      <x:c r="B22" s="8" t="n">
        <x:v>45836</x:v>
      </x:c>
      <x:c r="C22" s="7" t="str">
        <x:v>Ascent</x:v>
      </x:c>
      <x:c r="D22" s="7" t="str">
        <x:v>9th</x:v>
      </x:c>
      <x:c r="E22" s="7" t="str">
        <x:v>Neon</x:v>
      </x:c>
      <x:c r="F22" s="7" t="n">
        <x:v>13</x:v>
      </x:c>
      <x:c r="G22" s="7" t="n">
        <x:v>8</x:v>
      </x:c>
      <x:c r="H22" s="7" t="str">
        <x:f>IF(F22&gt;G22,"Win",IF(F22&lt;G22,"Loss","Draw"))</x:f>
        <x:v>Win</x:v>
      </x:c>
      <x:c r="I22" s="7" t="n">
        <x:f>IF(H22="Win",1,0)</x:f>
        <x:v>1</x:v>
      </x:c>
      <x:c r="J22" s="7" t="n">
        <x:f>F22-G22</x:f>
        <x:v>5</x:v>
      </x:c>
      <x:c r="K22" s="7" t="n">
        <x:f>F22+G22</x:f>
        <x:v>21</x:v>
      </x:c>
      <x:c r="L22" s="7" t="n">
        <x:v>10</x:v>
      </x:c>
      <x:c r="M22" s="7" t="n">
        <x:v>16</x:v>
      </x:c>
      <x:c r="N22" s="7" t="n">
        <x:v>3</x:v>
      </x:c>
      <x:c r="O22" s="9" t="n">
        <x:f>IF(M22=0,"n.a.",L22/M22)</x:f>
        <x:v>0.625</x:v>
      </x:c>
      <x:c r="P22" s="9" t="n">
        <x:f>IF(K22=0,"n.a.",L22/K22)</x:f>
        <x:v>0.47619047619047616</x:v>
      </x:c>
      <x:c r="Q22" s="9" t="n">
        <x:f>IF(K22=0,"n.a.",M22/K22)</x:f>
        <x:v>0.7619047619047619</x:v>
      </x:c>
      <x:c r="R22" s="9" t="n">
        <x:f>IF(K22=0,"n.a.",N22/K22)</x:f>
        <x:v>0.14285714285714285</x:v>
      </x:c>
      <x:c r="S22" s="7" t="n">
        <x:v>-55</x:v>
      </x:c>
      <x:c r="T22" s="10" t="n">
        <x:v>0.19</x:v>
      </x:c>
      <x:c r="U22" s="7" t="n">
        <x:v>140</x:v>
      </x:c>
      <x:c r="V22" s="7" t="n">
        <x:v>345</x:v>
      </x:c>
    </x:row>
    <x:row r="23" ht="16" customHeight="1">
      <x:c r="A23" s="7" t="n">
        <x:v>20</x:v>
      </x:c>
      <x:c r="B23" s="8" t="n">
        <x:v>45836</x:v>
      </x:c>
      <x:c r="C23" s="7" t="str">
        <x:v>Ascent</x:v>
      </x:c>
      <x:c r="D23" s="7" t="str">
        <x:v>4th</x:v>
      </x:c>
      <x:c r="E23" s="7" t="str">
        <x:v>Neon</x:v>
      </x:c>
      <x:c r="F23" s="7" t="n">
        <x:v>14</x:v>
      </x:c>
      <x:c r="G23" s="7" t="n">
        <x:v>12</x:v>
      </x:c>
      <x:c r="H23" s="7" t="str">
        <x:f>IF(F23&gt;G23,"Win",IF(F23&lt;G23,"Loss","Draw"))</x:f>
        <x:v>Win</x:v>
      </x:c>
      <x:c r="I23" s="7" t="n">
        <x:f>IF(H23="Win",1,0)</x:f>
        <x:v>1</x:v>
      </x:c>
      <x:c r="J23" s="7" t="n">
        <x:f>F23-G23</x:f>
        <x:v>2</x:v>
      </x:c>
      <x:c r="K23" s="7" t="n">
        <x:f>F23+G23</x:f>
        <x:v>26</x:v>
      </x:c>
      <x:c r="L23" s="7" t="n">
        <x:v>27</x:v>
      </x:c>
      <x:c r="M23" s="7" t="n">
        <x:v>24</x:v>
      </x:c>
      <x:c r="N23" s="7" t="n">
        <x:v>6</x:v>
      </x:c>
      <x:c r="O23" s="9" t="n">
        <x:f>IF(M23=0,"n.a.",L23/M23)</x:f>
        <x:v>1.125</x:v>
      </x:c>
      <x:c r="P23" s="9" t="n">
        <x:f>IF(K23=0,"n.a.",L23/K23)</x:f>
        <x:v>1.0384615384615385</x:v>
      </x:c>
      <x:c r="Q23" s="9" t="n">
        <x:f>IF(K23=0,"n.a.",M23/K23)</x:f>
        <x:v>0.9230769230769231</x:v>
      </x:c>
      <x:c r="R23" s="9" t="n">
        <x:f>IF(K23=0,"n.a.",N23/K23)</x:f>
        <x:v>0.23076923076923078</x:v>
      </x:c>
      <x:c r="S23" s="7" t="n">
        <x:v>40</x:v>
      </x:c>
      <x:c r="T23" s="10" t="n">
        <x:v>0.19</x:v>
      </x:c>
      <x:c r="U23" s="7" t="n">
        <x:v>303</x:v>
      </x:c>
      <x:c r="V23" s="7" t="n">
        <x:v>772</x:v>
      </x:c>
    </x:row>
    <x:row r="24" ht="16" customHeight="1">
      <x:c r="A24" s="7" t="n">
        <x:v>21</x:v>
      </x:c>
      <x:c r="B24" s="8" t="n">
        <x:v>45836</x:v>
      </x:c>
      <x:c r="C24" s="7" t="str">
        <x:v>Haven</x:v>
      </x:c>
      <x:c r="D24" s="7" t="str">
        <x:v>7th</x:v>
      </x:c>
      <x:c r="E24" s="7" t="str">
        <x:v>Jett</x:v>
      </x:c>
      <x:c r="F24" s="7" t="n">
        <x:v>14</x:v>
      </x:c>
      <x:c r="G24" s="7" t="n">
        <x:v>12</x:v>
      </x:c>
      <x:c r="H24" s="7" t="str">
        <x:f>IF(F24&gt;G24,"Win",IF(F24&lt;G24,"Loss","Draw"))</x:f>
        <x:v>Win</x:v>
      </x:c>
      <x:c r="I24" s="7" t="n">
        <x:f>IF(H24="Win",1,0)</x:f>
        <x:v>1</x:v>
      </x:c>
      <x:c r="J24" s="7" t="n">
        <x:f>F24-G24</x:f>
        <x:v>2</x:v>
      </x:c>
      <x:c r="K24" s="7" t="n">
        <x:f>F24+G24</x:f>
        <x:v>26</x:v>
      </x:c>
      <x:c r="L24" s="7" t="n">
        <x:v>19</x:v>
      </x:c>
      <x:c r="M24" s="7" t="n">
        <x:v>20</x:v>
      </x:c>
      <x:c r="N24" s="7" t="n">
        <x:v>1</x:v>
      </x:c>
      <x:c r="O24" s="9" t="n">
        <x:f>IF(M24=0,"n.a.",L24/M24)</x:f>
        <x:v>0.95</x:v>
      </x:c>
      <x:c r="P24" s="9" t="n">
        <x:f>IF(K24=0,"n.a.",L24/K24)</x:f>
        <x:v>0.7307692307692307</x:v>
      </x:c>
      <x:c r="Q24" s="9" t="n">
        <x:f>IF(K24=0,"n.a.",M24/K24)</x:f>
        <x:v>0.7692307692307693</x:v>
      </x:c>
      <x:c r="R24" s="9" t="n">
        <x:f>IF(K24=0,"n.a.",N24/K24)</x:f>
        <x:v>0.038461538461538464</x:v>
      </x:c>
      <x:c r="S24" s="7" t="n">
        <x:v>-20</x:v>
      </x:c>
      <x:c r="T24" s="10" t="n">
        <x:v>0.27</x:v>
      </x:c>
      <x:c r="U24" s="7" t="n">
        <x:v>198</x:v>
      </x:c>
      <x:c r="V24" s="7" t="n">
        <x:v>412</x:v>
      </x:c>
    </x:row>
    <x:row r="25" ht="16" customHeight="1">
      <x:c r="A25" s="7" t="n">
        <x:v>22</x:v>
      </x:c>
      <x:c r="B25" s="8" t="n">
        <x:v>45837</x:v>
      </x:c>
      <x:c r="C25" s="7" t="str">
        <x:v>Ascent</x:v>
      </x:c>
      <x:c r="D25" s="7" t="str">
        <x:v>MVP</x:v>
      </x:c>
      <x:c r="E25" s="7" t="str">
        <x:v>Reyna</x:v>
      </x:c>
      <x:c r="F25" s="7" t="n">
        <x:v>14</x:v>
      </x:c>
      <x:c r="G25" s="7" t="n">
        <x:v>12</x:v>
      </x:c>
      <x:c r="H25" s="7" t="str">
        <x:f>IF(F25&gt;G25,"Win",IF(F25&lt;G25,"Loss","Draw"))</x:f>
        <x:v>Win</x:v>
      </x:c>
      <x:c r="I25" s="7" t="n">
        <x:f>IF(H25="Win",1,0)</x:f>
        <x:v>1</x:v>
      </x:c>
      <x:c r="J25" s="7" t="n">
        <x:f>F25-G25</x:f>
        <x:v>2</x:v>
      </x:c>
      <x:c r="K25" s="7" t="n">
        <x:f>F25+G25</x:f>
        <x:v>26</x:v>
      </x:c>
      <x:c r="L25" s="7" t="n">
        <x:v>28</x:v>
      </x:c>
      <x:c r="M25" s="7" t="n">
        <x:v>18</x:v>
      </x:c>
      <x:c r="N25" s="7" t="n">
        <x:v>3</x:v>
      </x:c>
      <x:c r="O25" s="9" t="n">
        <x:f>IF(M25=0,"n.a.",L25/M25)</x:f>
        <x:v>1.5555555555555556</x:v>
      </x:c>
      <x:c r="P25" s="9" t="n">
        <x:f>IF(K25=0,"n.a.",L25/K25)</x:f>
        <x:v>1.0769230769230769</x:v>
      </x:c>
      <x:c r="Q25" s="9" t="n">
        <x:f>IF(K25=0,"n.a.",M25/K25)</x:f>
        <x:v>0.6923076923076923</x:v>
      </x:c>
      <x:c r="R25" s="9" t="n">
        <x:f>IF(K25=0,"n.a.",N25/K25)</x:f>
        <x:v>0.11538461538461539</x:v>
      </x:c>
      <x:c r="S25" s="7" t="n">
        <x:v>46</x:v>
      </x:c>
      <x:c r="T25" s="10" t="n">
        <x:v>0.33</x:v>
      </x:c>
      <x:c r="U25" s="7" t="n">
        <x:v>305</x:v>
      </x:c>
      <x:c r="V25" s="7" t="n">
        <x:v>886</x:v>
      </x:c>
    </x:row>
    <x:row r="26" ht="16" customHeight="1">
      <x:c r="A26" s="7" t="n">
        <x:v>23</x:v>
      </x:c>
      <x:c r="B26" s="8" t="n">
        <x:v>45837</x:v>
      </x:c>
      <x:c r="C26" s="7" t="str">
        <x:v>Lotus</x:v>
      </x:c>
      <x:c r="D26" s="7" t="str">
        <x:v>2nd</x:v>
      </x:c>
      <x:c r="E26" s="7" t="str">
        <x:v>Neon</x:v>
      </x:c>
      <x:c r="F26" s="7" t="n">
        <x:v>9</x:v>
      </x:c>
      <x:c r="G26" s="7" t="n">
        <x:v>13</x:v>
      </x:c>
      <x:c r="H26" s="7" t="str">
        <x:f>IF(F26&gt;G26,"Win",IF(F26&lt;G26,"Loss","Draw"))</x:f>
        <x:v>Loss</x:v>
      </x:c>
      <x:c r="I26" s="7" t="n">
        <x:f>IF(H26="Win",1,0)</x:f>
        <x:v>0</x:v>
      </x:c>
      <x:c r="J26" s="7" t="n">
        <x:f>F26-G26</x:f>
        <x:v>-4</x:v>
      </x:c>
      <x:c r="K26" s="7" t="n">
        <x:f>F26+G26</x:f>
        <x:v>22</x:v>
      </x:c>
      <x:c r="L26" s="7" t="n">
        <x:v>24</x:v>
      </x:c>
      <x:c r="M26" s="7" t="n">
        <x:v>19</x:v>
      </x:c>
      <x:c r="N26" s="7" t="n">
        <x:v>0</x:v>
      </x:c>
      <x:c r="O26" s="9" t="n">
        <x:f>IF(M26=0,"n.a.",L26/M26)</x:f>
        <x:v>1.263157894736842</x:v>
      </x:c>
      <x:c r="P26" s="9" t="n">
        <x:f>IF(K26=0,"n.a.",L26/K26)</x:f>
        <x:v>1.0909090909090908</x:v>
      </x:c>
      <x:c r="Q26" s="9" t="n">
        <x:f>IF(K26=0,"n.a.",M26/K26)</x:f>
        <x:v>0.8636363636363636</x:v>
      </x:c>
      <x:c r="R26" s="9" t="n">
        <x:f>IF(K26=0,"n.a.",N26/K26)</x:f>
        <x:v>0</x:v>
      </x:c>
      <x:c r="S26" s="7" t="n">
        <x:v>33</x:v>
      </x:c>
      <x:c r="T26" s="10" t="n">
        <x:v>0.27</x:v>
      </x:c>
      <x:c r="U26" s="7" t="n">
        <x:v>301</x:v>
      </x:c>
      <x:c r="V26" s="7" t="n">
        <x:v>660</x:v>
      </x:c>
    </x:row>
    <x:row r="27" ht="16" customHeight="1">
      <x:c r="A27" s="7" t="n">
        <x:v>24</x:v>
      </x:c>
      <x:c r="B27" s="8" t="n">
        <x:v>45837</x:v>
      </x:c>
      <x:c r="C27" s="7" t="str">
        <x:v>Haven</x:v>
      </x:c>
      <x:c r="D27" s="7" t="str">
        <x:v>3rd</x:v>
      </x:c>
      <x:c r="E27" s="7" t="str">
        <x:v>Jett</x:v>
      </x:c>
      <x:c r="F27" s="7" t="n">
        <x:v>10</x:v>
      </x:c>
      <x:c r="G27" s="7" t="n">
        <x:v>13</x:v>
      </x:c>
      <x:c r="H27" s="7" t="str">
        <x:f>IF(F27&gt;G27,"Win",IF(F27&lt;G27,"Loss","Draw"))</x:f>
        <x:v>Loss</x:v>
      </x:c>
      <x:c r="I27" s="7" t="n">
        <x:f>IF(H27="Win",1,0)</x:f>
        <x:v>0</x:v>
      </x:c>
      <x:c r="J27" s="7" t="n">
        <x:f>F27-G27</x:f>
        <x:v>-3</x:v>
      </x:c>
      <x:c r="K27" s="7" t="n">
        <x:f>F27+G27</x:f>
        <x:v>23</x:v>
      </x:c>
      <x:c r="L27" s="7" t="n">
        <x:v>26</x:v>
      </x:c>
      <x:c r="M27" s="7" t="n">
        <x:v>17</x:v>
      </x:c>
      <x:c r="N27" s="7" t="n">
        <x:v>5</x:v>
      </x:c>
      <x:c r="O27" s="9" t="n">
        <x:f>IF(M27=0,"n.a.",L27/M27)</x:f>
        <x:v>1.5294117647058822</x:v>
      </x:c>
      <x:c r="P27" s="9" t="n">
        <x:f>IF(K27=0,"n.a.",L27/K27)</x:f>
        <x:v>1.1304347826086956</x:v>
      </x:c>
      <x:c r="Q27" s="9" t="n">
        <x:f>IF(K27=0,"n.a.",M27/K27)</x:f>
        <x:v>0.7391304347826086</x:v>
      </x:c>
      <x:c r="R27" s="9" t="n">
        <x:f>IF(K27=0,"n.a.",N27/K27)</x:f>
        <x:v>0.21739130434782608</x:v>
      </x:c>
      <x:c r="S27" s="7" t="n">
        <x:v>54</x:v>
      </x:c>
      <x:c r="T27" s="10" t="n">
        <x:v>0.19</x:v>
      </x:c>
      <x:c r="U27" s="7" t="n">
        <x:v>321</x:v>
      </x:c>
      <x:c r="V27" s="7" t="n">
        <x:v>725</x:v>
      </x:c>
    </x:row>
    <x:row r="28" ht="16" customHeight="1">
      <x:c r="A28" s="7" t="n">
        <x:v>25</x:v>
      </x:c>
      <x:c r="B28" s="8" t="n">
        <x:v>45837</x:v>
      </x:c>
      <x:c r="C28" s="7" t="str">
        <x:v>Sunset</x:v>
      </x:c>
      <x:c r="D28" s="7" t="str">
        <x:v>6th</x:v>
      </x:c>
      <x:c r="E28" s="7" t="str">
        <x:v>Neon</x:v>
      </x:c>
      <x:c r="F28" s="7" t="n">
        <x:v>13</x:v>
      </x:c>
      <x:c r="G28" s="7" t="n">
        <x:v>9</x:v>
      </x:c>
      <x:c r="H28" s="7" t="str">
        <x:f>IF(F28&gt;G28,"Win",IF(F28&lt;G28,"Loss","Draw"))</x:f>
        <x:v>Win</x:v>
      </x:c>
      <x:c r="I28" s="7" t="n">
        <x:f>IF(H28="Win",1,0)</x:f>
        <x:v>1</x:v>
      </x:c>
      <x:c r="J28" s="7" t="n">
        <x:f>F28-G28</x:f>
        <x:v>4</x:v>
      </x:c>
      <x:c r="K28" s="7" t="n">
        <x:f>F28+G28</x:f>
        <x:v>22</x:v>
      </x:c>
      <x:c r="L28" s="7" t="n">
        <x:v>13</x:v>
      </x:c>
      <x:c r="M28" s="7" t="n">
        <x:v>20</x:v>
      </x:c>
      <x:c r="N28" s="7" t="n">
        <x:v>5</x:v>
      </x:c>
      <x:c r="O28" s="9" t="n">
        <x:f>IF(M28=0,"n.a.",L28/M28)</x:f>
        <x:v>0.65</x:v>
      </x:c>
      <x:c r="P28" s="9" t="n">
        <x:f>IF(K28=0,"n.a.",L28/K28)</x:f>
        <x:v>0.5909090909090909</x:v>
      </x:c>
      <x:c r="Q28" s="9" t="n">
        <x:f>IF(K28=0,"n.a.",M28/K28)</x:f>
        <x:v>0.9090909090909091</x:v>
      </x:c>
      <x:c r="R28" s="9" t="n">
        <x:f>IF(K28=0,"n.a.",N28/K28)</x:f>
        <x:v>0.22727272727272727</x:v>
      </x:c>
      <x:c r="S28" s="7" t="n">
        <x:v>-41</x:v>
      </x:c>
      <x:c r="T28" s="10" t="n">
        <x:v>0.33</x:v>
      </x:c>
      <x:c r="U28" s="7" t="n">
        <x:v>190</x:v>
      </x:c>
      <x:c r="V28" s="7" t="n">
        <x:v>375</x:v>
      </x:c>
    </x:row>
    <x:row r="29" ht="16" customHeight="1">
      <x:c r="A29" s="7" t="n">
        <x:v>26</x:v>
      </x:c>
      <x:c r="B29" s="8" t="n">
        <x:v>45837</x:v>
      </x:c>
      <x:c r="C29" s="7" t="str">
        <x:v>Sunset</x:v>
      </x:c>
      <x:c r="D29" s="7" t="str">
        <x:v>5th</x:v>
      </x:c>
      <x:c r="E29" s="7" t="str">
        <x:v>Neon</x:v>
      </x:c>
      <x:c r="F29" s="7" t="n">
        <x:v>13</x:v>
      </x:c>
      <x:c r="G29" s="7" t="n">
        <x:v>7</x:v>
      </x:c>
      <x:c r="H29" s="7" t="str">
        <x:f>IF(F29&gt;G29,"Win",IF(F29&lt;G29,"Loss","Draw"))</x:f>
        <x:v>Win</x:v>
      </x:c>
      <x:c r="I29" s="7" t="n">
        <x:f>IF(H29="Win",1,0)</x:f>
        <x:v>1</x:v>
      </x:c>
      <x:c r="J29" s="7" t="n">
        <x:f>F29-G29</x:f>
        <x:v>6</x:v>
      </x:c>
      <x:c r="K29" s="7" t="n">
        <x:f>F29+G29</x:f>
        <x:v>20</x:v>
      </x:c>
      <x:c r="L29" s="7" t="n">
        <x:v>17</x:v>
      </x:c>
      <x:c r="M29" s="7" t="n">
        <x:v>13</x:v>
      </x:c>
      <x:c r="N29" s="7" t="n">
        <x:v>1</x:v>
      </x:c>
      <x:c r="O29" s="9" t="n">
        <x:f>IF(M29=0,"n.a.",L29/M29)</x:f>
        <x:v>1.3076923076923077</x:v>
      </x:c>
      <x:c r="P29" s="9" t="n">
        <x:f>IF(K29=0,"n.a.",L29/K29)</x:f>
        <x:v>0.85</x:v>
      </x:c>
      <x:c r="Q29" s="9" t="n">
        <x:f>IF(K29=0,"n.a.",M29/K29)</x:f>
        <x:v>0.65</x:v>
      </x:c>
      <x:c r="R29" s="9" t="n">
        <x:f>IF(K29=0,"n.a.",N29/K29)</x:f>
        <x:v>0.05</x:v>
      </x:c>
      <x:c r="S29" s="7" t="n">
        <x:v>33</x:v>
      </x:c>
      <x:c r="T29" s="10" t="n">
        <x:v>0.36</x:v>
      </x:c>
      <x:c r="U29" s="7" t="n">
        <x:v>226</x:v>
      </x:c>
      <x:c r="V29" s="7" t="n">
        <x:v>675</x:v>
      </x:c>
    </x:row>
    <x:row r="30" ht="16" customHeight="1">
      <x:c r="A30" s="7" t="n">
        <x:v>27</x:v>
      </x:c>
      <x:c r="B30" s="8" t="n">
        <x:v>45838</x:v>
      </x:c>
      <x:c r="C30" s="7" t="str">
        <x:v>Corrode</x:v>
      </x:c>
      <x:c r="D30" s="7" t="str">
        <x:v>10th</x:v>
      </x:c>
      <x:c r="E30" s="7" t="str">
        <x:v>Breach</x:v>
      </x:c>
      <x:c r="F30" s="7" t="n">
        <x:v>9</x:v>
      </x:c>
      <x:c r="G30" s="7" t="n">
        <x:v>13</x:v>
      </x:c>
      <x:c r="H30" s="7" t="str">
        <x:f>IF(F30&gt;G30,"Win",IF(F30&lt;G30,"Loss","Draw"))</x:f>
        <x:v>Loss</x:v>
      </x:c>
      <x:c r="I30" s="7" t="n">
        <x:f>IF(H30="Win",1,0)</x:f>
        <x:v>0</x:v>
      </x:c>
      <x:c r="J30" s="7" t="n">
        <x:f>F30-G30</x:f>
        <x:v>-4</x:v>
      </x:c>
      <x:c r="K30" s="7" t="n">
        <x:f>F30+G30</x:f>
        <x:v>22</x:v>
      </x:c>
      <x:c r="L30" s="7" t="n">
        <x:v>6</x:v>
      </x:c>
      <x:c r="M30" s="7" t="n">
        <x:v>21</x:v>
      </x:c>
      <x:c r="N30" s="7" t="n">
        <x:v>10</x:v>
      </x:c>
      <x:c r="O30" s="9" t="n">
        <x:f>IF(M30=0,"n.a.",L30/M30)</x:f>
        <x:v>0.2857142857142857</x:v>
      </x:c>
      <x:c r="P30" s="9" t="n">
        <x:f>IF(K30=0,"n.a.",L30/K30)</x:f>
        <x:v>0.2727272727272727</x:v>
      </x:c>
      <x:c r="Q30" s="9" t="n">
        <x:f>IF(K30=0,"n.a.",M30/K30)</x:f>
        <x:v>0.9545454545454546</x:v>
      </x:c>
      <x:c r="R30" s="9" t="n">
        <x:f>IF(K30=0,"n.a.",N30/K30)</x:f>
        <x:v>0.45454545454545453</x:v>
      </x:c>
      <x:c r="S30" s="7" t="n">
        <x:v>-84</x:v>
      </x:c>
      <x:c r="T30" s="10" t="n">
        <x:v>0.12</x:v>
      </x:c>
      <x:c r="U30" s="7" t="n">
        <x:v>99</x:v>
      </x:c>
      <x:c r="V30" s="7" t="n">
        <x:v>147</x:v>
      </x:c>
    </x:row>
    <x:row r="31" ht="16" customHeight="1">
      <x:c r="A31" s="7" t="n">
        <x:v>28</x:v>
      </x:c>
      <x:c r="B31" s="8" t="n">
        <x:v>45838</x:v>
      </x:c>
      <x:c r="C31" s="7" t="str">
        <x:v>Bind</x:v>
      </x:c>
      <x:c r="D31" s="7" t="str">
        <x:v>9th</x:v>
      </x:c>
      <x:c r="E31" s="7" t="str">
        <x:v>Reyna</x:v>
      </x:c>
      <x:c r="F31" s="7" t="n">
        <x:v>12</x:v>
      </x:c>
      <x:c r="G31" s="7" t="n">
        <x:v>14</x:v>
      </x:c>
      <x:c r="H31" s="7" t="str">
        <x:f>IF(F31&gt;G31,"Win",IF(F31&lt;G31,"Loss","Draw"))</x:f>
        <x:v>Loss</x:v>
      </x:c>
      <x:c r="I31" s="7" t="n">
        <x:f>IF(H31="Win",1,0)</x:f>
        <x:v>0</x:v>
      </x:c>
      <x:c r="J31" s="7" t="n">
        <x:f>F31-G31</x:f>
        <x:v>-2</x:v>
      </x:c>
      <x:c r="K31" s="7" t="n">
        <x:f>F31+G31</x:f>
        <x:v>26</x:v>
      </x:c>
      <x:c r="L31" s="7" t="n">
        <x:v>11</x:v>
      </x:c>
      <x:c r="M31" s="7" t="n">
        <x:v>20</x:v>
      </x:c>
      <x:c r="N31" s="7" t="n">
        <x:v>5</x:v>
      </x:c>
      <x:c r="O31" s="9" t="n">
        <x:f>IF(M31=0,"n.a.",L31/M31)</x:f>
        <x:v>0.55</x:v>
      </x:c>
      <x:c r="P31" s="9" t="n">
        <x:f>IF(K31=0,"n.a.",L31/K31)</x:f>
        <x:v>0.4230769230769231</x:v>
      </x:c>
      <x:c r="Q31" s="9" t="n">
        <x:f>IF(K31=0,"n.a.",M31/K31)</x:f>
        <x:v>0.7692307692307693</x:v>
      </x:c>
      <x:c r="R31" s="9" t="n">
        <x:f>IF(K31=0,"n.a.",N31/K31)</x:f>
        <x:v>0.19230769230769232</x:v>
      </x:c>
      <x:c r="S31" s="7" t="n">
        <x:v>-65</x:v>
      </x:c>
      <x:c r="T31" s="10" t="n">
        <x:v>0.1</x:v>
      </x:c>
      <x:c r="U31" s="7" t="n">
        <x:v>117</x:v>
      </x:c>
      <x:c r="V31" s="7" t="n">
        <x:v>157</x:v>
      </x:c>
    </x:row>
    <x:row r="32" ht="16" customHeight="1">
      <x:c r="A32" s="7" t="n">
        <x:v>29</x:v>
      </x:c>
      <x:c r="B32" s="8" t="n">
        <x:v>45838</x:v>
      </x:c>
      <x:c r="C32" s="7" t="str">
        <x:v>Ascent</x:v>
      </x:c>
      <x:c r="D32" s="7" t="str">
        <x:v>8th</x:v>
      </x:c>
      <x:c r="E32" s="7" t="str">
        <x:v>Phoenix</x:v>
      </x:c>
      <x:c r="F32" s="7" t="n">
        <x:v>13</x:v>
      </x:c>
      <x:c r="G32" s="7" t="n">
        <x:v>9</x:v>
      </x:c>
      <x:c r="H32" s="7" t="str">
        <x:f>IF(F32&gt;G32,"Win",IF(F32&lt;G32,"Loss","Draw"))</x:f>
        <x:v>Win</x:v>
      </x:c>
      <x:c r="I32" s="7" t="n">
        <x:f>IF(H32="Win",1,0)</x:f>
        <x:v>1</x:v>
      </x:c>
      <x:c r="J32" s="7" t="n">
        <x:f>F32-G32</x:f>
        <x:v>4</x:v>
      </x:c>
      <x:c r="K32" s="7" t="n">
        <x:f>F32+G32</x:f>
        <x:v>22</x:v>
      </x:c>
      <x:c r="L32" s="7" t="n">
        <x:v>16</x:v>
      </x:c>
      <x:c r="M32" s="7" t="n">
        <x:v>16</x:v>
      </x:c>
      <x:c r="N32" s="7" t="n">
        <x:v>6</x:v>
      </x:c>
      <x:c r="O32" s="9" t="n">
        <x:f>IF(M32=0,"n.a.",L32/M32)</x:f>
        <x:v>1</x:v>
      </x:c>
      <x:c r="P32" s="9" t="n">
        <x:f>IF(K32=0,"n.a.",L32/K32)</x:f>
        <x:v>0.7272727272727273</x:v>
      </x:c>
      <x:c r="Q32" s="9" t="n">
        <x:f>IF(K32=0,"n.a.",M32/K32)</x:f>
        <x:v>0.7272727272727273</x:v>
      </x:c>
      <x:c r="R32" s="9" t="n">
        <x:f>IF(K32=0,"n.a.",N32/K32)</x:f>
        <x:v>0.2727272727272727</x:v>
      </x:c>
      <x:c r="S32" s="7" t="n">
        <x:v>-37</x:v>
      </x:c>
      <x:c r="T32" s="10" t="n">
        <x:v>0.17</x:v>
      </x:c>
      <x:c r="U32" s="7" t="n">
        <x:v>188</x:v>
      </x:c>
      <x:c r="V32" s="7" t="n">
        <x:v>464</x:v>
      </x:c>
    </x:row>
    <x:row r="33" ht="16" customHeight="1">
      <x:c r="A33" s="7" t="n">
        <x:v>30</x:v>
      </x:c>
      <x:c r="B33" s="8" t="n">
        <x:v>45838</x:v>
      </x:c>
      <x:c r="C33" s="7" t="str">
        <x:v>Lotus</x:v>
      </x:c>
      <x:c r="D33" s="7" t="str">
        <x:v>6th</x:v>
      </x:c>
      <x:c r="E33" s="7" t="str">
        <x:v>Neon</x:v>
      </x:c>
      <x:c r="F33" s="7" t="n">
        <x:v>13</x:v>
      </x:c>
      <x:c r="G33" s="7" t="n">
        <x:v>10</x:v>
      </x:c>
      <x:c r="H33" s="7" t="str">
        <x:f>IF(F33&gt;G33,"Win",IF(F33&lt;G33,"Loss","Draw"))</x:f>
        <x:v>Win</x:v>
      </x:c>
      <x:c r="I33" s="7" t="n">
        <x:f>IF(H33="Win",1,0)</x:f>
        <x:v>1</x:v>
      </x:c>
      <x:c r="J33" s="7" t="n">
        <x:f>F33-G33</x:f>
        <x:v>3</x:v>
      </x:c>
      <x:c r="K33" s="7" t="n">
        <x:f>F33+G33</x:f>
        <x:v>23</x:v>
      </x:c>
      <x:c r="L33" s="7" t="n">
        <x:v>17</x:v>
      </x:c>
      <x:c r="M33" s="7" t="n">
        <x:v>20</x:v>
      </x:c>
      <x:c r="N33" s="7" t="n">
        <x:v>2</x:v>
      </x:c>
      <x:c r="O33" s="9" t="n">
        <x:f>IF(M33=0,"n.a.",L33/M33)</x:f>
        <x:v>0.85</x:v>
      </x:c>
      <x:c r="P33" s="9" t="n">
        <x:f>IF(K33=0,"n.a.",L33/K33)</x:f>
        <x:v>0.7391304347826086</x:v>
      </x:c>
      <x:c r="Q33" s="9" t="n">
        <x:f>IF(K33=0,"n.a.",M33/K33)</x:f>
        <x:v>0.8695652173913043</x:v>
      </x:c>
      <x:c r="R33" s="9" t="n">
        <x:f>IF(K33=0,"n.a.",N33/K33)</x:f>
        <x:v>0.08695652173913043</x:v>
      </x:c>
      <x:c r="S33" s="7" t="n">
        <x:v>-37</x:v>
      </x:c>
      <x:c r="T33" s="10" t="n">
        <x:v>0.28</x:v>
      </x:c>
      <x:c r="U33" s="7" t="n">
        <x:v>195</x:v>
      </x:c>
      <x:c r="V33" s="7" t="n">
        <x:v>406</x:v>
      </x:c>
    </x:row>
    <x:row r="34" ht="16" customHeight="1">
      <x:c r="A34" s="7" t="n">
        <x:v>31</x:v>
      </x:c>
      <x:c r="B34" s="8" t="n">
        <x:v>45838</x:v>
      </x:c>
      <x:c r="C34" s="7" t="str">
        <x:v>Haven</x:v>
      </x:c>
      <x:c r="D34" s="7" t="str">
        <x:v>9th</x:v>
      </x:c>
      <x:c r="E34" s="7" t="str">
        <x:v>Neon</x:v>
      </x:c>
      <x:c r="F34" s="7" t="n">
        <x:v>13</x:v>
      </x:c>
      <x:c r="G34" s="7" t="n">
        <x:v>9</x:v>
      </x:c>
      <x:c r="H34" s="7" t="str">
        <x:f>IF(F34&gt;G34,"Win",IF(F34&lt;G34,"Loss","Draw"))</x:f>
        <x:v>Win</x:v>
      </x:c>
      <x:c r="I34" s="7" t="n">
        <x:f>IF(H34="Win",1,0)</x:f>
        <x:v>1</x:v>
      </x:c>
      <x:c r="J34" s="7" t="n">
        <x:f>F34-G34</x:f>
        <x:v>4</x:v>
      </x:c>
      <x:c r="K34" s="7" t="n">
        <x:f>F34+G34</x:f>
        <x:v>22</x:v>
      </x:c>
      <x:c r="L34" s="7" t="n">
        <x:v>12</x:v>
      </x:c>
      <x:c r="M34" s="7" t="n">
        <x:v>21</x:v>
      </x:c>
      <x:c r="N34" s="7" t="n">
        <x:v>3</x:v>
      </x:c>
      <x:c r="O34" s="9" t="n">
        <x:f>IF(M34=0,"n.a.",L34/M34)</x:f>
        <x:v>0.5714285714285714</x:v>
      </x:c>
      <x:c r="P34" s="9" t="n">
        <x:f>IF(K34=0,"n.a.",L34/K34)</x:f>
        <x:v>0.5454545454545454</x:v>
      </x:c>
      <x:c r="Q34" s="9" t="n">
        <x:f>IF(K34=0,"n.a.",M34/K34)</x:f>
        <x:v>0.9545454545454546</x:v>
      </x:c>
      <x:c r="R34" s="9" t="n">
        <x:f>IF(K34=0,"n.a.",N34/K34)</x:f>
        <x:v>0.13636363636363635</x:v>
      </x:c>
      <x:c r="S34" s="7" t="n">
        <x:v>-63</x:v>
      </x:c>
      <x:c r="T34" s="10" t="n">
        <x:v>0.25</x:v>
      </x:c>
      <x:c r="U34" s="7" t="n">
        <x:v>162</x:v>
      </x:c>
      <x:c r="V34" s="7" t="n">
        <x:v>315</x:v>
      </x:c>
    </x:row>
    <x:row r="35" ht="16" customHeight="1">
      <x:c r="A35" s="7" t="n">
        <x:v>32</x:v>
      </x:c>
      <x:c r="B35" s="8" t="n">
        <x:v>45838</x:v>
      </x:c>
      <x:c r="C35" s="7" t="str">
        <x:v>Haven</x:v>
      </x:c>
      <x:c r="D35" s="7" t="str">
        <x:v>6th</x:v>
      </x:c>
      <x:c r="E35" s="7" t="str">
        <x:v>Clove</x:v>
      </x:c>
      <x:c r="F35" s="7" t="n">
        <x:v>11</x:v>
      </x:c>
      <x:c r="G35" s="7" t="n">
        <x:v>13</x:v>
      </x:c>
      <x:c r="H35" s="7" t="str">
        <x:f>IF(F35&gt;G35,"Win",IF(F35&lt;G35,"Loss","Draw"))</x:f>
        <x:v>Loss</x:v>
      </x:c>
      <x:c r="I35" s="7" t="n">
        <x:f>IF(H35="Win",1,0)</x:f>
        <x:v>0</x:v>
      </x:c>
      <x:c r="J35" s="7" t="n">
        <x:f>F35-G35</x:f>
        <x:v>-2</x:v>
      </x:c>
      <x:c r="K35" s="7" t="n">
        <x:f>F35+G35</x:f>
        <x:v>24</x:v>
      </x:c>
      <x:c r="L35" s="7" t="n">
        <x:v>18</x:v>
      </x:c>
      <x:c r="M35" s="7" t="n">
        <x:v>23</x:v>
      </x:c>
      <x:c r="N35" s="7" t="n">
        <x:v>5</x:v>
      </x:c>
      <x:c r="O35" s="9" t="n">
        <x:f>IF(M35=0,"n.a.",L35/M35)</x:f>
        <x:v>0.782608695652174</x:v>
      </x:c>
      <x:c r="P35" s="9" t="n">
        <x:f>IF(K35=0,"n.a.",L35/K35)</x:f>
        <x:v>0.75</x:v>
      </x:c>
      <x:c r="Q35" s="9" t="n">
        <x:f>IF(K35=0,"n.a.",M35/K35)</x:f>
        <x:v>0.9583333333333334</x:v>
      </x:c>
      <x:c r="R35" s="9" t="n">
        <x:f>IF(K35=0,"n.a.",N35/K35)</x:f>
        <x:v>0.20833333333333334</x:v>
      </x:c>
      <x:c r="S35" s="7" t="n">
        <x:v>-36</x:v>
      </x:c>
      <x:c r="T35" s="10" t="n">
        <x:v>0.33</x:v>
      </x:c>
      <x:c r="U35" s="7" t="n">
        <x:v>206</x:v>
      </x:c>
      <x:c r="V35" s="7" t="n">
        <x:v>418</x:v>
      </x:c>
    </x:row>
    <x:row r="36" ht="16" customHeight="1">
      <x:c r="A36" s="7" t="n">
        <x:v>33</x:v>
      </x:c>
      <x:c r="B36" s="8" t="n">
        <x:v>45839</x:v>
      </x:c>
      <x:c r="C36" s="7" t="str">
        <x:v>Sunset</x:v>
      </x:c>
      <x:c r="D36" s="7" t="str">
        <x:v>2nd</x:v>
      </x:c>
      <x:c r="E36" s="7" t="str">
        <x:v>Iso</x:v>
      </x:c>
      <x:c r="F36" s="7" t="n">
        <x:v>13</x:v>
      </x:c>
      <x:c r="G36" s="7" t="n">
        <x:v>3</x:v>
      </x:c>
      <x:c r="H36" s="7" t="str">
        <x:f>IF(F36&gt;G36,"Win",IF(F36&lt;G36,"Loss","Draw"))</x:f>
        <x:v>Win</x:v>
      </x:c>
      <x:c r="I36" s="7" t="n">
        <x:f>IF(H36="Win",1,0)</x:f>
        <x:v>1</x:v>
      </x:c>
      <x:c r="J36" s="7" t="n">
        <x:f>F36-G36</x:f>
        <x:v>10</x:v>
      </x:c>
      <x:c r="K36" s="7" t="n">
        <x:f>F36+G36</x:f>
        <x:v>16</x:v>
      </x:c>
      <x:c r="L36" s="7" t="n">
        <x:v>17</x:v>
      </x:c>
      <x:c r="M36" s="7" t="n">
        <x:v>13</x:v>
      </x:c>
      <x:c r="N36" s="7" t="n">
        <x:v>3</x:v>
      </x:c>
      <x:c r="O36" s="9" t="n">
        <x:f>IF(M36=0,"n.a.",L36/M36)</x:f>
        <x:v>1.3076923076923077</x:v>
      </x:c>
      <x:c r="P36" s="9" t="n">
        <x:f>IF(K36=0,"n.a.",L36/K36)</x:f>
        <x:v>1.0625</x:v>
      </x:c>
      <x:c r="Q36" s="9" t="n">
        <x:f>IF(K36=0,"n.a.",M36/K36)</x:f>
        <x:v>0.8125</x:v>
      </x:c>
      <x:c r="R36" s="9" t="n">
        <x:f>IF(K36=0,"n.a.",N36/K36)</x:f>
        <x:v>0.1875</x:v>
      </x:c>
      <x:c r="S36" s="7" t="n">
        <x:v>34</x:v>
      </x:c>
      <x:c r="T36" s="10" t="n">
        <x:v>0.56</x:v>
      </x:c>
      <x:c r="U36" s="7" t="n">
        <x:v>282</x:v>
      </x:c>
      <x:c r="V36" s="7" t="n">
        <x:v>854</x:v>
      </x:c>
    </x:row>
    <x:row r="37" ht="16" customHeight="1">
      <x:c r="A37" s="7" t="n">
        <x:v>34</x:v>
      </x:c>
      <x:c r="B37" s="8" t="n">
        <x:v>45839</x:v>
      </x:c>
      <x:c r="C37" s="7" t="str">
        <x:v>Corrode</x:v>
      </x:c>
      <x:c r="D37" s="7" t="str">
        <x:v>3rd</x:v>
      </x:c>
      <x:c r="E37" s="7" t="str">
        <x:v>Reyna</x:v>
      </x:c>
      <x:c r="F37" s="7" t="n">
        <x:v>12</x:v>
      </x:c>
      <x:c r="G37" s="7" t="n">
        <x:v>14</x:v>
      </x:c>
      <x:c r="H37" s="7" t="str">
        <x:f>IF(F37&gt;G37,"Win",IF(F37&lt;G37,"Loss","Draw"))</x:f>
        <x:v>Loss</x:v>
      </x:c>
      <x:c r="I37" s="7" t="n">
        <x:f>IF(H37="Win",1,0)</x:f>
        <x:v>0</x:v>
      </x:c>
      <x:c r="J37" s="7" t="n">
        <x:f>F37-G37</x:f>
        <x:v>-2</x:v>
      </x:c>
      <x:c r="K37" s="7" t="n">
        <x:f>F37+G37</x:f>
        <x:v>26</x:v>
      </x:c>
      <x:c r="L37" s="7" t="n">
        <x:v>24</x:v>
      </x:c>
      <x:c r="M37" s="7" t="n">
        <x:v>20</x:v>
      </x:c>
      <x:c r="N37" s="7" t="n">
        <x:v>1</x:v>
      </x:c>
      <x:c r="O37" s="9" t="n">
        <x:f>IF(M37=0,"n.a.",L37/M37)</x:f>
        <x:v>1.2</x:v>
      </x:c>
      <x:c r="P37" s="9" t="n">
        <x:f>IF(K37=0,"n.a.",L37/K37)</x:f>
        <x:v>0.9230769230769231</x:v>
      </x:c>
      <x:c r="Q37" s="9" t="n">
        <x:f>IF(K37=0,"n.a.",M37/K37)</x:f>
        <x:v>0.7692307692307693</x:v>
      </x:c>
      <x:c r="R37" s="9" t="n">
        <x:f>IF(K37=0,"n.a.",N37/K37)</x:f>
        <x:v>0.038461538461538464</x:v>
      </x:c>
      <x:c r="S37" s="7" t="n">
        <x:v>6</x:v>
      </x:c>
      <x:c r="T37" s="10" t="n">
        <x:v>0.28</x:v>
      </x:c>
      <x:c r="U37" s="7" t="n">
        <x:v>246</x:v>
      </x:c>
      <x:c r="V37" s="7" t="n">
        <x:v>477</x:v>
      </x:c>
    </x:row>
    <x:row r="38" ht="16" customHeight="1">
      <x:c r="A38" s="7" t="n">
        <x:v>35</x:v>
      </x:c>
      <x:c r="B38" s="8" t="n">
        <x:v>45839</x:v>
      </x:c>
      <x:c r="C38" s="7" t="str">
        <x:v>Icebox</x:v>
      </x:c>
      <x:c r="D38" s="7" t="str">
        <x:v>6th</x:v>
      </x:c>
      <x:c r="E38" s="7" t="str">
        <x:v>Neon</x:v>
      </x:c>
      <x:c r="F38" s="7" t="n">
        <x:v>13</x:v>
      </x:c>
      <x:c r="G38" s="7" t="n">
        <x:v>9</x:v>
      </x:c>
      <x:c r="H38" s="7" t="str">
        <x:f>IF(F38&gt;G38,"Win",IF(F38&lt;G38,"Loss","Draw"))</x:f>
        <x:v>Win</x:v>
      </x:c>
      <x:c r="I38" s="7" t="n">
        <x:f>IF(H38="Win",1,0)</x:f>
        <x:v>1</x:v>
      </x:c>
      <x:c r="J38" s="7" t="n">
        <x:f>F38-G38</x:f>
        <x:v>4</x:v>
      </x:c>
      <x:c r="K38" s="7" t="n">
        <x:f>F38+G38</x:f>
        <x:v>22</x:v>
      </x:c>
      <x:c r="L38" s="7" t="n">
        <x:v>17</x:v>
      </x:c>
      <x:c r="M38" s="7" t="n">
        <x:v>17</x:v>
      </x:c>
      <x:c r="N38" s="7" t="n">
        <x:v>3</x:v>
      </x:c>
      <x:c r="O38" s="9" t="n">
        <x:f>IF(M38=0,"n.a.",L38/M38)</x:f>
        <x:v>1</x:v>
      </x:c>
      <x:c r="P38" s="9" t="n">
        <x:f>IF(K38=0,"n.a.",L38/K38)</x:f>
        <x:v>0.7727272727272727</x:v>
      </x:c>
      <x:c r="Q38" s="9" t="n">
        <x:f>IF(K38=0,"n.a.",M38/K38)</x:f>
        <x:v>0.7727272727272727</x:v>
      </x:c>
      <x:c r="R38" s="9" t="n">
        <x:f>IF(K38=0,"n.a.",N38/K38)</x:f>
        <x:v>0.13636363636363635</x:v>
      </x:c>
      <x:c r="S38" s="7" t="n">
        <x:v>-1</x:v>
      </x:c>
      <x:c r="T38" s="10" t="n">
        <x:v>0.24</x:v>
      </x:c>
      <x:c r="U38" s="7" t="n">
        <x:v>212</x:v>
      </x:c>
      <x:c r="V38" s="7" t="n">
        <x:v>669</x:v>
      </x:c>
    </x:row>
    <x:row r="39" ht="16" customHeight="1">
      <x:c r="A39" s="7" t="n">
        <x:v>36</x:v>
      </x:c>
      <x:c r="B39" s="8" t="n">
        <x:v>45839</x:v>
      </x:c>
      <x:c r="C39" s="7" t="str">
        <x:v>Haven</x:v>
      </x:c>
      <x:c r="D39" s="7" t="str">
        <x:v>5th</x:v>
      </x:c>
      <x:c r="E39" s="7" t="str">
        <x:v>Neon</x:v>
      </x:c>
      <x:c r="F39" s="7" t="n">
        <x:v>13</x:v>
      </x:c>
      <x:c r="G39" s="7" t="n">
        <x:v>11</x:v>
      </x:c>
      <x:c r="H39" s="7" t="str">
        <x:f>IF(F39&gt;G39,"Win",IF(F39&lt;G39,"Loss","Draw"))</x:f>
        <x:v>Win</x:v>
      </x:c>
      <x:c r="I39" s="7" t="n">
        <x:f>IF(H39="Win",1,0)</x:f>
        <x:v>1</x:v>
      </x:c>
      <x:c r="J39" s="7" t="n">
        <x:f>F39-G39</x:f>
        <x:v>2</x:v>
      </x:c>
      <x:c r="K39" s="7" t="n">
        <x:f>F39+G39</x:f>
        <x:v>24</x:v>
      </x:c>
      <x:c r="L39" s="7" t="n">
        <x:v>24</x:v>
      </x:c>
      <x:c r="M39" s="7" t="n">
        <x:v>20</x:v>
      </x:c>
      <x:c r="N39" s="7" t="n">
        <x:v>2</x:v>
      </x:c>
      <x:c r="O39" s="9" t="n">
        <x:f>IF(M39=0,"n.a.",L39/M39)</x:f>
        <x:v>1.2</x:v>
      </x:c>
      <x:c r="P39" s="9" t="n">
        <x:f>IF(K39=0,"n.a.",L39/K39)</x:f>
        <x:v>1</x:v>
      </x:c>
      <x:c r="Q39" s="9" t="n">
        <x:f>IF(K39=0,"n.a.",M39/K39)</x:f>
        <x:v>0.8333333333333334</x:v>
      </x:c>
      <x:c r="R39" s="9" t="n">
        <x:f>IF(K39=0,"n.a.",N39/K39)</x:f>
        <x:v>0.08333333333333333</x:v>
      </x:c>
      <x:c r="S39" s="7" t="n">
        <x:v>11</x:v>
      </x:c>
      <x:c r="T39" s="10" t="n">
        <x:v>0.19</x:v>
      </x:c>
      <x:c r="U39" s="7" t="n">
        <x:v>260</x:v>
      </x:c>
      <x:c r="V39" s="7" t="n">
        <x:v>672</x:v>
      </x:c>
    </x:row>
    <x:row r="40" ht="16" customHeight="1">
      <x:c r="A40" s="7" t="n">
        <x:v>37</x:v>
      </x:c>
      <x:c r="B40" s="8" t="n">
        <x:v>45839</x:v>
      </x:c>
      <x:c r="C40" s="7" t="str">
        <x:v>Haven</x:v>
      </x:c>
      <x:c r="D40" s="7" t="str">
        <x:v>2nd</x:v>
      </x:c>
      <x:c r="E40" s="7" t="str">
        <x:v>Neon</x:v>
      </x:c>
      <x:c r="F40" s="7" t="n">
        <x:v>11</x:v>
      </x:c>
      <x:c r="G40" s="7" t="n">
        <x:v>13</x:v>
      </x:c>
      <x:c r="H40" s="7" t="str">
        <x:f>IF(F40&gt;G40,"Win",IF(F40&lt;G40,"Loss","Draw"))</x:f>
        <x:v>Loss</x:v>
      </x:c>
      <x:c r="I40" s="7" t="n">
        <x:f>IF(H40="Win",1,0)</x:f>
        <x:v>0</x:v>
      </x:c>
      <x:c r="J40" s="7" t="n">
        <x:f>F40-G40</x:f>
        <x:v>-2</x:v>
      </x:c>
      <x:c r="K40" s="7" t="n">
        <x:f>F40+G40</x:f>
        <x:v>24</x:v>
      </x:c>
      <x:c r="L40" s="7" t="n">
        <x:v>24</x:v>
      </x:c>
      <x:c r="M40" s="7" t="n">
        <x:v>21</x:v>
      </x:c>
      <x:c r="N40" s="7" t="n">
        <x:v>1</x:v>
      </x:c>
      <x:c r="O40" s="9" t="n">
        <x:f>IF(M40=0,"n.a.",L40/M40)</x:f>
        <x:v>1.1428571428571428</x:v>
      </x:c>
      <x:c r="P40" s="9" t="n">
        <x:f>IF(K40=0,"n.a.",L40/K40)</x:f>
        <x:v>1</x:v>
      </x:c>
      <x:c r="Q40" s="9" t="n">
        <x:f>IF(K40=0,"n.a.",M40/K40)</x:f>
        <x:v>0.875</x:v>
      </x:c>
      <x:c r="R40" s="9" t="n">
        <x:f>IF(K40=0,"n.a.",N40/K40)</x:f>
        <x:v>0.041666666666666664</x:v>
      </x:c>
      <x:c r="S40" s="7" t="n">
        <x:v>24</x:v>
      </x:c>
      <x:c r="T40" s="10" t="n">
        <x:v>0.27</x:v>
      </x:c>
      <x:c r="U40" s="7" t="n">
        <x:v>274</x:v>
      </x:c>
      <x:c r="V40" s="7" t="n">
        <x:v>632</x:v>
      </x:c>
    </x:row>
    <x:row r="41" ht="16" customHeight="1">
      <x:c r="A41" s="7" t="n">
        <x:v>38</x:v>
      </x:c>
      <x:c r="B41" s="8" t="n">
        <x:v>45840</x:v>
      </x:c>
      <x:c r="C41" s="7" t="str">
        <x:v>Sunset</x:v>
      </x:c>
      <x:c r="D41" s="7" t="str">
        <x:v>5th</x:v>
      </x:c>
      <x:c r="E41" s="7" t="str">
        <x:v>Iso</x:v>
      </x:c>
      <x:c r="F41" s="7" t="n">
        <x:v>10</x:v>
      </x:c>
      <x:c r="G41" s="7" t="n">
        <x:v>13</x:v>
      </x:c>
      <x:c r="H41" s="7" t="str">
        <x:f>IF(F41&gt;G41,"Win",IF(F41&lt;G41,"Loss","Draw"))</x:f>
        <x:v>Loss</x:v>
      </x:c>
      <x:c r="I41" s="7" t="n">
        <x:f>IF(H41="Win",1,0)</x:f>
        <x:v>0</x:v>
      </x:c>
      <x:c r="J41" s="7" t="n">
        <x:f>F41-G41</x:f>
        <x:v>-3</x:v>
      </x:c>
      <x:c r="K41" s="7" t="n">
        <x:f>F41+G41</x:f>
        <x:v>23</x:v>
      </x:c>
      <x:c r="L41" s="7" t="n">
        <x:v>20</x:v>
      </x:c>
      <x:c r="M41" s="7" t="n">
        <x:v>19</x:v>
      </x:c>
      <x:c r="N41" s="7" t="n">
        <x:v>3</x:v>
      </x:c>
      <x:c r="O41" s="9" t="n">
        <x:f>IF(M41=0,"n.a.",L41/M41)</x:f>
        <x:v>1.0526315789473684</x:v>
      </x:c>
      <x:c r="P41" s="9" t="n">
        <x:f>IF(K41=0,"n.a.",L41/K41)</x:f>
        <x:v>0.8695652173913043</x:v>
      </x:c>
      <x:c r="Q41" s="9" t="n">
        <x:f>IF(K41=0,"n.a.",M41/K41)</x:f>
        <x:v>0.8260869565217391</x:v>
      </x:c>
      <x:c r="R41" s="9" t="n">
        <x:f>IF(K41=0,"n.a.",N41/K41)</x:f>
        <x:v>0.13043478260869565</x:v>
      </x:c>
      <x:c r="S41" s="7" t="n">
        <x:v>15</x:v>
      </x:c>
      <x:c r="T41" s="10" t="n">
        <x:v>0.23</x:v>
      </x:c>
      <x:c r="U41" s="7" t="n">
        <x:v>256</x:v>
      </x:c>
      <x:c r="V41" s="7" t="n">
        <x:v>655</x:v>
      </x:c>
    </x:row>
    <x:row r="42" ht="16" customHeight="1">
      <x:c r="A42" s="7" t="n">
        <x:v>39</x:v>
      </x:c>
      <x:c r="B42" s="8" t="n">
        <x:v>45840</x:v>
      </x:c>
      <x:c r="C42" s="7" t="str">
        <x:v>Icebox</x:v>
      </x:c>
      <x:c r="D42" s="7" t="str">
        <x:v>MVP</x:v>
      </x:c>
      <x:c r="E42" s="7" t="str">
        <x:v>Neon</x:v>
      </x:c>
      <x:c r="F42" s="7" t="n">
        <x:v>13</x:v>
      </x:c>
      <x:c r="G42" s="7" t="n">
        <x:v>7</x:v>
      </x:c>
      <x:c r="H42" s="7" t="str">
        <x:f>IF(F42&gt;G42,"Win",IF(F42&lt;G42,"Loss","Draw"))</x:f>
        <x:v>Win</x:v>
      </x:c>
      <x:c r="I42" s="7" t="n">
        <x:f>IF(H42="Win",1,0)</x:f>
        <x:v>1</x:v>
      </x:c>
      <x:c r="J42" s="7" t="n">
        <x:f>F42-G42</x:f>
        <x:v>6</x:v>
      </x:c>
      <x:c r="K42" s="7" t="n">
        <x:f>F42+G42</x:f>
        <x:v>20</x:v>
      </x:c>
      <x:c r="L42" s="7" t="n">
        <x:v>20</x:v>
      </x:c>
      <x:c r="M42" s="7" t="n">
        <x:v>15</x:v>
      </x:c>
      <x:c r="N42" s="7" t="n">
        <x:v>5</x:v>
      </x:c>
      <x:c r="O42" s="9" t="n">
        <x:f>IF(M42=0,"n.a.",L42/M42)</x:f>
        <x:v>1.3333333333333333</x:v>
      </x:c>
      <x:c r="P42" s="9" t="n">
        <x:f>IF(K42=0,"n.a.",L42/K42)</x:f>
        <x:v>1</x:v>
      </x:c>
      <x:c r="Q42" s="9" t="n">
        <x:f>IF(K42=0,"n.a.",M42/K42)</x:f>
        <x:v>0.75</x:v>
      </x:c>
      <x:c r="R42" s="9" t="n">
        <x:f>IF(K42=0,"n.a.",N42/K42)</x:f>
        <x:v>0.25</x:v>
      </x:c>
      <x:c r="S42" s="7" t="n">
        <x:v>19</x:v>
      </x:c>
      <x:c r="T42" s="10" t="n">
        <x:v>0.23</x:v>
      </x:c>
      <x:c r="U42" s="7" t="n">
        <x:v>294</x:v>
      </x:c>
      <x:c r="V42" s="7" t="n">
        <x:v>733</x:v>
      </x:c>
    </x:row>
    <x:row r="43" ht="16" customHeight="1">
      <x:c r="A43" s="7" t="n">
        <x:v>40</x:v>
      </x:c>
      <x:c r="B43" s="8" t="n">
        <x:v>45841</x:v>
      </x:c>
      <x:c r="C43" s="7" t="str">
        <x:v>Ascent</x:v>
      </x:c>
      <x:c r="D43" s="7" t="str">
        <x:v>4th</x:v>
      </x:c>
      <x:c r="E43" s="7" t="str">
        <x:v>Iso</x:v>
      </x:c>
      <x:c r="F43" s="7" t="n">
        <x:v>13</x:v>
      </x:c>
      <x:c r="G43" s="7" t="n">
        <x:v>10</x:v>
      </x:c>
      <x:c r="H43" s="7" t="str">
        <x:f>IF(F43&gt;G43,"Win",IF(F43&lt;G43,"Loss","Draw"))</x:f>
        <x:v>Win</x:v>
      </x:c>
      <x:c r="I43" s="7" t="n">
        <x:f>IF(H43="Win",1,0)</x:f>
        <x:v>1</x:v>
      </x:c>
      <x:c r="J43" s="7" t="n">
        <x:f>F43-G43</x:f>
        <x:v>3</x:v>
      </x:c>
      <x:c r="K43" s="7" t="n">
        <x:f>F43+G43</x:f>
        <x:v>23</x:v>
      </x:c>
      <x:c r="L43" s="7" t="n">
        <x:v>20</x:v>
      </x:c>
      <x:c r="M43" s="7" t="n">
        <x:v>19</x:v>
      </x:c>
      <x:c r="N43" s="7" t="n">
        <x:v>3</x:v>
      </x:c>
      <x:c r="O43" s="9" t="n">
        <x:f>IF(M43=0,"n.a.",L43/M43)</x:f>
        <x:v>1.0526315789473684</x:v>
      </x:c>
      <x:c r="P43" s="9" t="n">
        <x:f>IF(K43=0,"n.a.",L43/K43)</x:f>
        <x:v>0.8695652173913043</x:v>
      </x:c>
      <x:c r="Q43" s="9" t="n">
        <x:f>IF(K43=0,"n.a.",M43/K43)</x:f>
        <x:v>0.8260869565217391</x:v>
      </x:c>
      <x:c r="R43" s="9" t="n">
        <x:f>IF(K43=0,"n.a.",N43/K43)</x:f>
        <x:v>0.13043478260869565</x:v>
      </x:c>
      <x:c r="S43" s="7" t="n">
        <x:v>15</x:v>
      </x:c>
      <x:c r="T43" s="10" t="n">
        <x:v>0.35</x:v>
      </x:c>
      <x:c r="U43" s="7" t="n">
        <x:v>254</x:v>
      </x:c>
      <x:c r="V43" s="7" t="n">
        <x:v>605</x:v>
      </x:c>
    </x:row>
    <x:row r="44" ht="16" customHeight="1">
      <x:c r="A44" s="7" t="n">
        <x:v>41</x:v>
      </x:c>
      <x:c r="B44" s="8" t="n">
        <x:v>45841</x:v>
      </x:c>
      <x:c r="C44" s="7" t="str">
        <x:v>Haven</x:v>
      </x:c>
      <x:c r="D44" s="7" t="str">
        <x:v>4th</x:v>
      </x:c>
      <x:c r="E44" s="7" t="str">
        <x:v>Jett</x:v>
      </x:c>
      <x:c r="F44" s="7" t="n">
        <x:v>8</x:v>
      </x:c>
      <x:c r="G44" s="7" t="n">
        <x:v>13</x:v>
      </x:c>
      <x:c r="H44" s="7" t="str">
        <x:f>IF(F44&gt;G44,"Win",IF(F44&lt;G44,"Loss","Draw"))</x:f>
        <x:v>Loss</x:v>
      </x:c>
      <x:c r="I44" s="7" t="n">
        <x:f>IF(H44="Win",1,0)</x:f>
        <x:v>0</x:v>
      </x:c>
      <x:c r="J44" s="7" t="n">
        <x:f>F44-G44</x:f>
        <x:v>-5</x:v>
      </x:c>
      <x:c r="K44" s="7" t="n">
        <x:f>F44+G44</x:f>
        <x:v>21</x:v>
      </x:c>
      <x:c r="L44" s="7" t="n">
        <x:v>20</x:v>
      </x:c>
      <x:c r="M44" s="7" t="n">
        <x:v>17</x:v>
      </x:c>
      <x:c r="N44" s="7" t="n">
        <x:v>2</x:v>
      </x:c>
      <x:c r="O44" s="9" t="n">
        <x:f>IF(M44=0,"n.a.",L44/M44)</x:f>
        <x:v>1.1764705882352942</x:v>
      </x:c>
      <x:c r="P44" s="9" t="n">
        <x:f>IF(K44=0,"n.a.",L44/K44)</x:f>
        <x:v>0.9523809523809523</x:v>
      </x:c>
      <x:c r="Q44" s="9" t="n">
        <x:f>IF(K44=0,"n.a.",M44/K44)</x:f>
        <x:v>0.8095238095238095</x:v>
      </x:c>
      <x:c r="R44" s="9" t="n">
        <x:f>IF(K44=0,"n.a.",N44/K44)</x:f>
        <x:v>0.09523809523809523</x:v>
      </x:c>
      <x:c r="S44" s="7" t="n">
        <x:v>20</x:v>
      </x:c>
      <x:c r="T44" s="10" t="n">
        <x:v>0.33</x:v>
      </x:c>
      <x:c r="U44" s="7" t="n">
        <x:v>265</x:v>
      </x:c>
      <x:c r="V44" s="7" t="n">
        <x:v>578</x:v>
      </x:c>
    </x:row>
    <x:row r="45" ht="16" customHeight="1">
      <x:c r="A45" s="7" t="n">
        <x:v>42</x:v>
      </x:c>
      <x:c r="B45" s="8" t="n">
        <x:v>45841</x:v>
      </x:c>
      <x:c r="C45" s="7" t="str">
        <x:v>Corrode</x:v>
      </x:c>
      <x:c r="D45" s="7" t="str">
        <x:v>5th</x:v>
      </x:c>
      <x:c r="E45" s="7" t="str">
        <x:v>Neon</x:v>
      </x:c>
      <x:c r="F45" s="7" t="n">
        <x:v>11</x:v>
      </x:c>
      <x:c r="G45" s="7" t="n">
        <x:v>13</x:v>
      </x:c>
      <x:c r="H45" s="7" t="str">
        <x:f>IF(F45&gt;G45,"Win",IF(F45&lt;G45,"Loss","Draw"))</x:f>
        <x:v>Loss</x:v>
      </x:c>
      <x:c r="I45" s="7" t="n">
        <x:f>IF(H45="Win",1,0)</x:f>
        <x:v>0</x:v>
      </x:c>
      <x:c r="J45" s="7" t="n">
        <x:f>F45-G45</x:f>
        <x:v>-2</x:v>
      </x:c>
      <x:c r="K45" s="7" t="n">
        <x:f>F45+G45</x:f>
        <x:v>24</x:v>
      </x:c>
      <x:c r="L45" s="7" t="n">
        <x:v>17</x:v>
      </x:c>
      <x:c r="M45" s="7" t="n">
        <x:v>20</x:v>
      </x:c>
      <x:c r="N45" s="7" t="n">
        <x:v>3</x:v>
      </x:c>
      <x:c r="O45" s="9" t="n">
        <x:f>IF(M45=0,"n.a.",L45/M45)</x:f>
        <x:v>0.85</x:v>
      </x:c>
      <x:c r="P45" s="9" t="n">
        <x:f>IF(K45=0,"n.a.",L45/K45)</x:f>
        <x:v>0.7083333333333334</x:v>
      </x:c>
      <x:c r="Q45" s="9" t="n">
        <x:f>IF(K45=0,"n.a.",M45/K45)</x:f>
        <x:v>0.8333333333333334</x:v>
      </x:c>
      <x:c r="R45" s="9" t="n">
        <x:f>IF(K45=0,"n.a.",N45/K45)</x:f>
        <x:v>0.125</x:v>
      </x:c>
      <x:c r="S45" s="7" t="n">
        <x:v>-15</x:v>
      </x:c>
      <x:c r="T45" s="10" t="n">
        <x:v>0.21</x:v>
      </x:c>
      <x:c r="U45" s="7" t="n">
        <x:v>229</x:v>
      </x:c>
      <x:c r="V45" s="7" t="n">
        <x:v>541</x:v>
      </x:c>
    </x:row>
    <x:row r="46" ht="16" customHeight="1">
      <x:c r="A46" s="7" t="n">
        <x:v>43</x:v>
      </x:c>
      <x:c r="B46" s="8" t="n">
        <x:v>45841</x:v>
      </x:c>
      <x:c r="C46" s="7" t="str">
        <x:v>Icebox</x:v>
      </x:c>
      <x:c r="D46" s="7" t="str">
        <x:v>6th</x:v>
      </x:c>
      <x:c r="E46" s="7" t="str">
        <x:v>Reyna</x:v>
      </x:c>
      <x:c r="F46" s="7" t="n">
        <x:v>10</x:v>
      </x:c>
      <x:c r="G46" s="7" t="n">
        <x:v>13</x:v>
      </x:c>
      <x:c r="H46" s="7" t="str">
        <x:f>IF(F46&gt;G46,"Win",IF(F46&lt;G46,"Loss","Draw"))</x:f>
        <x:v>Loss</x:v>
      </x:c>
      <x:c r="I46" s="7" t="n">
        <x:f>IF(H46="Win",1,0)</x:f>
        <x:v>0</x:v>
      </x:c>
      <x:c r="J46" s="7" t="n">
        <x:f>F46-G46</x:f>
        <x:v>-3</x:v>
      </x:c>
      <x:c r="K46" s="7" t="n">
        <x:f>F46+G46</x:f>
        <x:v>23</x:v>
      </x:c>
      <x:c r="L46" s="7" t="n">
        <x:v>16</x:v>
      </x:c>
      <x:c r="M46" s="7" t="n">
        <x:v>19</x:v>
      </x:c>
      <x:c r="N46" s="7" t="n">
        <x:v>3</x:v>
      </x:c>
      <x:c r="O46" s="9" t="n">
        <x:f>IF(M46=0,"n.a.",L46/M46)</x:f>
        <x:v>0.8421052631578947</x:v>
      </x:c>
      <x:c r="P46" s="9" t="n">
        <x:f>IF(K46=0,"n.a.",L46/K46)</x:f>
        <x:v>0.6956521739130435</x:v>
      </x:c>
      <x:c r="Q46" s="9" t="n">
        <x:f>IF(K46=0,"n.a.",M46/K46)</x:f>
        <x:v>0.8260869565217391</x:v>
      </x:c>
      <x:c r="R46" s="9" t="n">
        <x:f>IF(K46=0,"n.a.",N46/K46)</x:f>
        <x:v>0.13043478260869565</x:v>
      </x:c>
      <x:c r="S46" s="7" t="n">
        <x:v>-32</x:v>
      </x:c>
      <x:c r="T46" s="10" t="n">
        <x:v>0.18</x:v>
      </x:c>
      <x:c r="U46" s="7" t="n">
        <x:v>197</x:v>
      </x:c>
      <x:c r="V46" s="7" t="n">
        <x:v>361</x:v>
      </x:c>
    </x:row>
    <x:row r="47" ht="16" customHeight="1">
      <x:c r="A47" s="7" t="n">
        <x:v>44</x:v>
      </x:c>
      <x:c r="B47" s="8" t="n">
        <x:v>45841</x:v>
      </x:c>
      <x:c r="C47" s="7" t="str">
        <x:v>Corrode</x:v>
      </x:c>
      <x:c r="D47" s="7" t="str">
        <x:v>4th</x:v>
      </x:c>
      <x:c r="E47" s="7" t="str">
        <x:v>Cypher</x:v>
      </x:c>
      <x:c r="F47" s="7" t="n">
        <x:v>15</x:v>
      </x:c>
      <x:c r="G47" s="7" t="n">
        <x:v>13</x:v>
      </x:c>
      <x:c r="H47" s="7" t="str">
        <x:f>IF(F47&gt;G47,"Win",IF(F47&lt;G47,"Loss","Draw"))</x:f>
        <x:v>Win</x:v>
      </x:c>
      <x:c r="I47" s="7" t="n">
        <x:f>IF(H47="Win",1,0)</x:f>
        <x:v>1</x:v>
      </x:c>
      <x:c r="J47" s="7" t="n">
        <x:f>F47-G47</x:f>
        <x:v>2</x:v>
      </x:c>
      <x:c r="K47" s="7" t="n">
        <x:f>F47+G47</x:f>
        <x:v>28</x:v>
      </x:c>
      <x:c r="L47" s="7" t="n">
        <x:v>23</x:v>
      </x:c>
      <x:c r="M47" s="7" t="n">
        <x:v>22</x:v>
      </x:c>
      <x:c r="N47" s="7" t="n">
        <x:v>5</x:v>
      </x:c>
      <x:c r="O47" s="9" t="n">
        <x:f>IF(M47=0,"n.a.",L47/M47)</x:f>
        <x:v>1.0454545454545454</x:v>
      </x:c>
      <x:c r="P47" s="9" t="n">
        <x:f>IF(K47=0,"n.a.",L47/K47)</x:f>
        <x:v>0.8214285714285714</x:v>
      </x:c>
      <x:c r="Q47" s="9" t="n">
        <x:f>IF(K47=0,"n.a.",M47/K47)</x:f>
        <x:v>0.7857142857142857</x:v>
      </x:c>
      <x:c r="R47" s="9" t="n">
        <x:f>IF(K47=0,"n.a.",N47/K47)</x:f>
        <x:v>0.17857142857142858</x:v>
      </x:c>
      <x:c r="S47" s="7" t="n">
        <x:v>15</x:v>
      </x:c>
      <x:c r="T47" s="10" t="n">
        <x:v>0.36</x:v>
      </x:c>
      <x:c r="U47" s="7" t="n">
        <x:v>240</x:v>
      </x:c>
      <x:c r="V47" s="7" t="n">
        <x:v>725</x:v>
      </x:c>
    </x:row>
    <x:row r="48" ht="16" customHeight="1">
      <x:c r="A48" s="7" t="n">
        <x:v>45</x:v>
      </x:c>
      <x:c r="B48" s="8" t="n">
        <x:v>45842</x:v>
      </x:c>
      <x:c r="C48" s="7" t="str">
        <x:v>Haven</x:v>
      </x:c>
      <x:c r="D48" s="7" t="str">
        <x:v>MVP</x:v>
      </x:c>
      <x:c r="E48" s="7" t="str">
        <x:v>Neon</x:v>
      </x:c>
      <x:c r="F48" s="7" t="n">
        <x:v>13</x:v>
      </x:c>
      <x:c r="G48" s="7" t="n">
        <x:v>10</x:v>
      </x:c>
      <x:c r="H48" s="7" t="str">
        <x:f>IF(F48&gt;G48,"Win",IF(F48&lt;G48,"Loss","Draw"))</x:f>
        <x:v>Win</x:v>
      </x:c>
      <x:c r="I48" s="7" t="n">
        <x:f>IF(H48="Win",1,0)</x:f>
        <x:v>1</x:v>
      </x:c>
      <x:c r="J48" s="7" t="n">
        <x:f>F48-G48</x:f>
        <x:v>3</x:v>
      </x:c>
      <x:c r="K48" s="7" t="n">
        <x:f>F48+G48</x:f>
        <x:v>23</x:v>
      </x:c>
      <x:c r="L48" s="7" t="n">
        <x:v>26</x:v>
      </x:c>
      <x:c r="M48" s="7" t="n">
        <x:v>18</x:v>
      </x:c>
      <x:c r="N48" s="7" t="n">
        <x:v>3</x:v>
      </x:c>
      <x:c r="O48" s="9" t="n">
        <x:f>IF(M48=0,"n.a.",L48/M48)</x:f>
        <x:v>1.4444444444444444</x:v>
      </x:c>
      <x:c r="P48" s="9" t="n">
        <x:f>IF(K48=0,"n.a.",L48/K48)</x:f>
        <x:v>1.1304347826086956</x:v>
      </x:c>
      <x:c r="Q48" s="9" t="n">
        <x:f>IF(K48=0,"n.a.",M48/K48)</x:f>
        <x:v>0.782608695652174</x:v>
      </x:c>
      <x:c r="R48" s="9" t="n">
        <x:f>IF(K48=0,"n.a.",N48/K48)</x:f>
        <x:v>0.13043478260869565</x:v>
      </x:c>
      <x:c r="S48" s="7" t="n">
        <x:v>38</x:v>
      </x:c>
      <x:c r="T48" s="10" t="n">
        <x:v>0.32</x:v>
      </x:c>
      <x:c r="U48" s="7" t="n">
        <x:v>309</x:v>
      </x:c>
      <x:c r="V48" s="7" t="n">
        <x:v>882</x:v>
      </x:c>
    </x:row>
    <x:row r="49" ht="16" customHeight="1">
      <x:c r="A49" s="7" t="n">
        <x:v>46</x:v>
      </x:c>
      <x:c r="B49" s="8" t="n">
        <x:v>45842</x:v>
      </x:c>
      <x:c r="C49" s="7" t="str">
        <x:v>Icebox</x:v>
      </x:c>
      <x:c r="D49" s="7" t="str">
        <x:v>2nd</x:v>
      </x:c>
      <x:c r="E49" s="7" t="str">
        <x:v>Neon</x:v>
      </x:c>
      <x:c r="F49" s="7" t="n">
        <x:v>13</x:v>
      </x:c>
      <x:c r="G49" s="7" t="n">
        <x:v>6</x:v>
      </x:c>
      <x:c r="H49" s="7" t="str">
        <x:f>IF(F49&gt;G49,"Win",IF(F49&lt;G49,"Loss","Draw"))</x:f>
        <x:v>Win</x:v>
      </x:c>
      <x:c r="I49" s="7" t="n">
        <x:f>IF(H49="Win",1,0)</x:f>
        <x:v>1</x:v>
      </x:c>
      <x:c r="J49" s="7" t="n">
        <x:f>F49-G49</x:f>
        <x:v>7</x:v>
      </x:c>
      <x:c r="K49" s="7" t="n">
        <x:f>F49+G49</x:f>
        <x:v>19</x:v>
      </x:c>
      <x:c r="L49" s="7" t="n">
        <x:v>22</x:v>
      </x:c>
      <x:c r="M49" s="7" t="n">
        <x:v>15</x:v>
      </x:c>
      <x:c r="N49" s="7" t="n">
        <x:v>3</x:v>
      </x:c>
      <x:c r="O49" s="9" t="n">
        <x:f>IF(M49=0,"n.a.",L49/M49)</x:f>
        <x:v>1.4666666666666666</x:v>
      </x:c>
      <x:c r="P49" s="9" t="n">
        <x:f>IF(K49=0,"n.a.",L49/K49)</x:f>
        <x:v>1.1578947368421053</x:v>
      </x:c>
      <x:c r="Q49" s="9" t="n">
        <x:f>IF(K49=0,"n.a.",M49/K49)</x:f>
        <x:v>0.7894736842105263</x:v>
      </x:c>
      <x:c r="R49" s="9" t="n">
        <x:f>IF(K49=0,"n.a.",N49/K49)</x:f>
        <x:v>0.15789473684210525</x:v>
      </x:c>
      <x:c r="S49" s="7" t="n">
        <x:v>39</x:v>
      </x:c>
      <x:c r="T49" s="10" t="n">
        <x:v>0.36</x:v>
      </x:c>
      <x:c r="U49" s="7" t="n">
        <x:v>309</x:v>
      </x:c>
      <x:c r="V49" s="7" t="n">
        <x:v>724</x:v>
      </x:c>
    </x:row>
    <x:row r="50" ht="16" customHeight="1">
      <x:c r="A50" s="7" t="n">
        <x:v>47</x:v>
      </x:c>
      <x:c r="B50" s="8" t="n">
        <x:v>45842</x:v>
      </x:c>
      <x:c r="C50" s="7" t="str">
        <x:v>Sunset</x:v>
      </x:c>
      <x:c r="D50" s="7" t="str">
        <x:v>4th</x:v>
      </x:c>
      <x:c r="E50" s="7" t="str">
        <x:v>Neon</x:v>
      </x:c>
      <x:c r="F50" s="7" t="n">
        <x:v>13</x:v>
      </x:c>
      <x:c r="G50" s="7" t="n">
        <x:v>10</x:v>
      </x:c>
      <x:c r="H50" s="7" t="str">
        <x:f>IF(F50&gt;G50,"Win",IF(F50&lt;G50,"Loss","Draw"))</x:f>
        <x:v>Win</x:v>
      </x:c>
      <x:c r="I50" s="7" t="n">
        <x:f>IF(H50="Win",1,0)</x:f>
        <x:v>1</x:v>
      </x:c>
      <x:c r="J50" s="7" t="n">
        <x:f>F50-G50</x:f>
        <x:v>3</x:v>
      </x:c>
      <x:c r="K50" s="7" t="n">
        <x:f>F50+G50</x:f>
        <x:v>23</x:v>
      </x:c>
      <x:c r="L50" s="7" t="n">
        <x:v>24</x:v>
      </x:c>
      <x:c r="M50" s="7" t="n">
        <x:v>11</x:v>
      </x:c>
      <x:c r="N50" s="7" t="n">
        <x:v>2</x:v>
      </x:c>
      <x:c r="O50" s="9" t="n">
        <x:f>IF(M50=0,"n.a.",L50/M50)</x:f>
        <x:v>2.1818181818181817</x:v>
      </x:c>
      <x:c r="P50" s="9" t="n">
        <x:f>IF(K50=0,"n.a.",L50/K50)</x:f>
        <x:v>1.0434782608695652</x:v>
      </x:c>
      <x:c r="Q50" s="9" t="n">
        <x:f>IF(K50=0,"n.a.",M50/K50)</x:f>
        <x:v>0.4782608695652174</x:v>
      </x:c>
      <x:c r="R50" s="9" t="n">
        <x:f>IF(K50=0,"n.a.",N50/K50)</x:f>
        <x:v>0.08695652173913043</x:v>
      </x:c>
      <x:c r="S50" s="7" t="n">
        <x:v>85</x:v>
      </x:c>
      <x:c r="T50" s="10" t="n">
        <x:v>0.28</x:v>
      </x:c>
      <x:c r="U50" s="7" t="n">
        <x:v>274</x:v>
      </x:c>
      <x:c r="V50" s="7" t="n">
        <x:v>777</x:v>
      </x:c>
    </x:row>
    <x:row r="51" ht="16" customHeight="1">
      <x:c r="A51" s="7" t="n">
        <x:v>48</x:v>
      </x:c>
      <x:c r="B51" s="8" t="n">
        <x:v>45842</x:v>
      </x:c>
      <x:c r="C51" s="7" t="str">
        <x:v>Sunset</x:v>
      </x:c>
      <x:c r="D51" s="7" t="str">
        <x:v>10th</x:v>
      </x:c>
      <x:c r="E51" s="7" t="str">
        <x:v>Jett</x:v>
      </x:c>
      <x:c r="F51" s="7" t="n">
        <x:v>13</x:v>
      </x:c>
      <x:c r="G51" s="7" t="n">
        <x:v>10</x:v>
      </x:c>
      <x:c r="H51" s="7" t="str">
        <x:f>IF(F51&gt;G51,"Win",IF(F51&lt;G51,"Loss","Draw"))</x:f>
        <x:v>Win</x:v>
      </x:c>
      <x:c r="I51" s="7" t="n">
        <x:f>IF(H51="Win",1,0)</x:f>
        <x:v>1</x:v>
      </x:c>
      <x:c r="J51" s="7" t="n">
        <x:f>F51-G51</x:f>
        <x:v>3</x:v>
      </x:c>
      <x:c r="K51" s="7" t="n">
        <x:f>F51+G51</x:f>
        <x:v>23</x:v>
      </x:c>
      <x:c r="L51" s="7" t="n">
        <x:v>11</x:v>
      </x:c>
      <x:c r="M51" s="7" t="n">
        <x:v>16</x:v>
      </x:c>
      <x:c r="N51" s="7" t="n">
        <x:v>4</x:v>
      </x:c>
      <x:c r="O51" s="9" t="n">
        <x:f>IF(M51=0,"n.a.",L51/M51)</x:f>
        <x:v>0.6875</x:v>
      </x:c>
      <x:c r="P51" s="9" t="n">
        <x:f>IF(K51=0,"n.a.",L51/K51)</x:f>
        <x:v>0.4782608695652174</x:v>
      </x:c>
      <x:c r="Q51" s="9" t="n">
        <x:f>IF(K51=0,"n.a.",M51/K51)</x:f>
        <x:v>0.6956521739130435</x:v>
      </x:c>
      <x:c r="R51" s="9" t="n">
        <x:f>IF(K51=0,"n.a.",N51/K51)</x:f>
        <x:v>0.17391304347826086</x:v>
      </x:c>
      <x:c r="S51" s="7" t="n">
        <x:v>-34</x:v>
      </x:c>
      <x:c r="T51" s="10" t="n">
        <x:v>0.16</x:v>
      </x:c>
      <x:c r="U51" s="7" t="n">
        <x:v>124</x:v>
      </x:c>
      <x:c r="V51" s="7" t="n">
        <x:v>380</x:v>
      </x:c>
    </x:row>
    <x:row r="52" ht="16" customHeight="1">
      <x:c r="A52" s="7" t="n">
        <x:v>49</x:v>
      </x:c>
      <x:c r="B52" s="8" t="n">
        <x:v>45842</x:v>
      </x:c>
      <x:c r="C52" s="7" t="str">
        <x:v>Lotus</x:v>
      </x:c>
      <x:c r="D52" s="7" t="str">
        <x:v>7th</x:v>
      </x:c>
      <x:c r="E52" s="7" t="str">
        <x:v>Neon</x:v>
      </x:c>
      <x:c r="F52" s="7" t="n">
        <x:v>8</x:v>
      </x:c>
      <x:c r="G52" s="7" t="n">
        <x:v>13</x:v>
      </x:c>
      <x:c r="H52" s="7" t="str">
        <x:f>IF(F52&gt;G52,"Win",IF(F52&lt;G52,"Loss","Draw"))</x:f>
        <x:v>Loss</x:v>
      </x:c>
      <x:c r="I52" s="7" t="n">
        <x:f>IF(H52="Win",1,0)</x:f>
        <x:v>0</x:v>
      </x:c>
      <x:c r="J52" s="7" t="n">
        <x:f>F52-G52</x:f>
        <x:v>-5</x:v>
      </x:c>
      <x:c r="K52" s="7" t="n">
        <x:f>F52+G52</x:f>
        <x:v>21</x:v>
      </x:c>
      <x:c r="L52" s="7" t="n">
        <x:v>14</x:v>
      </x:c>
      <x:c r="M52" s="7" t="n">
        <x:v>17</x:v>
      </x:c>
      <x:c r="N52" s="7" t="n">
        <x:v>6</x:v>
      </x:c>
      <x:c r="O52" s="9" t="n">
        <x:f>IF(M52=0,"n.a.",L52/M52)</x:f>
        <x:v>0.8235294117647058</x:v>
      </x:c>
      <x:c r="P52" s="9" t="n">
        <x:f>IF(K52=0,"n.a.",L52/K52)</x:f>
        <x:v>0.6666666666666666</x:v>
      </x:c>
      <x:c r="Q52" s="9" t="n">
        <x:f>IF(K52=0,"n.a.",M52/K52)</x:f>
        <x:v>0.8095238095238095</x:v>
      </x:c>
      <x:c r="R52" s="9" t="n">
        <x:f>IF(K52=0,"n.a.",N52/K52)</x:f>
        <x:v>0.2857142857142857</x:v>
      </x:c>
      <x:c r="S52" s="7" t="n">
        <x:v>-9</x:v>
      </x:c>
      <x:c r="T52" s="10" t="n">
        <x:v>0.25</x:v>
      </x:c>
      <x:c r="U52" s="7" t="n">
        <x:v>205</x:v>
      </x:c>
      <x:c r="V52" s="7" t="n">
        <x:v>477</x:v>
      </x:c>
    </x:row>
    <x:row r="53" ht="16" customHeight="1">
      <x:c r="A53" s="7" t="n">
        <x:v>50</x:v>
      </x:c>
      <x:c r="B53" s="8" t="n">
        <x:v>45842</x:v>
      </x:c>
      <x:c r="C53" s="7" t="str">
        <x:v>Ascent</x:v>
      </x:c>
      <x:c r="D53" s="7" t="str">
        <x:v>4th</x:v>
      </x:c>
      <x:c r="E53" s="7" t="str">
        <x:v>Neon</x:v>
      </x:c>
      <x:c r="F53" s="7" t="n">
        <x:v>3</x:v>
      </x:c>
      <x:c r="G53" s="7" t="n">
        <x:v>13</x:v>
      </x:c>
      <x:c r="H53" s="7" t="str">
        <x:f>IF(F53&gt;G53,"Win",IF(F53&lt;G53,"Loss","Draw"))</x:f>
        <x:v>Loss</x:v>
      </x:c>
      <x:c r="I53" s="7" t="n">
        <x:f>IF(H53="Win",1,0)</x:f>
        <x:v>0</x:v>
      </x:c>
      <x:c r="J53" s="7" t="n">
        <x:f>F53-G53</x:f>
        <x:v>-10</x:v>
      </x:c>
      <x:c r="K53" s="7" t="n">
        <x:f>F53+G53</x:f>
        <x:v>16</x:v>
      </x:c>
      <x:c r="L53" s="7" t="n">
        <x:v>12</x:v>
      </x:c>
      <x:c r="M53" s="7" t="n">
        <x:v>16</x:v>
      </x:c>
      <x:c r="N53" s="7" t="n">
        <x:v>1</x:v>
      </x:c>
      <x:c r="O53" s="9" t="n">
        <x:f>IF(M53=0,"n.a.",L53/M53)</x:f>
        <x:v>0.75</x:v>
      </x:c>
      <x:c r="P53" s="9" t="n">
        <x:f>IF(K53=0,"n.a.",L53/K53)</x:f>
        <x:v>0.75</x:v>
      </x:c>
      <x:c r="Q53" s="9" t="n">
        <x:f>IF(K53=0,"n.a.",M53/K53)</x:f>
        <x:v>1</x:v>
      </x:c>
      <x:c r="R53" s="9" t="n">
        <x:f>IF(K53=0,"n.a.",N53/K53)</x:f>
        <x:v>0.0625</x:v>
      </x:c>
      <x:c r="S53" s="7" t="n">
        <x:v>-6</x:v>
      </x:c>
      <x:c r="T53" s="10" t="n">
        <x:v>0.17</x:v>
      </x:c>
      <x:c r="U53" s="7" t="n">
        <x:v>250</x:v>
      </x:c>
      <x:c r="V53" s="7" t="n">
        <x:v>382</x:v>
      </x:c>
    </x:row>
    <x:row r="54" ht="16" customHeight="1">
      <x:c r="A54" s="7" t="n">
        <x:v>51</x:v>
      </x:c>
      <x:c r="B54" s="8" t="n">
        <x:v>45842</x:v>
      </x:c>
      <x:c r="C54" s="7" t="str">
        <x:v>Haven</x:v>
      </x:c>
      <x:c r="D54" s="7" t="str">
        <x:v>4th</x:v>
      </x:c>
      <x:c r="E54" s="7" t="str">
        <x:v>Neon</x:v>
      </x:c>
      <x:c r="F54" s="7" t="n">
        <x:v>13</x:v>
      </x:c>
      <x:c r="G54" s="7" t="n">
        <x:v>11</x:v>
      </x:c>
      <x:c r="H54" s="7" t="str">
        <x:f>IF(F54&gt;G54,"Win",IF(F54&lt;G54,"Loss","Draw"))</x:f>
        <x:v>Win</x:v>
      </x:c>
      <x:c r="I54" s="7" t="n">
        <x:f>IF(H54="Win",1,0)</x:f>
        <x:v>1</x:v>
      </x:c>
      <x:c r="J54" s="7" t="n">
        <x:f>F54-G54</x:f>
        <x:v>2</x:v>
      </x:c>
      <x:c r="K54" s="7" t="n">
        <x:f>F54+G54</x:f>
        <x:v>24</x:v>
      </x:c>
      <x:c r="L54" s="7" t="n">
        <x:v>18</x:v>
      </x:c>
      <x:c r="M54" s="7" t="n">
        <x:v>19</x:v>
      </x:c>
      <x:c r="N54" s="7" t="n">
        <x:v>3</x:v>
      </x:c>
      <x:c r="O54" s="9" t="n">
        <x:f>IF(M54=0,"n.a.",L54/M54)</x:f>
        <x:v>0.9473684210526315</x:v>
      </x:c>
      <x:c r="P54" s="9" t="n">
        <x:f>IF(K54=0,"n.a.",L54/K54)</x:f>
        <x:v>0.75</x:v>
      </x:c>
      <x:c r="Q54" s="9" t="n">
        <x:f>IF(K54=0,"n.a.",M54/K54)</x:f>
        <x:v>0.7916666666666666</x:v>
      </x:c>
      <x:c r="R54" s="9" t="n">
        <x:f>IF(K54=0,"n.a.",N54/K54)</x:f>
        <x:v>0.125</x:v>
      </x:c>
      <x:c r="S54" s="7" t="n">
        <x:v>15</x:v>
      </x:c>
      <x:c r="T54" s="10" t="n">
        <x:v>0.32</x:v>
      </x:c>
      <x:c r="U54" s="7" t="n">
        <x:v>223</x:v>
      </x:c>
      <x:c r="V54" s="7" t="n">
        <x:v>524</x:v>
      </x:c>
    </x:row>
    <x:row r="55" ht="16" customHeight="1">
      <x:c r="A55" s="7" t="n">
        <x:v>52</x:v>
      </x:c>
      <x:c r="B55" s="8" t="n">
        <x:v>45842</x:v>
      </x:c>
      <x:c r="C55" s="7" t="str">
        <x:v>Bind</x:v>
      </x:c>
      <x:c r="D55" s="7" t="str">
        <x:v>2nd</x:v>
      </x:c>
      <x:c r="E55" s="7" t="str">
        <x:v>Neon</x:v>
      </x:c>
      <x:c r="F55" s="7" t="n">
        <x:v>13</x:v>
      </x:c>
      <x:c r="G55" s="7" t="n">
        <x:v>5</x:v>
      </x:c>
      <x:c r="H55" s="7" t="str">
        <x:f>IF(F55&gt;G55,"Win",IF(F55&lt;G55,"Loss","Draw"))</x:f>
        <x:v>Win</x:v>
      </x:c>
      <x:c r="I55" s="7" t="n">
        <x:f>IF(H55="Win",1,0)</x:f>
        <x:v>1</x:v>
      </x:c>
      <x:c r="J55" s="7" t="n">
        <x:f>F55-G55</x:f>
        <x:v>8</x:v>
      </x:c>
      <x:c r="K55" s="7" t="n">
        <x:f>F55+G55</x:f>
        <x:v>18</x:v>
      </x:c>
      <x:c r="L55" s="7" t="n">
        <x:v>21</x:v>
      </x:c>
      <x:c r="M55" s="7" t="n">
        <x:v>13</x:v>
      </x:c>
      <x:c r="N55" s="7" t="n">
        <x:v>3</x:v>
      </x:c>
      <x:c r="O55" s="9" t="n">
        <x:f>IF(M55=0,"n.a.",L55/M55)</x:f>
        <x:v>1.6153846153846154</x:v>
      </x:c>
      <x:c r="P55" s="9" t="n">
        <x:f>IF(K55=0,"n.a.",L55/K55)</x:f>
        <x:v>1.1666666666666667</x:v>
      </x:c>
      <x:c r="Q55" s="9" t="n">
        <x:f>IF(K55=0,"n.a.",M55/K55)</x:f>
        <x:v>0.7222222222222222</x:v>
      </x:c>
      <x:c r="R55" s="9" t="n">
        <x:f>IF(K55=0,"n.a.",N55/K55)</x:f>
        <x:v>0.16666666666666666</x:v>
      </x:c>
      <x:c r="S55" s="7" t="n">
        <x:v>56</x:v>
      </x:c>
      <x:c r="T55" s="10" t="n">
        <x:v>0.26</x:v>
      </x:c>
      <x:c r="U55" s="7" t="n">
        <x:v>319</x:v>
      </x:c>
      <x:c r="V55" s="7" t="n">
        <x:v>767</x:v>
      </x:c>
    </x:row>
    <x:row r="56" ht="16" customHeight="1">
      <x:c r="A56" s="7" t="n">
        <x:v>53</x:v>
      </x:c>
      <x:c r="B56" s="8" t="n">
        <x:v>45842</x:v>
      </x:c>
      <x:c r="C56" s="7" t="str">
        <x:v>Haven</x:v>
      </x:c>
      <x:c r="D56" s="7" t="str">
        <x:v>5th</x:v>
      </x:c>
      <x:c r="E56" s="7" t="str">
        <x:v>Neon</x:v>
      </x:c>
      <x:c r="F56" s="7" t="n">
        <x:v>9</x:v>
      </x:c>
      <x:c r="G56" s="7" t="n">
        <x:v>13</x:v>
      </x:c>
      <x:c r="H56" s="7" t="str">
        <x:f>IF(F56&gt;G56,"Win",IF(F56&lt;G56,"Loss","Draw"))</x:f>
        <x:v>Loss</x:v>
      </x:c>
      <x:c r="I56" s="7" t="n">
        <x:f>IF(H56="Win",1,0)</x:f>
        <x:v>0</x:v>
      </x:c>
      <x:c r="J56" s="7" t="n">
        <x:f>F56-G56</x:f>
        <x:v>-4</x:v>
      </x:c>
      <x:c r="K56" s="7" t="n">
        <x:f>F56+G56</x:f>
        <x:v>22</x:v>
      </x:c>
      <x:c r="L56" s="7" t="n">
        <x:v>17</x:v>
      </x:c>
      <x:c r="M56" s="7" t="n">
        <x:v>19</x:v>
      </x:c>
      <x:c r="N56" s="7" t="n">
        <x:v>4</x:v>
      </x:c>
      <x:c r="O56" s="9" t="n">
        <x:f>IF(M56=0,"n.a.",L56/M56)</x:f>
        <x:v>0.8947368421052632</x:v>
      </x:c>
      <x:c r="P56" s="9" t="n">
        <x:f>IF(K56=0,"n.a.",L56/K56)</x:f>
        <x:v>0.7727272727272727</x:v>
      </x:c>
      <x:c r="Q56" s="9" t="n">
        <x:f>IF(K56=0,"n.a.",M56/K56)</x:f>
        <x:v>0.8636363636363636</x:v>
      </x:c>
      <x:c r="R56" s="9" t="n">
        <x:f>IF(K56=0,"n.a.",N56/K56)</x:f>
        <x:v>0.18181818181818182</x:v>
      </x:c>
      <x:c r="S56" s="7" t="n">
        <x:v>-25</x:v>
      </x:c>
      <x:c r="T56" s="10" t="n">
        <x:v>0.17</x:v>
      </x:c>
      <x:c r="U56" s="7" t="n">
        <x:v>228</x:v>
      </x:c>
      <x:c r="V56" s="7" t="n">
        <x:v>467</x:v>
      </x:c>
    </x:row>
    <x:row r="57" ht="16" customHeight="1">
      <x:c r="A57" s="7" t="n">
        <x:v>54</x:v>
      </x:c>
      <x:c r="B57" s="8" t="n">
        <x:v>45842</x:v>
      </x:c>
      <x:c r="C57" s="7" t="str">
        <x:v>Corrode</x:v>
      </x:c>
      <x:c r="D57" s="7" t="str">
        <x:v>2nd</x:v>
      </x:c>
      <x:c r="E57" s="7" t="str">
        <x:v>Neon</x:v>
      </x:c>
      <x:c r="F57" s="7" t="n">
        <x:v>13</x:v>
      </x:c>
      <x:c r="G57" s="7" t="n">
        <x:v>4</x:v>
      </x:c>
      <x:c r="H57" s="7" t="str">
        <x:f>IF(F57&gt;G57,"Win",IF(F57&lt;G57,"Loss","Draw"))</x:f>
        <x:v>Win</x:v>
      </x:c>
      <x:c r="I57" s="7" t="n">
        <x:f>IF(H57="Win",1,0)</x:f>
        <x:v>1</x:v>
      </x:c>
      <x:c r="J57" s="7" t="n">
        <x:f>F57-G57</x:f>
        <x:v>9</x:v>
      </x:c>
      <x:c r="K57" s="7" t="n">
        <x:f>F57+G57</x:f>
        <x:v>17</x:v>
      </x:c>
      <x:c r="L57" s="7" t="n">
        <x:v>22</x:v>
      </x:c>
      <x:c r="M57" s="7" t="n">
        <x:v>10</x:v>
      </x:c>
      <x:c r="N57" s="7" t="n">
        <x:v>3</x:v>
      </x:c>
      <x:c r="O57" s="9" t="n">
        <x:f>IF(M57=0,"n.a.",L57/M57)</x:f>
        <x:v>2.2</x:v>
      </x:c>
      <x:c r="P57" s="9" t="n">
        <x:f>IF(K57=0,"n.a.",L57/K57)</x:f>
        <x:v>1.2941176470588236</x:v>
      </x:c>
      <x:c r="Q57" s="9" t="n">
        <x:f>IF(K57=0,"n.a.",M57/K57)</x:f>
        <x:v>0.5882352941176471</x:v>
      </x:c>
      <x:c r="R57" s="9" t="n">
        <x:f>IF(K57=0,"n.a.",N57/K57)</x:f>
        <x:v>0.17647058823529413</x:v>
      </x:c>
      <x:c r="S57" s="7" t="n">
        <x:v>82</x:v>
      </x:c>
      <x:c r="T57" s="10" t="n">
        <x:v>0.21</x:v>
      </x:c>
      <x:c r="U57" s="7" t="n">
        <x:v>363</x:v>
      </x:c>
      <x:c r="V57" s="7" t="n">
        <x:v>979</x:v>
      </x:c>
    </x:row>
    <x:row r="58" ht="16" customHeight="1">
      <x:c r="A58" s="7" t="n">
        <x:v>55</x:v>
      </x:c>
      <x:c r="B58" s="8" t="n">
        <x:v>45842</x:v>
      </x:c>
      <x:c r="C58" s="7" t="str">
        <x:v>Lotus</x:v>
      </x:c>
      <x:c r="D58" s="7" t="str">
        <x:v>4th</x:v>
      </x:c>
      <x:c r="E58" s="7" t="str">
        <x:v>Astra</x:v>
      </x:c>
      <x:c r="F58" s="7" t="n">
        <x:v>13</x:v>
      </x:c>
      <x:c r="G58" s="7" t="n">
        <x:v>11</x:v>
      </x:c>
      <x:c r="H58" s="7" t="str">
        <x:f>IF(F58&gt;G58,"Win",IF(F58&lt;G58,"Loss","Draw"))</x:f>
        <x:v>Win</x:v>
      </x:c>
      <x:c r="I58" s="7" t="n">
        <x:f>IF(H58="Win",1,0)</x:f>
        <x:v>1</x:v>
      </x:c>
      <x:c r="J58" s="7" t="n">
        <x:f>F58-G58</x:f>
        <x:v>2</x:v>
      </x:c>
      <x:c r="K58" s="7" t="n">
        <x:f>F58+G58</x:f>
        <x:v>24</x:v>
      </x:c>
      <x:c r="L58" s="7" t="n">
        <x:v>23</x:v>
      </x:c>
      <x:c r="M58" s="7" t="n">
        <x:v>18</x:v>
      </x:c>
      <x:c r="N58" s="7" t="n">
        <x:v>3</x:v>
      </x:c>
      <x:c r="O58" s="9" t="n">
        <x:f>IF(M58=0,"n.a.",L58/M58)</x:f>
        <x:v>1.2777777777777777</x:v>
      </x:c>
      <x:c r="P58" s="9" t="n">
        <x:f>IF(K58=0,"n.a.",L58/K58)</x:f>
        <x:v>0.9583333333333334</x:v>
      </x:c>
      <x:c r="Q58" s="9" t="n">
        <x:f>IF(K58=0,"n.a.",M58/K58)</x:f>
        <x:v>0.75</x:v>
      </x:c>
      <x:c r="R58" s="9" t="n">
        <x:f>IF(K58=0,"n.a.",N58/K58)</x:f>
        <x:v>0.125</x:v>
      </x:c>
      <x:c r="S58" s="7" t="n">
        <x:v>28</x:v>
      </x:c>
      <x:c r="T58" s="10" t="n">
        <x:v>0.31</x:v>
      </x:c>
      <x:c r="U58" s="7" t="n">
        <x:v>255</x:v>
      </x:c>
      <x:c r="V58" s="7" t="n">
        <x:v>732</x:v>
      </x:c>
    </x:row>
    <x:row r="59" ht="16" customHeight="1">
      <x:c r="A59" s="7" t="n">
        <x:v>56</x:v>
      </x:c>
      <x:c r="B59" s="8" t="n">
        <x:v>45844</x:v>
      </x:c>
      <x:c r="C59" s="7" t="str">
        <x:v>Lotus</x:v>
      </x:c>
      <x:c r="D59" s="7" t="str">
        <x:v>10th</x:v>
      </x:c>
      <x:c r="E59" s="7" t="str">
        <x:v>Deadlock</x:v>
      </x:c>
      <x:c r="F59" s="7" t="n">
        <x:v>11</x:v>
      </x:c>
      <x:c r="G59" s="7" t="n">
        <x:v>13</x:v>
      </x:c>
      <x:c r="H59" s="7" t="str">
        <x:f>IF(F59&gt;G59,"Win",IF(F59&lt;G59,"Loss","Draw"))</x:f>
        <x:v>Loss</x:v>
      </x:c>
      <x:c r="I59" s="7" t="n">
        <x:f>IF(H59="Win",1,0)</x:f>
        <x:v>0</x:v>
      </x:c>
      <x:c r="J59" s="7" t="n">
        <x:f>F59-G59</x:f>
        <x:v>-2</x:v>
      </x:c>
      <x:c r="K59" s="7" t="n">
        <x:f>F59+G59</x:f>
        <x:v>24</x:v>
      </x:c>
      <x:c r="L59" s="7" t="n">
        <x:v>14</x:v>
      </x:c>
      <x:c r="M59" s="7" t="n">
        <x:v>18</x:v>
      </x:c>
      <x:c r="N59" s="7" t="n">
        <x:v>5</x:v>
      </x:c>
      <x:c r="O59" s="9" t="n">
        <x:f>IF(M59=0,"n.a.",L59/M59)</x:f>
        <x:v>0.7777777777777778</x:v>
      </x:c>
      <x:c r="P59" s="9" t="n">
        <x:f>IF(K59=0,"n.a.",L59/K59)</x:f>
        <x:v>0.5833333333333334</x:v>
      </x:c>
      <x:c r="Q59" s="9" t="n">
        <x:f>IF(K59=0,"n.a.",M59/K59)</x:f>
        <x:v>0.75</x:v>
      </x:c>
      <x:c r="R59" s="9" t="n">
        <x:f>IF(K59=0,"n.a.",N59/K59)</x:f>
        <x:v>0.20833333333333334</x:v>
      </x:c>
      <x:c r="S59" s="7" t="n">
        <x:v>-37</x:v>
      </x:c>
      <x:c r="T59" s="10" t="n">
        <x:v>0.13</x:v>
      </x:c>
      <x:c r="U59" s="7" t="n">
        <x:v>140</x:v>
      </x:c>
      <x:c r="V59" s="7" t="n">
        <x:v>309</x:v>
      </x:c>
    </x:row>
    <x:row r="60" ht="16" customHeight="1">
      <x:c r="A60" s="7" t="n">
        <x:v>57</x:v>
      </x:c>
      <x:c r="B60" s="8" t="n">
        <x:v>45845</x:v>
      </x:c>
      <x:c r="C60" s="7" t="str">
        <x:v>Bind</x:v>
      </x:c>
      <x:c r="D60" s="7" t="str">
        <x:v>6th</x:v>
      </x:c>
      <x:c r="E60" s="7" t="str">
        <x:v>Neon</x:v>
      </x:c>
      <x:c r="F60" s="7" t="n">
        <x:v>4</x:v>
      </x:c>
      <x:c r="G60" s="7" t="n">
        <x:v>13</x:v>
      </x:c>
      <x:c r="H60" s="7" t="str">
        <x:f>IF(F60&gt;G60,"Win",IF(F60&lt;G60,"Loss","Draw"))</x:f>
        <x:v>Loss</x:v>
      </x:c>
      <x:c r="I60" s="7" t="n">
        <x:f>IF(H60="Win",1,0)</x:f>
        <x:v>0</x:v>
      </x:c>
      <x:c r="J60" s="7" t="n">
        <x:f>F60-G60</x:f>
        <x:v>-9</x:v>
      </x:c>
      <x:c r="K60" s="7" t="n">
        <x:f>F60+G60</x:f>
        <x:v>17</x:v>
      </x:c>
      <x:c r="L60" s="7" t="n">
        <x:v>10</x:v>
      </x:c>
      <x:c r="M60" s="7" t="n">
        <x:v>14</x:v>
      </x:c>
      <x:c r="N60" s="7" t="n">
        <x:v>0</x:v>
      </x:c>
      <x:c r="O60" s="9" t="n">
        <x:f>IF(M60=0,"n.a.",L60/M60)</x:f>
        <x:v>0.7142857142857143</x:v>
      </x:c>
      <x:c r="P60" s="9" t="n">
        <x:f>IF(K60=0,"n.a.",L60/K60)</x:f>
        <x:v>0.5882352941176471</x:v>
      </x:c>
      <x:c r="Q60" s="9" t="n">
        <x:f>IF(K60=0,"n.a.",M60/K60)</x:f>
        <x:v>0.8235294117647058</x:v>
      </x:c>
      <x:c r="R60" s="9" t="n">
        <x:f>IF(K60=0,"n.a.",N60/K60)</x:f>
        <x:v>0</x:v>
      </x:c>
      <x:c r="S60" s="7" t="n">
        <x:v>-50</x:v>
      </x:c>
      <x:c r="T60" s="10" t="n">
        <x:v>0.16</x:v>
      </x:c>
      <x:c r="U60" s="7" t="n">
        <x:v>168</x:v>
      </x:c>
      <x:c r="V60" s="7" t="n">
        <x:v>168</x:v>
      </x:c>
    </x:row>
    <x:row r="61" ht="16" customHeight="1">
      <x:c r="A61" s="7" t="n">
        <x:v>58</x:v>
      </x:c>
      <x:c r="B61" s="8" t="n">
        <x:v>45845</x:v>
      </x:c>
      <x:c r="C61" s="7" t="str">
        <x:v>Sunset</x:v>
      </x:c>
      <x:c r="D61" s="7" t="str">
        <x:v>MVP</x:v>
      </x:c>
      <x:c r="E61" s="7" t="str">
        <x:v>Neon</x:v>
      </x:c>
      <x:c r="F61" s="7" t="n">
        <x:v>13</x:v>
      </x:c>
      <x:c r="G61" s="7" t="n">
        <x:v>2</x:v>
      </x:c>
      <x:c r="H61" s="7" t="str">
        <x:f>IF(F61&gt;G61,"Win",IF(F61&lt;G61,"Loss","Draw"))</x:f>
        <x:v>Win</x:v>
      </x:c>
      <x:c r="I61" s="7" t="n">
        <x:f>IF(H61="Win",1,0)</x:f>
        <x:v>1</x:v>
      </x:c>
      <x:c r="J61" s="7" t="n">
        <x:f>F61-G61</x:f>
        <x:v>11</x:v>
      </x:c>
      <x:c r="K61" s="7" t="n">
        <x:f>F61+G61</x:f>
        <x:v>15</x:v>
      </x:c>
      <x:c r="L61" s="7" t="n">
        <x:v>18</x:v>
      </x:c>
      <x:c r="M61" s="7" t="n">
        <x:v>11</x:v>
      </x:c>
      <x:c r="N61" s="7" t="n">
        <x:v>6</x:v>
      </x:c>
      <x:c r="O61" s="9" t="n">
        <x:f>IF(M61=0,"n.a.",L61/M61)</x:f>
        <x:v>1.6363636363636365</x:v>
      </x:c>
      <x:c r="P61" s="9" t="n">
        <x:f>IF(K61=0,"n.a.",L61/K61)</x:f>
        <x:v>1.2</x:v>
      </x:c>
      <x:c r="Q61" s="9" t="n">
        <x:f>IF(K61=0,"n.a.",M61/K61)</x:f>
        <x:v>0.7333333333333333</x:v>
      </x:c>
      <x:c r="R61" s="9" t="n">
        <x:f>IF(K61=0,"n.a.",N61/K61)</x:f>
        <x:v>0.4</x:v>
      </x:c>
      <x:c r="S61" s="7" t="n">
        <x:v>104</x:v>
      </x:c>
      <x:c r="T61" s="10" t="n">
        <x:v>0.25</x:v>
      </x:c>
      <x:c r="U61" s="7" t="n">
        <x:v>339</x:v>
      </x:c>
      <x:c r="V61" s="7" t="n">
        <x:v>981</x:v>
      </x:c>
    </x:row>
    <x:row r="62" ht="16" customHeight="1">
      <x:c r="A62" s="7" t="n">
        <x:v>59</x:v>
      </x:c>
      <x:c r="B62" s="8" t="n">
        <x:v>45845</x:v>
      </x:c>
      <x:c r="C62" s="7" t="str">
        <x:v>Haven</x:v>
      </x:c>
      <x:c r="D62" s="7" t="str">
        <x:v>5th</x:v>
      </x:c>
      <x:c r="E62" s="7" t="str">
        <x:v>Neon</x:v>
      </x:c>
      <x:c r="F62" s="7" t="n">
        <x:v>7</x:v>
      </x:c>
      <x:c r="G62" s="7" t="n">
        <x:v>13</x:v>
      </x:c>
      <x:c r="H62" s="7" t="str">
        <x:f>IF(F62&gt;G62,"Win",IF(F62&lt;G62,"Loss","Draw"))</x:f>
        <x:v>Loss</x:v>
      </x:c>
      <x:c r="I62" s="7" t="n">
        <x:f>IF(H62="Win",1,0)</x:f>
        <x:v>0</x:v>
      </x:c>
      <x:c r="J62" s="7" t="n">
        <x:f>F62-G62</x:f>
        <x:v>-6</x:v>
      </x:c>
      <x:c r="K62" s="7" t="n">
        <x:f>F62+G62</x:f>
        <x:v>20</x:v>
      </x:c>
      <x:c r="L62" s="7" t="n">
        <x:v>14</x:v>
      </x:c>
      <x:c r="M62" s="7" t="n">
        <x:v>18</x:v>
      </x:c>
      <x:c r="N62" s="7" t="n">
        <x:v>3</x:v>
      </x:c>
      <x:c r="O62" s="9" t="n">
        <x:f>IF(M62=0,"n.a.",L62/M62)</x:f>
        <x:v>0.7777777777777778</x:v>
      </x:c>
      <x:c r="P62" s="9" t="n">
        <x:f>IF(K62=0,"n.a.",L62/K62)</x:f>
        <x:v>0.7</x:v>
      </x:c>
      <x:c r="Q62" s="9" t="n">
        <x:f>IF(K62=0,"n.a.",M62/K62)</x:f>
        <x:v>0.9</x:v>
      </x:c>
      <x:c r="R62" s="9" t="n">
        <x:f>IF(K62=0,"n.a.",N62/K62)</x:f>
        <x:v>0.15</x:v>
      </x:c>
      <x:c r="S62" s="7" t="n">
        <x:v>-44</x:v>
      </x:c>
      <x:c r="T62" s="10" t="n">
        <x:v>0.1</x:v>
      </x:c>
      <x:c r="U62" s="7" t="n">
        <x:v>218</x:v>
      </x:c>
      <x:c r="V62" s="7" t="n">
        <x:v>410</x:v>
      </x:c>
    </x:row>
    <x:row r="63" ht="16" customHeight="1">
      <x:c r="A63" s="7" t="n">
        <x:v>60</x:v>
      </x:c>
      <x:c r="B63" s="8" t="n">
        <x:v>45845</x:v>
      </x:c>
      <x:c r="C63" s="7" t="str">
        <x:v>Icebox</x:v>
      </x:c>
      <x:c r="D63" s="7" t="str">
        <x:v>5th</x:v>
      </x:c>
      <x:c r="E63" s="7" t="str">
        <x:v>Neon</x:v>
      </x:c>
      <x:c r="F63" s="7" t="n">
        <x:v>12</x:v>
      </x:c>
      <x:c r="G63" s="7" t="n">
        <x:v>14</x:v>
      </x:c>
      <x:c r="H63" s="7" t="str">
        <x:f>IF(F63&gt;G63,"Win",IF(F63&lt;G63,"Loss","Draw"))</x:f>
        <x:v>Loss</x:v>
      </x:c>
      <x:c r="I63" s="7" t="n">
        <x:f>IF(H63="Win",1,0)</x:f>
        <x:v>0</x:v>
      </x:c>
      <x:c r="J63" s="7" t="n">
        <x:f>F63-G63</x:f>
        <x:v>-2</x:v>
      </x:c>
      <x:c r="K63" s="7" t="n">
        <x:f>F63+G63</x:f>
        <x:v>26</x:v>
      </x:c>
      <x:c r="L63" s="7" t="n">
        <x:v>20</x:v>
      </x:c>
      <x:c r="M63" s="7" t="n">
        <x:v>24</x:v>
      </x:c>
      <x:c r="N63" s="7" t="n">
        <x:v>1</x:v>
      </x:c>
      <x:c r="O63" s="9" t="n">
        <x:f>IF(M63=0,"n.a.",L63/M63)</x:f>
        <x:v>0.8333333333333334</x:v>
      </x:c>
      <x:c r="P63" s="9" t="n">
        <x:f>IF(K63=0,"n.a.",L63/K63)</x:f>
        <x:v>0.7692307692307693</x:v>
      </x:c>
      <x:c r="Q63" s="9" t="n">
        <x:f>IF(K63=0,"n.a.",M63/K63)</x:f>
        <x:v>0.9230769230769231</x:v>
      </x:c>
      <x:c r="R63" s="9" t="n">
        <x:f>IF(K63=0,"n.a.",N63/K63)</x:f>
        <x:v>0.038461538461538464</x:v>
      </x:c>
      <x:c r="S63" s="7" t="n">
        <x:v>-18</x:v>
      </x:c>
      <x:c r="T63" s="10" t="n">
        <x:v>0.25</x:v>
      </x:c>
      <x:c r="U63" s="7" t="n">
        <x:v>220</x:v>
      </x:c>
      <x:c r="V63" s="7" t="n">
        <x:v>508</x:v>
      </x:c>
    </x:row>
    <x:row r="64" ht="16" customHeight="1">
      <x:c r="A64" s="7" t="n">
        <x:v>61</x:v>
      </x:c>
      <x:c r="B64" s="8" t="n">
        <x:v>45845</x:v>
      </x:c>
      <x:c r="C64" s="7" t="str">
        <x:v>Ascent</x:v>
      </x:c>
      <x:c r="D64" s="7" t="str">
        <x:v>MVP</x:v>
      </x:c>
      <x:c r="E64" s="7" t="str">
        <x:v>Neon</x:v>
      </x:c>
      <x:c r="F64" s="7" t="n">
        <x:v>13</x:v>
      </x:c>
      <x:c r="G64" s="7" t="n">
        <x:v>7</x:v>
      </x:c>
      <x:c r="H64" s="7" t="str">
        <x:f>IF(F64&gt;G64,"Win",IF(F64&lt;G64,"Loss","Draw"))</x:f>
        <x:v>Win</x:v>
      </x:c>
      <x:c r="I64" s="7" t="n">
        <x:f>IF(H64="Win",1,0)</x:f>
        <x:v>1</x:v>
      </x:c>
      <x:c r="J64" s="7" t="n">
        <x:f>F64-G64</x:f>
        <x:v>6</x:v>
      </x:c>
      <x:c r="K64" s="7" t="n">
        <x:f>F64+G64</x:f>
        <x:v>20</x:v>
      </x:c>
      <x:c r="L64" s="7" t="n">
        <x:v>22</x:v>
      </x:c>
      <x:c r="M64" s="7" t="n">
        <x:v>14</x:v>
      </x:c>
      <x:c r="N64" s="7" t="n">
        <x:v>3</x:v>
      </x:c>
      <x:c r="O64" s="9" t="n">
        <x:f>IF(M64=0,"n.a.",L64/M64)</x:f>
        <x:v>1.5714285714285714</x:v>
      </x:c>
      <x:c r="P64" s="9" t="n">
        <x:f>IF(K64=0,"n.a.",L64/K64)</x:f>
        <x:v>1.1</x:v>
      </x:c>
      <x:c r="Q64" s="9" t="n">
        <x:f>IF(K64=0,"n.a.",M64/K64)</x:f>
        <x:v>0.7</x:v>
      </x:c>
      <x:c r="R64" s="9" t="n">
        <x:f>IF(K64=0,"n.a.",N64/K64)</x:f>
        <x:v>0.15</x:v>
      </x:c>
      <x:c r="S64" s="7" t="n">
        <x:v>50</x:v>
      </x:c>
      <x:c r="T64" s="10" t="n">
        <x:v>0.22</x:v>
      </x:c>
      <x:c r="U64" s="7" t="n">
        <x:v>304</x:v>
      </x:c>
      <x:c r="V64" s="7" t="n">
        <x:v>834</x:v>
      </x:c>
    </x:row>
    <x:row r="65" ht="16" customHeight="1">
      <x:c r="A65" s="7" t="n">
        <x:v>62</x:v>
      </x:c>
      <x:c r="B65" s="8" t="n">
        <x:v>45852</x:v>
      </x:c>
      <x:c r="C65" s="7" t="str">
        <x:v>Ascent</x:v>
      </x:c>
      <x:c r="D65" s="7" t="str">
        <x:v>3rd</x:v>
      </x:c>
      <x:c r="E65" s="7" t="str">
        <x:v>Neon</x:v>
      </x:c>
      <x:c r="F65" s="7" t="n">
        <x:v>7</x:v>
      </x:c>
      <x:c r="G65" s="7" t="n">
        <x:v>13</x:v>
      </x:c>
      <x:c r="H65" s="7" t="str">
        <x:f>IF(F65&gt;G65,"Win",IF(F65&lt;G65,"Loss","Draw"))</x:f>
        <x:v>Loss</x:v>
      </x:c>
      <x:c r="I65" s="7" t="n">
        <x:f>IF(H65="Win",1,0)</x:f>
        <x:v>0</x:v>
      </x:c>
      <x:c r="J65" s="7" t="n">
        <x:f>F65-G65</x:f>
        <x:v>-6</x:v>
      </x:c>
      <x:c r="K65" s="7" t="n">
        <x:f>F65+G65</x:f>
        <x:v>20</x:v>
      </x:c>
      <x:c r="L65" s="7" t="n">
        <x:v>18</x:v>
      </x:c>
      <x:c r="M65" s="7" t="n">
        <x:v>17</x:v>
      </x:c>
      <x:c r="N65" s="7" t="n">
        <x:v>1</x:v>
      </x:c>
      <x:c r="O65" s="9" t="n">
        <x:f>IF(M65=0,"n.a.",L65/M65)</x:f>
        <x:v>1.0588235294117647</x:v>
      </x:c>
      <x:c r="P65" s="9" t="n">
        <x:f>IF(K65=0,"n.a.",L65/K65)</x:f>
        <x:v>0.9</x:v>
      </x:c>
      <x:c r="Q65" s="9" t="n">
        <x:f>IF(K65=0,"n.a.",M65/K65)</x:f>
        <x:v>0.85</x:v>
      </x:c>
      <x:c r="R65" s="9" t="n">
        <x:f>IF(K65=0,"n.a.",N65/K65)</x:f>
        <x:v>0.05</x:v>
      </x:c>
      <x:c r="S65" s="7" t="n">
        <x:v>-2</x:v>
      </x:c>
      <x:c r="T65" s="10" t="n">
        <x:v>0.15</x:v>
      </x:c>
      <x:c r="U65" s="7" t="n">
        <x:v>247</x:v>
      </x:c>
      <x:c r="V65" s="7" t="n">
        <x:v>537</x:v>
      </x:c>
    </x:row>
    <x:row r="66" ht="16" customHeight="1">
      <x:c r="A66" s="7" t="n">
        <x:v>63</x:v>
      </x:c>
      <x:c r="B66" s="8" t="n">
        <x:v>45852</x:v>
      </x:c>
      <x:c r="C66" s="7" t="str">
        <x:v>Icebox</x:v>
      </x:c>
      <x:c r="D66" s="7" t="str">
        <x:v>2nd</x:v>
      </x:c>
      <x:c r="E66" s="7" t="str">
        <x:v>Neon</x:v>
      </x:c>
      <x:c r="F66" s="7" t="n">
        <x:v>13</x:v>
      </x:c>
      <x:c r="G66" s="7" t="n">
        <x:v>8</x:v>
      </x:c>
      <x:c r="H66" s="7" t="str">
        <x:f>IF(F66&gt;G66,"Win",IF(F66&lt;G66,"Loss","Draw"))</x:f>
        <x:v>Win</x:v>
      </x:c>
      <x:c r="I66" s="7" t="n">
        <x:f>IF(H66="Win",1,0)</x:f>
        <x:v>1</x:v>
      </x:c>
      <x:c r="J66" s="7" t="n">
        <x:f>F66-G66</x:f>
        <x:v>5</x:v>
      </x:c>
      <x:c r="K66" s="7" t="n">
        <x:f>F66+G66</x:f>
        <x:v>21</x:v>
      </x:c>
      <x:c r="L66" s="7" t="n">
        <x:v>27</x:v>
      </x:c>
      <x:c r="M66" s="7" t="n">
        <x:v>14</x:v>
      </x:c>
      <x:c r="N66" s="7" t="n">
        <x:v>4</x:v>
      </x:c>
      <x:c r="O66" s="9" t="n">
        <x:f>IF(M66=0,"n.a.",L66/M66)</x:f>
        <x:v>1.9285714285714286</x:v>
      </x:c>
      <x:c r="P66" s="9" t="n">
        <x:f>IF(K66=0,"n.a.",L66/K66)</x:f>
        <x:v>1.2857142857142858</x:v>
      </x:c>
      <x:c r="Q66" s="9" t="n">
        <x:f>IF(K66=0,"n.a.",M66/K66)</x:f>
        <x:v>0.6666666666666666</x:v>
      </x:c>
      <x:c r="R66" s="9" t="n">
        <x:f>IF(K66=0,"n.a.",N66/K66)</x:f>
        <x:v>0.19047619047619047</x:v>
      </x:c>
      <x:c r="S66" s="7" t="n">
        <x:v>59</x:v>
      </x:c>
      <x:c r="T66" s="10" t="n">
        <x:v>0.23</x:v>
      </x:c>
      <x:c r="U66" s="7" t="n">
        <x:v>329</x:v>
      </x:c>
      <x:c r="V66" s="7" t="n">
        <x:v>914</x:v>
      </x:c>
    </x:row>
    <x:row r="67" ht="16" customHeight="1">
      <x:c r="A67" s="7" t="n">
        <x:v>64</x:v>
      </x:c>
      <x:c r="B67" s="8" t="n">
        <x:v>45853</x:v>
      </x:c>
      <x:c r="C67" s="7" t="str">
        <x:v>Sunset</x:v>
      </x:c>
      <x:c r="D67" s="7" t="str">
        <x:v>7th</x:v>
      </x:c>
      <x:c r="E67" s="7" t="str">
        <x:v>Reyna</x:v>
      </x:c>
      <x:c r="F67" s="7" t="n">
        <x:v>13</x:v>
      </x:c>
      <x:c r="G67" s="7" t="n">
        <x:v>10</x:v>
      </x:c>
      <x:c r="H67" s="7" t="str">
        <x:f>IF(F67&gt;G67,"Win",IF(F67&lt;G67,"Loss","Draw"))</x:f>
        <x:v>Win</x:v>
      </x:c>
      <x:c r="I67" s="7" t="n">
        <x:f>IF(H67="Win",1,0)</x:f>
        <x:v>1</x:v>
      </x:c>
      <x:c r="J67" s="7" t="n">
        <x:f>F67-G67</x:f>
        <x:v>3</x:v>
      </x:c>
      <x:c r="K67" s="7" t="n">
        <x:f>F67+G67</x:f>
        <x:v>23</x:v>
      </x:c>
      <x:c r="L67" s="7" t="n">
        <x:v>16</x:v>
      </x:c>
      <x:c r="M67" s="7" t="n">
        <x:v>17</x:v>
      </x:c>
      <x:c r="N67" s="7" t="n">
        <x:v>7</x:v>
      </x:c>
      <x:c r="O67" s="9" t="n">
        <x:f>IF(M67=0,"n.a.",L67/M67)</x:f>
        <x:v>0.9411764705882353</x:v>
      </x:c>
      <x:c r="P67" s="9" t="n">
        <x:f>IF(K67=0,"n.a.",L67/K67)</x:f>
        <x:v>0.6956521739130435</x:v>
      </x:c>
      <x:c r="Q67" s="9" t="n">
        <x:f>IF(K67=0,"n.a.",M67/K67)</x:f>
        <x:v>0.7391304347826086</x:v>
      </x:c>
      <x:c r="R67" s="9" t="n">
        <x:f>IF(K67=0,"n.a.",N67/K67)</x:f>
        <x:v>0.30434782608695654</x:v>
      </x:c>
      <x:c r="S67" s="7" t="n">
        <x:v>7</x:v>
      </x:c>
      <x:c r="T67" s="10" t="n">
        <x:v>0.24</x:v>
      </x:c>
      <x:c r="U67" s="7" t="n">
        <x:v>214</x:v>
      </x:c>
      <x:c r="V67" s="7" t="n">
        <x:v>642</x:v>
      </x:c>
    </x:row>
    <x:row r="68" ht="16" customHeight="1">
      <x:c r="A68" s="7" t="n">
        <x:v>65</x:v>
      </x:c>
      <x:c r="B68" s="8" t="n">
        <x:v>45854</x:v>
      </x:c>
      <x:c r="C68" s="7" t="str">
        <x:v>Corrode</x:v>
      </x:c>
      <x:c r="D68" s="7" t="str">
        <x:v>2nd</x:v>
      </x:c>
      <x:c r="E68" s="7" t="str">
        <x:v>Neon</x:v>
      </x:c>
      <x:c r="F68" s="7" t="n">
        <x:v>13</x:v>
      </x:c>
      <x:c r="G68" s="7" t="n">
        <x:v>10</x:v>
      </x:c>
      <x:c r="H68" s="7" t="str">
        <x:f>IF(F68&gt;G68,"Win",IF(F68&lt;G68,"Loss","Draw"))</x:f>
        <x:v>Win</x:v>
      </x:c>
      <x:c r="I68" s="7" t="n">
        <x:f>IF(H68="Win",1,0)</x:f>
        <x:v>1</x:v>
      </x:c>
      <x:c r="J68" s="7" t="n">
        <x:f>F68-G68</x:f>
        <x:v>3</x:v>
      </x:c>
      <x:c r="K68" s="7" t="n">
        <x:f>F68+G68</x:f>
        <x:v>23</x:v>
      </x:c>
      <x:c r="L68" s="7" t="n">
        <x:v>26</x:v>
      </x:c>
      <x:c r="M68" s="7" t="n">
        <x:v>21</x:v>
      </x:c>
      <x:c r="N68" s="7" t="n">
        <x:v>4</x:v>
      </x:c>
      <x:c r="O68" s="9" t="n">
        <x:f>IF(M68=0,"n.a.",L68/M68)</x:f>
        <x:v>1.2380952380952381</x:v>
      </x:c>
      <x:c r="P68" s="9" t="n">
        <x:f>IF(K68=0,"n.a.",L68/K68)</x:f>
        <x:v>1.1304347826086956</x:v>
      </x:c>
      <x:c r="Q68" s="9" t="n">
        <x:f>IF(K68=0,"n.a.",M68/K68)</x:f>
        <x:v>0.9130434782608695</x:v>
      </x:c>
      <x:c r="R68" s="9" t="n">
        <x:f>IF(K68=0,"n.a.",N68/K68)</x:f>
        <x:v>0.17391304347826086</x:v>
      </x:c>
      <x:c r="S68" s="7" t="n">
        <x:v>0</x:v>
      </x:c>
      <x:c r="T68" s="10" t="n">
        <x:v>0.13</x:v>
      </x:c>
      <x:c r="U68" s="7" t="n">
        <x:v>297</x:v>
      </x:c>
      <x:c r="V68" s="7" t="n">
        <x:v>770</x:v>
      </x:c>
    </x:row>
    <x:row r="69" ht="16" customHeight="1">
      <x:c r="A69" s="7" t="n">
        <x:v>66</x:v>
      </x:c>
      <x:c r="B69" s="8" t="n">
        <x:v>45854</x:v>
      </x:c>
      <x:c r="C69" s="7" t="str">
        <x:v>Sunset</x:v>
      </x:c>
      <x:c r="D69" s="7" t="str">
        <x:v>7th</x:v>
      </x:c>
      <x:c r="E69" s="7" t="str">
        <x:v>Neon</x:v>
      </x:c>
      <x:c r="F69" s="7" t="n">
        <x:v>15</x:v>
      </x:c>
      <x:c r="G69" s="7" t="n">
        <x:v>13</x:v>
      </x:c>
      <x:c r="H69" s="7" t="str">
        <x:f>IF(F69&gt;G69,"Win",IF(F69&lt;G69,"Loss","Draw"))</x:f>
        <x:v>Win</x:v>
      </x:c>
      <x:c r="I69" s="7" t="n">
        <x:f>IF(H69="Win",1,0)</x:f>
        <x:v>1</x:v>
      </x:c>
      <x:c r="J69" s="7" t="n">
        <x:f>F69-G69</x:f>
        <x:v>2</x:v>
      </x:c>
      <x:c r="K69" s="7" t="n">
        <x:f>F69+G69</x:f>
        <x:v>28</x:v>
      </x:c>
      <x:c r="L69" s="7" t="n">
        <x:v>21</x:v>
      </x:c>
      <x:c r="M69" s="7" t="n">
        <x:v>22</x:v>
      </x:c>
      <x:c r="N69" s="7" t="n">
        <x:v>7</x:v>
      </x:c>
      <x:c r="O69" s="9" t="n">
        <x:f>IF(M69=0,"n.a.",L69/M69)</x:f>
        <x:v>0.9545454545454546</x:v>
      </x:c>
      <x:c r="P69" s="9" t="n">
        <x:f>IF(K69=0,"n.a.",L69/K69)</x:f>
        <x:v>0.75</x:v>
      </x:c>
      <x:c r="Q69" s="9" t="n">
        <x:f>IF(K69=0,"n.a.",M69/K69)</x:f>
        <x:v>0.7857142857142857</x:v>
      </x:c>
      <x:c r="R69" s="9" t="n">
        <x:f>IF(K69=0,"n.a.",N69/K69)</x:f>
        <x:v>0.25</x:v>
      </x:c>
      <x:c r="S69" s="7" t="n">
        <x:v>-15</x:v>
      </x:c>
      <x:c r="T69" s="10" t="n">
        <x:v>0.21</x:v>
      </x:c>
      <x:c r="U69" s="7" t="n">
        <x:v>199</x:v>
      </x:c>
      <x:c r="V69" s="7" t="n">
        <x:v>524</x:v>
      </x:c>
    </x:row>
    <x:row r="70" ht="16" customHeight="1">
      <x:c r="A70" s="7" t="n">
        <x:v>67</x:v>
      </x:c>
      <x:c r="B70" s="8" t="n">
        <x:v>45854</x:v>
      </x:c>
      <x:c r="C70" s="7" t="str">
        <x:v>Icebox</x:v>
      </x:c>
      <x:c r="D70" s="7" t="str">
        <x:v>5th</x:v>
      </x:c>
      <x:c r="E70" s="7" t="str">
        <x:v>Neon</x:v>
      </x:c>
      <x:c r="F70" s="7" t="n">
        <x:v>8</x:v>
      </x:c>
      <x:c r="G70" s="7" t="n">
        <x:v>13</x:v>
      </x:c>
      <x:c r="H70" s="7" t="str">
        <x:f>IF(F70&gt;G70,"Win",IF(F70&lt;G70,"Loss","Draw"))</x:f>
        <x:v>Loss</x:v>
      </x:c>
      <x:c r="I70" s="7" t="n">
        <x:f>IF(H70="Win",1,0)</x:f>
        <x:v>0</x:v>
      </x:c>
      <x:c r="J70" s="7" t="n">
        <x:f>F70-G70</x:f>
        <x:v>-5</x:v>
      </x:c>
      <x:c r="K70" s="7" t="n">
        <x:f>F70+G70</x:f>
        <x:v>21</x:v>
      </x:c>
      <x:c r="L70" s="7" t="n">
        <x:v>17</x:v>
      </x:c>
      <x:c r="M70" s="7" t="n">
        <x:v>18</x:v>
      </x:c>
      <x:c r="N70" s="7" t="n">
        <x:v>2</x:v>
      </x:c>
      <x:c r="O70" s="9" t="n">
        <x:f>IF(M70=0,"n.a.",L70/M70)</x:f>
        <x:v>0.9444444444444444</x:v>
      </x:c>
      <x:c r="P70" s="9" t="n">
        <x:f>IF(K70=0,"n.a.",L70/K70)</x:f>
        <x:v>0.8095238095238095</x:v>
      </x:c>
      <x:c r="Q70" s="9" t="n">
        <x:f>IF(K70=0,"n.a.",M70/K70)</x:f>
        <x:v>0.8571428571428571</x:v>
      </x:c>
      <x:c r="R70" s="9" t="n">
        <x:f>IF(K70=0,"n.a.",N70/K70)</x:f>
        <x:v>0.09523809523809523</x:v>
      </x:c>
      <x:c r="S70" s="7" t="n">
        <x:v>-3</x:v>
      </x:c>
      <x:c r="T70" s="10" t="n">
        <x:v>0.14</x:v>
      </x:c>
      <x:c r="U70" s="7" t="n">
        <x:v>220</x:v>
      </x:c>
      <x:c r="V70" s="7" t="n">
        <x:v>440</x:v>
      </x:c>
    </x:row>
    <x:row r="71" ht="16" customHeight="1">
      <x:c r="A71" s="7" t="n">
        <x:v>68</x:v>
      </x:c>
      <x:c r="B71" s="8" t="n">
        <x:v>45856</x:v>
      </x:c>
      <x:c r="C71" s="7" t="str">
        <x:v>Lotus</x:v>
      </x:c>
      <x:c r="D71" s="7" t="str">
        <x:v>MVP</x:v>
      </x:c>
      <x:c r="E71" s="7" t="str">
        <x:v>Neon</x:v>
      </x:c>
      <x:c r="F71" s="7" t="n">
        <x:v>13</x:v>
      </x:c>
      <x:c r="G71" s="7" t="n">
        <x:v>9</x:v>
      </x:c>
      <x:c r="H71" s="7" t="str">
        <x:f>IF(F71&gt;G71,"Win",IF(F71&lt;G71,"Loss","Draw"))</x:f>
        <x:v>Win</x:v>
      </x:c>
      <x:c r="I71" s="7" t="n">
        <x:f>IF(H71="Win",1,0)</x:f>
        <x:v>1</x:v>
      </x:c>
      <x:c r="J71" s="7" t="n">
        <x:f>F71-G71</x:f>
        <x:v>4</x:v>
      </x:c>
      <x:c r="K71" s="7" t="n">
        <x:f>F71+G71</x:f>
        <x:v>22</x:v>
      </x:c>
      <x:c r="L71" s="7" t="n">
        <x:v>22</x:v>
      </x:c>
      <x:c r="M71" s="7" t="n">
        <x:v>16</x:v>
      </x:c>
      <x:c r="N71" s="7" t="n">
        <x:v>4</x:v>
      </x:c>
      <x:c r="O71" s="9" t="n">
        <x:f>IF(M71=0,"n.a.",L71/M71)</x:f>
        <x:v>1.375</x:v>
      </x:c>
      <x:c r="P71" s="9" t="n">
        <x:f>IF(K71=0,"n.a.",L71/K71)</x:f>
        <x:v>1</x:v>
      </x:c>
      <x:c r="Q71" s="9" t="n">
        <x:f>IF(K71=0,"n.a.",M71/K71)</x:f>
        <x:v>0.7272727272727273</x:v>
      </x:c>
      <x:c r="R71" s="9" t="n">
        <x:f>IF(K71=0,"n.a.",N71/K71)</x:f>
        <x:v>0.18181818181818182</x:v>
      </x:c>
      <x:c r="S71" s="7" t="n">
        <x:v>69</x:v>
      </x:c>
      <x:c r="T71" s="10" t="n">
        <x:v>0.37</x:v>
      </x:c>
      <x:c r="U71" s="7" t="n">
        <x:v>298</x:v>
      </x:c>
      <x:c r="V71" s="7" t="n">
        <x:v>874</x:v>
      </x:c>
    </x:row>
    <x:row r="72" ht="16" customHeight="1">
      <x:c r="A72" s="7" t="n">
        <x:v>69</x:v>
      </x:c>
      <x:c r="B72" s="8" t="n">
        <x:v>45856</x:v>
      </x:c>
      <x:c r="C72" s="7" t="str">
        <x:v>Ascent</x:v>
      </x:c>
      <x:c r="D72" s="7" t="str">
        <x:v>3rd</x:v>
      </x:c>
      <x:c r="E72" s="7" t="str">
        <x:v>Neon</x:v>
      </x:c>
      <x:c r="F72" s="7" t="n">
        <x:v>13</x:v>
      </x:c>
      <x:c r="G72" s="7" t="n">
        <x:v>9</x:v>
      </x:c>
      <x:c r="H72" s="7" t="str">
        <x:f>IF(F72&gt;G72,"Win",IF(F72&lt;G72,"Loss","Draw"))</x:f>
        <x:v>Win</x:v>
      </x:c>
      <x:c r="I72" s="7" t="n">
        <x:f>IF(H72="Win",1,0)</x:f>
        <x:v>1</x:v>
      </x:c>
      <x:c r="J72" s="7" t="n">
        <x:f>F72-G72</x:f>
        <x:v>4</x:v>
      </x:c>
      <x:c r="K72" s="7" t="n">
        <x:f>F72+G72</x:f>
        <x:v>22</x:v>
      </x:c>
      <x:c r="L72" s="7" t="n">
        <x:v>19</x:v>
      </x:c>
      <x:c r="M72" s="7" t="n">
        <x:v>14</x:v>
      </x:c>
      <x:c r="N72" s="7" t="n">
        <x:v>3</x:v>
      </x:c>
      <x:c r="O72" s="9" t="n">
        <x:f>IF(M72=0,"n.a.",L72/M72)</x:f>
        <x:v>1.3571428571428572</x:v>
      </x:c>
      <x:c r="P72" s="9" t="n">
        <x:f>IF(K72=0,"n.a.",L72/K72)</x:f>
        <x:v>0.8636363636363636</x:v>
      </x:c>
      <x:c r="Q72" s="9" t="n">
        <x:f>IF(K72=0,"n.a.",M72/K72)</x:f>
        <x:v>0.6363636363636364</x:v>
      </x:c>
      <x:c r="R72" s="9" t="n">
        <x:f>IF(K72=0,"n.a.",N72/K72)</x:f>
        <x:v>0.13636363636363635</x:v>
      </x:c>
      <x:c r="S72" s="7" t="n">
        <x:v>36</x:v>
      </x:c>
      <x:c r="T72" s="10" t="n">
        <x:v>0.23</x:v>
      </x:c>
      <x:c r="U72" s="7" t="n">
        <x:v>226</x:v>
      </x:c>
      <x:c r="V72" s="7" t="n">
        <x:v>634</x:v>
      </x:c>
    </x:row>
    <x:row r="73" ht="16" customHeight="1">
      <x:c r="A73" s="7" t="n">
        <x:v>70</x:v>
      </x:c>
      <x:c r="B73" s="8" t="n">
        <x:v>45857</x:v>
      </x:c>
      <x:c r="C73" s="7" t="str">
        <x:v>Icebox</x:v>
      </x:c>
      <x:c r="D73" s="7" t="str">
        <x:v>2nd</x:v>
      </x:c>
      <x:c r="E73" s="7" t="str">
        <x:v>Neon</x:v>
      </x:c>
      <x:c r="F73" s="7" t="n">
        <x:v>11</x:v>
      </x:c>
      <x:c r="G73" s="7" t="n">
        <x:v>13</x:v>
      </x:c>
      <x:c r="H73" s="7" t="str">
        <x:f>IF(F73&gt;G73,"Win",IF(F73&lt;G73,"Loss","Draw"))</x:f>
        <x:v>Loss</x:v>
      </x:c>
      <x:c r="I73" s="7" t="n">
        <x:f>IF(H73="Win",1,0)</x:f>
        <x:v>0</x:v>
      </x:c>
      <x:c r="J73" s="7" t="n">
        <x:f>F73-G73</x:f>
        <x:v>-2</x:v>
      </x:c>
      <x:c r="K73" s="7" t="n">
        <x:f>F73+G73</x:f>
        <x:v>24</x:v>
      </x:c>
      <x:c r="L73" s="7" t="n">
        <x:v>27</x:v>
      </x:c>
      <x:c r="M73" s="7" t="n">
        <x:v>19</x:v>
      </x:c>
      <x:c r="N73" s="7" t="n">
        <x:v>2</x:v>
      </x:c>
      <x:c r="O73" s="9" t="n">
        <x:f>IF(M73=0,"n.a.",L73/M73)</x:f>
        <x:v>1.4210526315789473</x:v>
      </x:c>
      <x:c r="P73" s="9" t="n">
        <x:f>IF(K73=0,"n.a.",L73/K73)</x:f>
        <x:v>1.125</x:v>
      </x:c>
      <x:c r="Q73" s="9" t="n">
        <x:f>IF(K73=0,"n.a.",M73/K73)</x:f>
        <x:v>0.7916666666666666</x:v>
      </x:c>
      <x:c r="R73" s="9" t="n">
        <x:f>IF(K73=0,"n.a.",N73/K73)</x:f>
        <x:v>0.08333333333333333</x:v>
      </x:c>
      <x:c r="S73" s="7" t="n">
        <x:v>38</x:v>
      </x:c>
      <x:c r="T73" s="10" t="n">
        <x:v>0.21</x:v>
      </x:c>
      <x:c r="U73" s="7" t="n">
        <x:v>312</x:v>
      </x:c>
      <x:c r="V73" s="7" t="n">
        <x:v>684</x:v>
      </x:c>
    </x:row>
    <x:row r="74" ht="16" customHeight="1">
      <x:c r="A74" s="7" t="n">
        <x:v>71</x:v>
      </x:c>
      <x:c r="B74" s="8" t="n">
        <x:v>45857</x:v>
      </x:c>
      <x:c r="C74" s="7" t="str">
        <x:v>Ascent</x:v>
      </x:c>
      <x:c r="D74" s="7" t="str">
        <x:v>2nd</x:v>
      </x:c>
      <x:c r="E74" s="7" t="str">
        <x:v>Neon</x:v>
      </x:c>
      <x:c r="F74" s="7" t="n">
        <x:v>14</x:v>
      </x:c>
      <x:c r="G74" s="7" t="n">
        <x:v>12</x:v>
      </x:c>
      <x:c r="H74" s="7" t="str">
        <x:f>IF(F74&gt;G74,"Win",IF(F74&lt;G74,"Loss","Draw"))</x:f>
        <x:v>Win</x:v>
      </x:c>
      <x:c r="I74" s="7" t="n">
        <x:f>IF(H74="Win",1,0)</x:f>
        <x:v>1</x:v>
      </x:c>
      <x:c r="J74" s="7" t="n">
        <x:f>F74-G74</x:f>
        <x:v>2</x:v>
      </x:c>
      <x:c r="K74" s="7" t="n">
        <x:f>F74+G74</x:f>
        <x:v>26</x:v>
      </x:c>
      <x:c r="L74" s="7" t="n">
        <x:v>25</x:v>
      </x:c>
      <x:c r="M74" s="7" t="n">
        <x:v>21</x:v>
      </x:c>
      <x:c r="N74" s="7" t="n">
        <x:v>4</x:v>
      </x:c>
      <x:c r="O74" s="9" t="n">
        <x:f>IF(M74=0,"n.a.",L74/M74)</x:f>
        <x:v>1.1904761904761905</x:v>
      </x:c>
      <x:c r="P74" s="9" t="n">
        <x:f>IF(K74=0,"n.a.",L74/K74)</x:f>
        <x:v>0.9615384615384616</x:v>
      </x:c>
      <x:c r="Q74" s="9" t="n">
        <x:f>IF(K74=0,"n.a.",M74/K74)</x:f>
        <x:v>0.8076923076923077</x:v>
      </x:c>
      <x:c r="R74" s="9" t="n">
        <x:f>IF(K74=0,"n.a.",N74/K74)</x:f>
        <x:v>0.15384615384615385</x:v>
      </x:c>
      <x:c r="S74" s="7" t="n">
        <x:v>21</x:v>
      </x:c>
      <x:c r="T74" s="10" t="n">
        <x:v>0.22</x:v>
      </x:c>
      <x:c r="U74" s="7" t="n">
        <x:v>273</x:v>
      </x:c>
      <x:c r="V74" s="7" t="n">
        <x:v>722</x:v>
      </x:c>
    </x:row>
    <x:row r="75" ht="16" customHeight="1">
      <x:c r="A75" s="7" t="n">
        <x:v>72</x:v>
      </x:c>
      <x:c r="B75" s="8" t="n">
        <x:v>45857</x:v>
      </x:c>
      <x:c r="C75" s="7" t="str">
        <x:v>Bind</x:v>
      </x:c>
      <x:c r="D75" s="7" t="str">
        <x:v>MVP</x:v>
      </x:c>
      <x:c r="E75" s="7" t="str">
        <x:v>Neon</x:v>
      </x:c>
      <x:c r="F75" s="7" t="n">
        <x:v>13</x:v>
      </x:c>
      <x:c r="G75" s="7" t="n">
        <x:v>4</x:v>
      </x:c>
      <x:c r="H75" s="7" t="str">
        <x:f>IF(F75&gt;G75,"Win",IF(F75&lt;G75,"Loss","Draw"))</x:f>
        <x:v>Win</x:v>
      </x:c>
      <x:c r="I75" s="7" t="n">
        <x:f>IF(H75="Win",1,0)</x:f>
        <x:v>1</x:v>
      </x:c>
      <x:c r="J75" s="7" t="n">
        <x:f>F75-G75</x:f>
        <x:v>9</x:v>
      </x:c>
      <x:c r="K75" s="7" t="n">
        <x:f>F75+G75</x:f>
        <x:v>17</x:v>
      </x:c>
      <x:c r="L75" s="7" t="n">
        <x:v>19</x:v>
      </x:c>
      <x:c r="M75" s="7" t="n">
        <x:v>10</x:v>
      </x:c>
      <x:c r="N75" s="7" t="n">
        <x:v>1</x:v>
      </x:c>
      <x:c r="O75" s="9" t="n">
        <x:f>IF(M75=0,"n.a.",L75/M75)</x:f>
        <x:v>1.9</x:v>
      </x:c>
      <x:c r="P75" s="9" t="n">
        <x:f>IF(K75=0,"n.a.",L75/K75)</x:f>
        <x:v>1.1176470588235294</x:v>
      </x:c>
      <x:c r="Q75" s="9" t="n">
        <x:f>IF(K75=0,"n.a.",M75/K75)</x:f>
        <x:v>0.5882352941176471</x:v>
      </x:c>
      <x:c r="R75" s="9" t="n">
        <x:f>IF(K75=0,"n.a.",N75/K75)</x:f>
        <x:v>0.058823529411764705</x:v>
      </x:c>
      <x:c r="S75" s="7" t="n">
        <x:v>72</x:v>
      </x:c>
      <x:c r="T75" s="10" t="n">
        <x:v>0.15</x:v>
      </x:c>
      <x:c r="U75" s="7" t="n">
        <x:v>298</x:v>
      </x:c>
      <x:c r="V75" s="7" t="n">
        <x:v>915</x:v>
      </x:c>
    </x:row>
    <x:row r="76" ht="16" customHeight="1">
      <x:c r="A76" s="7" t="n">
        <x:v>73</x:v>
      </x:c>
      <x:c r="B76" s="8" t="n">
        <x:v>45857</x:v>
      </x:c>
      <x:c r="C76" s="7" t="str">
        <x:v>Corrode</x:v>
      </x:c>
      <x:c r="D76" s="7" t="str">
        <x:v>MVP</x:v>
      </x:c>
      <x:c r="E76" s="7" t="str">
        <x:v>Neon</x:v>
      </x:c>
      <x:c r="F76" s="7" t="n">
        <x:v>13</x:v>
      </x:c>
      <x:c r="G76" s="7" t="n">
        <x:v>6</x:v>
      </x:c>
      <x:c r="H76" s="7" t="str">
        <x:f>IF(F76&gt;G76,"Win",IF(F76&lt;G76,"Loss","Draw"))</x:f>
        <x:v>Win</x:v>
      </x:c>
      <x:c r="I76" s="7" t="n">
        <x:f>IF(H76="Win",1,0)</x:f>
        <x:v>1</x:v>
      </x:c>
      <x:c r="J76" s="7" t="n">
        <x:f>F76-G76</x:f>
        <x:v>7</x:v>
      </x:c>
      <x:c r="K76" s="7" t="n">
        <x:f>F76+G76</x:f>
        <x:v>19</x:v>
      </x:c>
      <x:c r="L76" s="7" t="n">
        <x:v>21</x:v>
      </x:c>
      <x:c r="M76" s="7" t="n">
        <x:v>10</x:v>
      </x:c>
      <x:c r="N76" s="7" t="n">
        <x:v>2</x:v>
      </x:c>
      <x:c r="O76" s="9" t="n">
        <x:f>IF(M76=0,"n.a.",L76/M76)</x:f>
        <x:v>2.1</x:v>
      </x:c>
      <x:c r="P76" s="9" t="n">
        <x:f>IF(K76=0,"n.a.",L76/K76)</x:f>
        <x:v>1.105263157894737</x:v>
      </x:c>
      <x:c r="Q76" s="9" t="n">
        <x:f>IF(K76=0,"n.a.",M76/K76)</x:f>
        <x:v>0.5263157894736842</x:v>
      </x:c>
      <x:c r="R76" s="9" t="n">
        <x:f>IF(K76=0,"n.a.",N76/K76)</x:f>
        <x:v>0.10526315789473684</x:v>
      </x:c>
      <x:c r="S76" s="7" t="n">
        <x:v>57</x:v>
      </x:c>
      <x:c r="T76" s="10" t="n">
        <x:v>0.32</x:v>
      </x:c>
      <x:c r="U76" s="7" t="n">
        <x:v>299</x:v>
      </x:c>
      <x:c r="V76" s="7" t="n">
        <x:v>877</x:v>
      </x:c>
    </x:row>
    <x:row r="77" ht="16" customHeight="1">
      <x:c r="A77" s="7" t="n">
        <x:v>74</x:v>
      </x:c>
      <x:c r="B77" s="8" t="n">
        <x:v>45857</x:v>
      </x:c>
      <x:c r="C77" s="7" t="str">
        <x:v>Sunset</x:v>
      </x:c>
      <x:c r="D77" s="7" t="str">
        <x:v>3rd</x:v>
      </x:c>
      <x:c r="E77" s="7" t="str">
        <x:v>Neon</x:v>
      </x:c>
      <x:c r="F77" s="7" t="n">
        <x:v>13</x:v>
      </x:c>
      <x:c r="G77" s="7" t="n">
        <x:v>3</x:v>
      </x:c>
      <x:c r="H77" s="7" t="str">
        <x:f>IF(F77&gt;G77,"Win",IF(F77&lt;G77,"Loss","Draw"))</x:f>
        <x:v>Win</x:v>
      </x:c>
      <x:c r="I77" s="7" t="n">
        <x:f>IF(H77="Win",1,0)</x:f>
        <x:v>1</x:v>
      </x:c>
      <x:c r="J77" s="7" t="n">
        <x:f>F77-G77</x:f>
        <x:v>10</x:v>
      </x:c>
      <x:c r="K77" s="7" t="n">
        <x:f>F77+G77</x:f>
        <x:v>16</x:v>
      </x:c>
      <x:c r="L77" s="7" t="n">
        <x:v>15</x:v>
      </x:c>
      <x:c r="M77" s="7" t="n">
        <x:v>11</x:v>
      </x:c>
      <x:c r="N77" s="7" t="n">
        <x:v>1</x:v>
      </x:c>
      <x:c r="O77" s="9" t="n">
        <x:f>IF(M77=0,"n.a.",L77/M77)</x:f>
        <x:v>1.3636363636363635</x:v>
      </x:c>
      <x:c r="P77" s="9" t="n">
        <x:f>IF(K77=0,"n.a.",L77/K77)</x:f>
        <x:v>0.9375</x:v>
      </x:c>
      <x:c r="Q77" s="9" t="n">
        <x:f>IF(K77=0,"n.a.",M77/K77)</x:f>
        <x:v>0.6875</x:v>
      </x:c>
      <x:c r="R77" s="9" t="n">
        <x:f>IF(K77=0,"n.a.",N77/K77)</x:f>
        <x:v>0.0625</x:v>
      </x:c>
      <x:c r="S77" s="7" t="n">
        <x:v>15</x:v>
      </x:c>
      <x:c r="T77" s="10" t="n">
        <x:v>0.37</x:v>
      </x:c>
      <x:c r="U77" s="7" t="n">
        <x:v>236</x:v>
      </x:c>
      <x:c r="V77" s="7" t="n">
        <x:v>766</x:v>
      </x:c>
    </x:row>
    <x:row r="78" ht="16" customHeight="1">
      <x:c r="A78" s="7" t="n">
        <x:v>75</x:v>
      </x:c>
      <x:c r="B78" s="8" t="n">
        <x:v>45858</x:v>
      </x:c>
      <x:c r="C78" s="7" t="str">
        <x:v>Bind</x:v>
      </x:c>
      <x:c r="D78" s="7" t="str">
        <x:v>5th</x:v>
      </x:c>
      <x:c r="E78" s="7" t="str">
        <x:v>Neon</x:v>
      </x:c>
      <x:c r="F78" s="7" t="n">
        <x:v>13</x:v>
      </x:c>
      <x:c r="G78" s="7" t="n">
        <x:v>8</x:v>
      </x:c>
      <x:c r="H78" s="7" t="str">
        <x:f>IF(F78&gt;G78,"Win",IF(F78&lt;G78,"Loss","Draw"))</x:f>
        <x:v>Win</x:v>
      </x:c>
      <x:c r="I78" s="7" t="n">
        <x:f>IF(H78="Win",1,0)</x:f>
        <x:v>1</x:v>
      </x:c>
      <x:c r="J78" s="7" t="n">
        <x:f>F78-G78</x:f>
        <x:v>5</x:v>
      </x:c>
      <x:c r="K78" s="7" t="n">
        <x:f>F78+G78</x:f>
        <x:v>21</x:v>
      </x:c>
      <x:c r="L78" s="7" t="n">
        <x:v>16</x:v>
      </x:c>
      <x:c r="M78" s="7" t="n">
        <x:v>18</x:v>
      </x:c>
      <x:c r="N78" s="7" t="n">
        <x:v>2</x:v>
      </x:c>
      <x:c r="O78" s="9" t="n">
        <x:f>IF(M78=0,"n.a.",L78/M78)</x:f>
        <x:v>0.8888888888888888</x:v>
      </x:c>
      <x:c r="P78" s="9" t="n">
        <x:f>IF(K78=0,"n.a.",L78/K78)</x:f>
        <x:v>0.7619047619047619</x:v>
      </x:c>
      <x:c r="Q78" s="9" t="n">
        <x:f>IF(K78=0,"n.a.",M78/K78)</x:f>
        <x:v>0.8571428571428571</x:v>
      </x:c>
      <x:c r="R78" s="9" t="n">
        <x:f>IF(K78=0,"n.a.",N78/K78)</x:f>
        <x:v>0.09523809523809523</x:v>
      </x:c>
      <x:c r="S78" s="7" t="n">
        <x:v>-25</x:v>
      </x:c>
      <x:c r="T78" s="10" t="n">
        <x:v>0.22</x:v>
      </x:c>
      <x:c r="U78" s="7" t="n">
        <x:v>203</x:v>
      </x:c>
      <x:c r="V78" s="7" t="n">
        <x:v>497</x:v>
      </x:c>
    </x:row>
    <x:row r="79" ht="16" customHeight="1">
      <x:c r="A79" s="7" t="n">
        <x:v>76</x:v>
      </x:c>
      <x:c r="B79" s="8" t="n">
        <x:v>45858</x:v>
      </x:c>
      <x:c r="C79" s="7" t="str">
        <x:v>Lotus</x:v>
      </x:c>
      <x:c r="D79" s="7" t="str">
        <x:v>MVP</x:v>
      </x:c>
      <x:c r="E79" s="7" t="str">
        <x:v>Neon</x:v>
      </x:c>
      <x:c r="F79" s="7" t="n">
        <x:v>13</x:v>
      </x:c>
      <x:c r="G79" s="7" t="n">
        <x:v>10</x:v>
      </x:c>
      <x:c r="H79" s="7" t="str">
        <x:f>IF(F79&gt;G79,"Win",IF(F79&lt;G79,"Loss","Draw"))</x:f>
        <x:v>Win</x:v>
      </x:c>
      <x:c r="I79" s="7" t="n">
        <x:f>IF(H79="Win",1,0)</x:f>
        <x:v>1</x:v>
      </x:c>
      <x:c r="J79" s="7" t="n">
        <x:f>F79-G79</x:f>
        <x:v>3</x:v>
      </x:c>
      <x:c r="K79" s="7" t="n">
        <x:f>F79+G79</x:f>
        <x:v>23</x:v>
      </x:c>
      <x:c r="L79" s="7" t="n">
        <x:v>26</x:v>
      </x:c>
      <x:c r="M79" s="7" t="n">
        <x:v>15</x:v>
      </x:c>
      <x:c r="N79" s="7" t="n">
        <x:v>6</x:v>
      </x:c>
      <x:c r="O79" s="9" t="n">
        <x:f>IF(M79=0,"n.a.",L79/M79)</x:f>
        <x:v>1.7333333333333334</x:v>
      </x:c>
      <x:c r="P79" s="9" t="n">
        <x:f>IF(K79=0,"n.a.",L79/K79)</x:f>
        <x:v>1.1304347826086956</x:v>
      </x:c>
      <x:c r="Q79" s="9" t="n">
        <x:f>IF(K79=0,"n.a.",M79/K79)</x:f>
        <x:v>0.6521739130434783</x:v>
      </x:c>
      <x:c r="R79" s="9" t="n">
        <x:f>IF(K79=0,"n.a.",N79/K79)</x:f>
        <x:v>0.2608695652173913</x:v>
      </x:c>
      <x:c r="S79" s="7" t="n">
        <x:v>50</x:v>
      </x:c>
      <x:c r="T79" s="10" t="n">
        <x:v>0.24</x:v>
      </x:c>
      <x:c r="U79" s="7" t="n">
        <x:v>324</x:v>
      </x:c>
      <x:c r="V79" s="7" t="n">
        <x:v>907</x:v>
      </x:c>
    </x:row>
    <x:row r="80" ht="16" customHeight="1">
      <x:c r="A80" s="7" t="n">
        <x:v>77</x:v>
      </x:c>
      <x:c r="B80" s="8" t="n">
        <x:v>45858</x:v>
      </x:c>
      <x:c r="C80" s="7" t="str">
        <x:v>Ascent</x:v>
      </x:c>
      <x:c r="D80" s="7" t="str">
        <x:v>7th</x:v>
      </x:c>
      <x:c r="E80" s="7" t="str">
        <x:v>Neon</x:v>
      </x:c>
      <x:c r="F80" s="7" t="n">
        <x:v>4</x:v>
      </x:c>
      <x:c r="G80" s="7" t="n">
        <x:v>13</x:v>
      </x:c>
      <x:c r="H80" s="7" t="str">
        <x:f>IF(F80&gt;G80,"Win",IF(F80&lt;G80,"Loss","Draw"))</x:f>
        <x:v>Loss</x:v>
      </x:c>
      <x:c r="I80" s="7" t="n">
        <x:f>IF(H80="Win",1,0)</x:f>
        <x:v>0</x:v>
      </x:c>
      <x:c r="J80" s="7" t="n">
        <x:f>F80-G80</x:f>
        <x:v>-9</x:v>
      </x:c>
      <x:c r="K80" s="7" t="n">
        <x:f>F80+G80</x:f>
        <x:v>17</x:v>
      </x:c>
      <x:c r="L80" s="7" t="n">
        <x:v>11</x:v>
      </x:c>
      <x:c r="M80" s="7" t="n">
        <x:v>14</x:v>
      </x:c>
      <x:c r="N80" s="7" t="n">
        <x:v>4</x:v>
      </x:c>
      <x:c r="O80" s="9" t="n">
        <x:f>IF(M80=0,"n.a.",L80/M80)</x:f>
        <x:v>0.7857142857142857</x:v>
      </x:c>
      <x:c r="P80" s="9" t="n">
        <x:f>IF(K80=0,"n.a.",L80/K80)</x:f>
        <x:v>0.6470588235294118</x:v>
      </x:c>
      <x:c r="Q80" s="9" t="n">
        <x:f>IF(K80=0,"n.a.",M80/K80)</x:f>
        <x:v>0.8235294117647058</x:v>
      </x:c>
      <x:c r="R80" s="9" t="n">
        <x:f>IF(K80=0,"n.a.",N80/K80)</x:f>
        <x:v>0.23529411764705882</x:v>
      </x:c>
      <x:c r="S80" s="7" t="n">
        <x:v>0</x:v>
      </x:c>
      <x:c r="T80" s="10" t="n">
        <x:v>0.15</x:v>
      </x:c>
      <x:c r="U80" s="7" t="n">
        <x:v>203</x:v>
      </x:c>
      <x:c r="V80" s="7" t="n">
        <x:v>362</x:v>
      </x:c>
    </x:row>
    <x:row r="81" ht="16" customHeight="1">
      <x:c r="A81" s="7" t="n">
        <x:v>78</x:v>
      </x:c>
      <x:c r="B81" s="8" t="n">
        <x:v>45859</x:v>
      </x:c>
      <x:c r="C81" s="7" t="str">
        <x:v>Haven</x:v>
      </x:c>
      <x:c r="D81" s="7" t="str">
        <x:v>2nd</x:v>
      </x:c>
      <x:c r="E81" s="7" t="str">
        <x:v>Neon</x:v>
      </x:c>
      <x:c r="F81" s="7" t="n">
        <x:v>13</x:v>
      </x:c>
      <x:c r="G81" s="7" t="n">
        <x:v>6</x:v>
      </x:c>
      <x:c r="H81" s="7" t="str">
        <x:f>IF(F81&gt;G81,"Win",IF(F81&lt;G81,"Loss","Draw"))</x:f>
        <x:v>Win</x:v>
      </x:c>
      <x:c r="I81" s="7" t="n">
        <x:f>IF(H81="Win",1,0)</x:f>
        <x:v>1</x:v>
      </x:c>
      <x:c r="J81" s="7" t="n">
        <x:f>F81-G81</x:f>
        <x:v>7</x:v>
      </x:c>
      <x:c r="K81" s="7" t="n">
        <x:f>F81+G81</x:f>
        <x:v>19</x:v>
      </x:c>
      <x:c r="L81" s="7" t="n">
        <x:v>21</x:v>
      </x:c>
      <x:c r="M81" s="7" t="n">
        <x:v>15</x:v>
      </x:c>
      <x:c r="N81" s="7" t="n">
        <x:v>4</x:v>
      </x:c>
      <x:c r="O81" s="9" t="n">
        <x:f>IF(M81=0,"n.a.",L81/M81)</x:f>
        <x:v>1.4</x:v>
      </x:c>
      <x:c r="P81" s="9" t="n">
        <x:f>IF(K81=0,"n.a.",L81/K81)</x:f>
        <x:v>1.105263157894737</x:v>
      </x:c>
      <x:c r="Q81" s="9" t="n">
        <x:f>IF(K81=0,"n.a.",M81/K81)</x:f>
        <x:v>0.7894736842105263</x:v>
      </x:c>
      <x:c r="R81" s="9" t="n">
        <x:f>IF(K81=0,"n.a.",N81/K81)</x:f>
        <x:v>0.21052631578947367</x:v>
      </x:c>
      <x:c r="S81" s="7" t="n">
        <x:v>70</x:v>
      </x:c>
      <x:c r="T81" s="10" t="n">
        <x:v>0.37</x:v>
      </x:c>
      <x:c r="U81" s="7" t="n">
        <x:v>319</x:v>
      </x:c>
      <x:c r="V81" s="7" t="n">
        <x:v>902</x:v>
      </x:c>
    </x:row>
    <x:row r="82" ht="16" customHeight="1">
      <x:c r="A82" s="7" t="n">
        <x:v>79</x:v>
      </x:c>
      <x:c r="B82" s="8" t="n">
        <x:v>45859</x:v>
      </x:c>
      <x:c r="C82" s="7" t="str">
        <x:v>Ascent</x:v>
      </x:c>
      <x:c r="D82" s="7" t="str">
        <x:v>10th</x:v>
      </x:c>
      <x:c r="E82" s="7" t="str">
        <x:v>Neon</x:v>
      </x:c>
      <x:c r="F82" s="7" t="n">
        <x:v>13</x:v>
      </x:c>
      <x:c r="G82" s="7" t="n">
        <x:v>6</x:v>
      </x:c>
      <x:c r="H82" s="7" t="str">
        <x:f>IF(F82&gt;G82,"Win",IF(F82&lt;G82,"Loss","Draw"))</x:f>
        <x:v>Win</x:v>
      </x:c>
      <x:c r="I82" s="7" t="n">
        <x:f>IF(H82="Win",1,0)</x:f>
        <x:v>1</x:v>
      </x:c>
      <x:c r="J82" s="7" t="n">
        <x:f>F82-G82</x:f>
        <x:v>7</x:v>
      </x:c>
      <x:c r="K82" s="7" t="n">
        <x:f>F82+G82</x:f>
        <x:v>19</x:v>
      </x:c>
      <x:c r="L82" s="7" t="n">
        <x:v>7</x:v>
      </x:c>
      <x:c r="M82" s="7" t="n">
        <x:v>16</x:v>
      </x:c>
      <x:c r="N82" s="7" t="n">
        <x:v>3</x:v>
      </x:c>
      <x:c r="O82" s="9" t="n">
        <x:f>IF(M82=0,"n.a.",L82/M82)</x:f>
        <x:v>0.4375</x:v>
      </x:c>
      <x:c r="P82" s="9" t="n">
        <x:f>IF(K82=0,"n.a.",L82/K82)</x:f>
        <x:v>0.3684210526315789</x:v>
      </x:c>
      <x:c r="Q82" s="9" t="n">
        <x:f>IF(K82=0,"n.a.",M82/K82)</x:f>
        <x:v>0.8421052631578947</x:v>
      </x:c>
      <x:c r="R82" s="9" t="n">
        <x:f>IF(K82=0,"n.a.",N82/K82)</x:f>
        <x:v>0.15789473684210525</x:v>
      </x:c>
      <x:c r="S82" s="7" t="n">
        <x:v>-85</x:v>
      </x:c>
      <x:c r="T82" s="10" t="n">
        <x:v>0.23</x:v>
      </x:c>
      <x:c r="U82" s="7" t="n">
        <x:v>116</x:v>
      </x:c>
      <x:c r="V82" s="7" t="n">
        <x:v>269</x:v>
      </x:c>
    </x:row>
    <x:row r="83" ht="16" customHeight="1">
      <x:c r="A83" s="7" t="n">
        <x:v>80</x:v>
      </x:c>
      <x:c r="B83" s="8" t="n">
        <x:v>45859</x:v>
      </x:c>
      <x:c r="C83" s="7" t="str">
        <x:v>Bind</x:v>
      </x:c>
      <x:c r="D83" s="7" t="str">
        <x:v>4th</x:v>
      </x:c>
      <x:c r="E83" s="7" t="str">
        <x:v>Neon</x:v>
      </x:c>
      <x:c r="F83" s="7" t="n">
        <x:v>10</x:v>
      </x:c>
      <x:c r="G83" s="7" t="n">
        <x:v>13</x:v>
      </x:c>
      <x:c r="H83" s="7" t="str">
        <x:f>IF(F83&gt;G83,"Win",IF(F83&lt;G83,"Loss","Draw"))</x:f>
        <x:v>Loss</x:v>
      </x:c>
      <x:c r="I83" s="7" t="n">
        <x:f>IF(H83="Win",1,0)</x:f>
        <x:v>0</x:v>
      </x:c>
      <x:c r="J83" s="7" t="n">
        <x:f>F83-G83</x:f>
        <x:v>-3</x:v>
      </x:c>
      <x:c r="K83" s="7" t="n">
        <x:f>F83+G83</x:f>
        <x:v>23</x:v>
      </x:c>
      <x:c r="L83" s="7" t="n">
        <x:v>17</x:v>
      </x:c>
      <x:c r="M83" s="7" t="n">
        <x:v>20</x:v>
      </x:c>
      <x:c r="N83" s="7" t="n">
        <x:v>4</x:v>
      </x:c>
      <x:c r="O83" s="9" t="n">
        <x:f>IF(M83=0,"n.a.",L83/M83)</x:f>
        <x:v>0.85</x:v>
      </x:c>
      <x:c r="P83" s="9" t="n">
        <x:f>IF(K83=0,"n.a.",L83/K83)</x:f>
        <x:v>0.7391304347826086</x:v>
      </x:c>
      <x:c r="Q83" s="9" t="n">
        <x:f>IF(K83=0,"n.a.",M83/K83)</x:f>
        <x:v>0.8695652173913043</x:v>
      </x:c>
      <x:c r="R83" s="9" t="n">
        <x:f>IF(K83=0,"n.a.",N83/K83)</x:f>
        <x:v>0.17391304347826086</x:v>
      </x:c>
      <x:c r="S83" s="7" t="n">
        <x:v>5</x:v>
      </x:c>
      <x:c r="T83" s="10" t="n">
        <x:v>0.1</x:v>
      </x:c>
      <x:c r="U83" s="7" t="n">
        <x:v>238</x:v>
      </x:c>
      <x:c r="V83" s="7" t="n">
        <x:v>478</x:v>
      </x:c>
    </x:row>
    <x:row r="84" ht="16" customHeight="1">
      <x:c r="A84" s="7" t="n">
        <x:v>81</x:v>
      </x:c>
      <x:c r="B84" s="8" t="n">
        <x:v>45860</x:v>
      </x:c>
      <x:c r="C84" s="7" t="str">
        <x:v>Corrode</x:v>
      </x:c>
      <x:c r="D84" s="7" t="str">
        <x:v>6th</x:v>
      </x:c>
      <x:c r="E84" s="7" t="str">
        <x:v>Cypher</x:v>
      </x:c>
      <x:c r="F84" s="7" t="n">
        <x:v>13</x:v>
      </x:c>
      <x:c r="G84" s="7" t="n">
        <x:v>6</x:v>
      </x:c>
      <x:c r="H84" s="7" t="str">
        <x:f>IF(F84&gt;G84,"Win",IF(F84&lt;G84,"Loss","Draw"))</x:f>
        <x:v>Win</x:v>
      </x:c>
      <x:c r="I84" s="7" t="n">
        <x:f>IF(H84="Win",1,0)</x:f>
        <x:v>1</x:v>
      </x:c>
      <x:c r="J84" s="7" t="n">
        <x:f>F84-G84</x:f>
        <x:v>7</x:v>
      </x:c>
      <x:c r="K84" s="7" t="n">
        <x:f>F84+G84</x:f>
        <x:v>19</x:v>
      </x:c>
      <x:c r="L84" s="7" t="n">
        <x:v>14</x:v>
      </x:c>
      <x:c r="M84" s="7" t="n">
        <x:v>15</x:v>
      </x:c>
      <x:c r="N84" s="7" t="n">
        <x:v>8</x:v>
      </x:c>
      <x:c r="O84" s="9" t="n">
        <x:f>IF(M84=0,"n.a.",L84/M84)</x:f>
        <x:v>0.9333333333333333</x:v>
      </x:c>
      <x:c r="P84" s="9" t="n">
        <x:f>IF(K84=0,"n.a.",L84/K84)</x:f>
        <x:v>0.7368421052631579</x:v>
      </x:c>
      <x:c r="Q84" s="9" t="n">
        <x:f>IF(K84=0,"n.a.",M84/K84)</x:f>
        <x:v>0.7894736842105263</x:v>
      </x:c>
      <x:c r="R84" s="9" t="n">
        <x:f>IF(K84=0,"n.a.",N84/K84)</x:f>
        <x:v>0.42105263157894735</x:v>
      </x:c>
      <x:c r="S84" s="7" t="n">
        <x:v>-25</x:v>
      </x:c>
      <x:c r="T84" s="10" t="n">
        <x:v>0.28</x:v>
      </x:c>
      <x:c r="U84" s="7" t="n">
        <x:v>202</x:v>
      </x:c>
      <x:c r="V84" s="7" t="n">
        <x:v>441</x:v>
      </x:c>
    </x:row>
    <x:row r="85" ht="16" customHeight="1">
      <x:c r="A85" s="7" t="n">
        <x:v>82</x:v>
      </x:c>
      <x:c r="B85" s="8" t="n">
        <x:v>45860</x:v>
      </x:c>
      <x:c r="C85" s="7" t="str">
        <x:v>Bind</x:v>
      </x:c>
      <x:c r="D85" s="7" t="str">
        <x:v>5th</x:v>
      </x:c>
      <x:c r="E85" s="7" t="str">
        <x:v>Neon</x:v>
      </x:c>
      <x:c r="F85" s="7" t="n">
        <x:v>4</x:v>
      </x:c>
      <x:c r="G85" s="7" t="n">
        <x:v>13</x:v>
      </x:c>
      <x:c r="H85" s="7" t="str">
        <x:f>IF(F85&gt;G85,"Win",IF(F85&lt;G85,"Loss","Draw"))</x:f>
        <x:v>Loss</x:v>
      </x:c>
      <x:c r="I85" s="7" t="n">
        <x:f>IF(H85="Win",1,0)</x:f>
        <x:v>0</x:v>
      </x:c>
      <x:c r="J85" s="7" t="n">
        <x:f>F85-G85</x:f>
        <x:v>-9</x:v>
      </x:c>
      <x:c r="K85" s="7" t="n">
        <x:f>F85+G85</x:f>
        <x:v>17</x:v>
      </x:c>
      <x:c r="L85" s="7" t="n">
        <x:v>11</x:v>
      </x:c>
      <x:c r="M85" s="7" t="n">
        <x:v>13</x:v>
      </x:c>
      <x:c r="N85" s="7" t="n">
        <x:v>0</x:v>
      </x:c>
      <x:c r="O85" s="9" t="n">
        <x:f>IF(M85=0,"n.a.",L85/M85)</x:f>
        <x:v>0.8461538461538461</x:v>
      </x:c>
      <x:c r="P85" s="9" t="n">
        <x:f>IF(K85=0,"n.a.",L85/K85)</x:f>
        <x:v>0.6470588235294118</x:v>
      </x:c>
      <x:c r="Q85" s="9" t="n">
        <x:f>IF(K85=0,"n.a.",M85/K85)</x:f>
        <x:v>0.7647058823529411</x:v>
      </x:c>
      <x:c r="R85" s="9" t="n">
        <x:f>IF(K85=0,"n.a.",N85/K85)</x:f>
        <x:v>0</x:v>
      </x:c>
      <x:c r="S85" s="7" t="n">
        <x:v>-5</x:v>
      </x:c>
      <x:c r="T85" s="10" t="n">
        <x:v>0.36</x:v>
      </x:c>
      <x:c r="U85" s="7" t="n">
        <x:v>188</x:v>
      </x:c>
      <x:c r="V85" s="7" t="n">
        <x:v>326</x:v>
      </x:c>
    </x:row>
    <x:row r="86" ht="16" customHeight="1">
      <x:c r="A86" s="7" t="n">
        <x:v>83</x:v>
      </x:c>
      <x:c r="B86" s="8" t="n">
        <x:v>45860</x:v>
      </x:c>
      <x:c r="C86" s="7" t="str">
        <x:v>Haven</x:v>
      </x:c>
      <x:c r="D86" s="7" t="str">
        <x:v>3rd</x:v>
      </x:c>
      <x:c r="E86" s="7" t="str">
        <x:v>Neon</x:v>
      </x:c>
      <x:c r="F86" s="7" t="n">
        <x:v>12</x:v>
      </x:c>
      <x:c r="G86" s="7" t="n">
        <x:v>14</x:v>
      </x:c>
      <x:c r="H86" s="7" t="str">
        <x:f>IF(F86&gt;G86,"Win",IF(F86&lt;G86,"Loss","Draw"))</x:f>
        <x:v>Loss</x:v>
      </x:c>
      <x:c r="I86" s="7" t="n">
        <x:f>IF(H86="Win",1,0)</x:f>
        <x:v>0</x:v>
      </x:c>
      <x:c r="J86" s="7" t="n">
        <x:f>F86-G86</x:f>
        <x:v>-2</x:v>
      </x:c>
      <x:c r="K86" s="7" t="n">
        <x:f>F86+G86</x:f>
        <x:v>26</x:v>
      </x:c>
      <x:c r="L86" s="7" t="n">
        <x:v>20</x:v>
      </x:c>
      <x:c r="M86" s="7" t="n">
        <x:v>20</x:v>
      </x:c>
      <x:c r="N86" s="7" t="n">
        <x:v>8</x:v>
      </x:c>
      <x:c r="O86" s="9" t="n">
        <x:f>IF(M86=0,"n.a.",L86/M86)</x:f>
        <x:v>1</x:v>
      </x:c>
      <x:c r="P86" s="9" t="n">
        <x:f>IF(K86=0,"n.a.",L86/K86)</x:f>
        <x:v>0.7692307692307693</x:v>
      </x:c>
      <x:c r="Q86" s="9" t="n">
        <x:f>IF(K86=0,"n.a.",M86/K86)</x:f>
        <x:v>0.7692307692307693</x:v>
      </x:c>
      <x:c r="R86" s="9" t="n">
        <x:f>IF(K86=0,"n.a.",N86/K86)</x:f>
        <x:v>0.3076923076923077</x:v>
      </x:c>
      <x:c r="S86" s="7" t="n">
        <x:v>13</x:v>
      </x:c>
      <x:c r="T86" s="10" t="n">
        <x:v>0.24</x:v>
      </x:c>
      <x:c r="U86" s="7" t="n">
        <x:v>227</x:v>
      </x:c>
      <x:c r="V86" s="7" t="n">
        <x:v>687</x:v>
      </x:c>
    </x:row>
    <x:row r="87" ht="16" customHeight="1">
      <x:c r="A87" s="7" t="n">
        <x:v>84</x:v>
      </x:c>
      <x:c r="B87" s="8" t="n">
        <x:v>45860</x:v>
      </x:c>
      <x:c r="C87" s="7" t="str">
        <x:v>Corrode</x:v>
      </x:c>
      <x:c r="D87" s="7" t="str">
        <x:v>9th</x:v>
      </x:c>
      <x:c r="E87" s="7" t="str">
        <x:v>Reyna</x:v>
      </x:c>
      <x:c r="F87" s="7" t="n">
        <x:v>14</x:v>
      </x:c>
      <x:c r="G87" s="7" t="n">
        <x:v>16</x:v>
      </x:c>
      <x:c r="H87" s="7" t="str">
        <x:f>IF(F87&gt;G87,"Win",IF(F87&lt;G87,"Loss","Draw"))</x:f>
        <x:v>Loss</x:v>
      </x:c>
      <x:c r="I87" s="7" t="n">
        <x:f>IF(H87="Win",1,0)</x:f>
        <x:v>0</x:v>
      </x:c>
      <x:c r="J87" s="7" t="n">
        <x:f>F87-G87</x:f>
        <x:v>-2</x:v>
      </x:c>
      <x:c r="K87" s="7" t="n">
        <x:f>F87+G87</x:f>
        <x:v>30</x:v>
      </x:c>
      <x:c r="L87" s="7" t="n">
        <x:v>17</x:v>
      </x:c>
      <x:c r="M87" s="7" t="n">
        <x:v>24</x:v>
      </x:c>
      <x:c r="N87" s="7" t="n">
        <x:v>1</x:v>
      </x:c>
      <x:c r="O87" s="9" t="n">
        <x:f>IF(M87=0,"n.a.",L87/M87)</x:f>
        <x:v>0.7083333333333334</x:v>
      </x:c>
      <x:c r="P87" s="9" t="n">
        <x:f>IF(K87=0,"n.a.",L87/K87)</x:f>
        <x:v>0.5666666666666667</x:v>
      </x:c>
      <x:c r="Q87" s="9" t="n">
        <x:f>IF(K87=0,"n.a.",M87/K87)</x:f>
        <x:v>0.8</x:v>
      </x:c>
      <x:c r="R87" s="9" t="n">
        <x:f>IF(K87=0,"n.a.",N87/K87)</x:f>
        <x:v>0.03333333333333333</x:v>
      </x:c>
      <x:c r="S87" s="7" t="n">
        <x:v>-28</x:v>
      </x:c>
      <x:c r="T87" s="10" t="n">
        <x:v>0.25</x:v>
      </x:c>
      <x:c r="U87" s="7" t="n">
        <x:v>157</x:v>
      </x:c>
      <x:c r="V87" s="7" t="n">
        <x:v>295</x:v>
      </x:c>
    </x:row>
    <x:row r="88" ht="16" customHeight="1">
      <x:c r="A88" s="7" t="n">
        <x:v>85</x:v>
      </x:c>
      <x:c r="B88" s="8" t="n">
        <x:v>45860</x:v>
      </x:c>
      <x:c r="C88" s="7" t="str">
        <x:v>Icebox</x:v>
      </x:c>
      <x:c r="D88" s="7" t="str">
        <x:v>5th</x:v>
      </x:c>
      <x:c r="E88" s="7" t="str">
        <x:v>Neon</x:v>
      </x:c>
      <x:c r="F88" s="7" t="n">
        <x:v>4</x:v>
      </x:c>
      <x:c r="G88" s="7" t="n">
        <x:v>13</x:v>
      </x:c>
      <x:c r="H88" s="7" t="str">
        <x:f>IF(F88&gt;G88,"Win",IF(F88&lt;G88,"Loss","Draw"))</x:f>
        <x:v>Loss</x:v>
      </x:c>
      <x:c r="I88" s="7" t="n">
        <x:f>IF(H88="Win",1,0)</x:f>
        <x:v>0</x:v>
      </x:c>
      <x:c r="J88" s="7" t="n">
        <x:f>F88-G88</x:f>
        <x:v>-9</x:v>
      </x:c>
      <x:c r="K88" s="7" t="n">
        <x:f>F88+G88</x:f>
        <x:v>17</x:v>
      </x:c>
      <x:c r="L88" s="7" t="n">
        <x:v>13</x:v>
      </x:c>
      <x:c r="M88" s="7" t="n">
        <x:v>15</x:v>
      </x:c>
      <x:c r="N88" s="7" t="n">
        <x:v>1</x:v>
      </x:c>
      <x:c r="O88" s="9" t="n">
        <x:f>IF(M88=0,"n.a.",L88/M88)</x:f>
        <x:v>0.8666666666666667</x:v>
      </x:c>
      <x:c r="P88" s="9" t="n">
        <x:f>IF(K88=0,"n.a.",L88/K88)</x:f>
        <x:v>0.7647058823529411</x:v>
      </x:c>
      <x:c r="Q88" s="9" t="n">
        <x:f>IF(K88=0,"n.a.",M88/K88)</x:f>
        <x:v>0.8823529411764706</x:v>
      </x:c>
      <x:c r="R88" s="9" t="n">
        <x:f>IF(K88=0,"n.a.",N88/K88)</x:f>
        <x:v>0.058823529411764705</x:v>
      </x:c>
      <x:c r="S88" s="7" t="n">
        <x:v>-26</x:v>
      </x:c>
      <x:c r="T88" s="10" t="n">
        <x:v>0.21</x:v>
      </x:c>
      <x:c r="U88" s="7" t="n">
        <x:v>218</x:v>
      </x:c>
      <x:c r="V88" s="7" t="n">
        <x:v>372</x:v>
      </x:c>
    </x:row>
    <x:row r="89" ht="16" customHeight="1">
      <x:c r="A89" s="7" t="n">
        <x:v>86</x:v>
      </x:c>
      <x:c r="B89" s="8" t="n">
        <x:v>45861</x:v>
      </x:c>
      <x:c r="C89" s="7" t="str">
        <x:v>Icebox</x:v>
      </x:c>
      <x:c r="D89" s="7" t="str">
        <x:v>7th</x:v>
      </x:c>
      <x:c r="E89" s="7" t="str">
        <x:v>Neon</x:v>
      </x:c>
      <x:c r="F89" s="7" t="n">
        <x:v>13</x:v>
      </x:c>
      <x:c r="G89" s="7" t="n">
        <x:v>8</x:v>
      </x:c>
      <x:c r="H89" s="7" t="str">
        <x:f>IF(F89&gt;G89,"Win",IF(F89&lt;G89,"Loss","Draw"))</x:f>
        <x:v>Win</x:v>
      </x:c>
      <x:c r="I89" s="7" t="n">
        <x:f>IF(H89="Win",1,0)</x:f>
        <x:v>1</x:v>
      </x:c>
      <x:c r="J89" s="7" t="n">
        <x:f>F89-G89</x:f>
        <x:v>5</x:v>
      </x:c>
      <x:c r="K89" s="7" t="n">
        <x:f>F89+G89</x:f>
        <x:v>21</x:v>
      </x:c>
      <x:c r="L89" s="7" t="n">
        <x:v>13</x:v>
      </x:c>
      <x:c r="M89" s="7" t="n">
        <x:v>18</x:v>
      </x:c>
      <x:c r="N89" s="7" t="n">
        <x:v>6</x:v>
      </x:c>
      <x:c r="O89" s="9" t="n">
        <x:f>IF(M89=0,"n.a.",L89/M89)</x:f>
        <x:v>0.7222222222222222</x:v>
      </x:c>
      <x:c r="P89" s="9" t="n">
        <x:f>IF(K89=0,"n.a.",L89/K89)</x:f>
        <x:v>0.6190476190476191</x:v>
      </x:c>
      <x:c r="Q89" s="9" t="n">
        <x:f>IF(K89=0,"n.a.",M89/K89)</x:f>
        <x:v>0.8571428571428571</x:v>
      </x:c>
      <x:c r="R89" s="9" t="n">
        <x:f>IF(K89=0,"n.a.",N89/K89)</x:f>
        <x:v>0.2857142857142857</x:v>
      </x:c>
      <x:c r="S89" s="7" t="n">
        <x:v>-16</x:v>
      </x:c>
      <x:c r="T89" s="10" t="n">
        <x:v>0.27</x:v>
      </x:c>
      <x:c r="U89" s="7" t="n">
        <x:v>190</x:v>
      </x:c>
      <x:c r="V89" s="7" t="n">
        <x:v>494</x:v>
      </x:c>
    </x:row>
    <x:row r="90" ht="16" customHeight="1">
      <x:c r="A90" s="7" t="n">
        <x:v>87</x:v>
      </x:c>
      <x:c r="B90" s="8" t="n">
        <x:v>45861</x:v>
      </x:c>
      <x:c r="C90" s="7" t="str">
        <x:v>Haven</x:v>
      </x:c>
      <x:c r="D90" s="7" t="str">
        <x:v>4th</x:v>
      </x:c>
      <x:c r="E90" s="7" t="str">
        <x:v>Neon</x:v>
      </x:c>
      <x:c r="F90" s="7" t="n">
        <x:v>3</x:v>
      </x:c>
      <x:c r="G90" s="7" t="n">
        <x:v>13</x:v>
      </x:c>
      <x:c r="H90" s="7" t="str">
        <x:f>IF(F90&gt;G90,"Win",IF(F90&lt;G90,"Loss","Draw"))</x:f>
        <x:v>Loss</x:v>
      </x:c>
      <x:c r="I90" s="7" t="n">
        <x:f>IF(H90="Win",1,0)</x:f>
        <x:v>0</x:v>
      </x:c>
      <x:c r="J90" s="7" t="n">
        <x:f>F90-G90</x:f>
        <x:v>-10</x:v>
      </x:c>
      <x:c r="K90" s="7" t="n">
        <x:f>F90+G90</x:f>
        <x:v>16</x:v>
      </x:c>
      <x:c r="L90" s="7" t="n">
        <x:v>9</x:v>
      </x:c>
      <x:c r="M90" s="7" t="n">
        <x:v>14</x:v>
      </x:c>
      <x:c r="N90" s="7" t="n">
        <x:v>2</x:v>
      </x:c>
      <x:c r="O90" s="9" t="n">
        <x:f>IF(M90=0,"n.a.",L90/M90)</x:f>
        <x:v>0.6428571428571429</x:v>
      </x:c>
      <x:c r="P90" s="9" t="n">
        <x:f>IF(K90=0,"n.a.",L90/K90)</x:f>
        <x:v>0.5625</x:v>
      </x:c>
      <x:c r="Q90" s="9" t="n">
        <x:f>IF(K90=0,"n.a.",M90/K90)</x:f>
        <x:v>0.875</x:v>
      </x:c>
      <x:c r="R90" s="9" t="n">
        <x:f>IF(K90=0,"n.a.",N90/K90)</x:f>
        <x:v>0.125</x:v>
      </x:c>
      <x:c r="S90" s="7" t="n">
        <x:v>-58</x:v>
      </x:c>
      <x:c r="T90" s="10" t="n">
        <x:v>0.27</x:v>
      </x:c>
      <x:c r="U90" s="7" t="n">
        <x:v>179</x:v>
      </x:c>
      <x:c r="V90" s="7" t="n">
        <x:v>172</x:v>
      </x:c>
    </x:row>
    <x:row r="91" ht="16" customHeight="1">
      <x:c r="A91" s="7" t="n">
        <x:v>88</x:v>
      </x:c>
      <x:c r="B91" s="8" t="n">
        <x:v>45861</x:v>
      </x:c>
      <x:c r="C91" s="7" t="str">
        <x:v>Lotus</x:v>
      </x:c>
      <x:c r="D91" s="7" t="str">
        <x:v>3rd</x:v>
      </x:c>
      <x:c r="E91" s="7" t="str">
        <x:v>Neon</x:v>
      </x:c>
      <x:c r="F91" s="7" t="n">
        <x:v>7</x:v>
      </x:c>
      <x:c r="G91" s="7" t="n">
        <x:v>13</x:v>
      </x:c>
      <x:c r="H91" s="7" t="str">
        <x:f>IF(F91&gt;G91,"Win",IF(F91&lt;G91,"Loss","Draw"))</x:f>
        <x:v>Loss</x:v>
      </x:c>
      <x:c r="I91" s="7" t="n">
        <x:f>IF(H91="Win",1,0)</x:f>
        <x:v>0</x:v>
      </x:c>
      <x:c r="J91" s="7" t="n">
        <x:f>F91-G91</x:f>
        <x:v>-6</x:v>
      </x:c>
      <x:c r="K91" s="7" t="n">
        <x:f>F91+G91</x:f>
        <x:v>20</x:v>
      </x:c>
      <x:c r="L91" s="7" t="n">
        <x:v>16</x:v>
      </x:c>
      <x:c r="M91" s="7" t="n">
        <x:v>15</x:v>
      </x:c>
      <x:c r="N91" s="7" t="n">
        <x:v>8</x:v>
      </x:c>
      <x:c r="O91" s="9" t="n">
        <x:f>IF(M91=0,"n.a.",L91/M91)</x:f>
        <x:v>1.0666666666666667</x:v>
      </x:c>
      <x:c r="P91" s="9" t="n">
        <x:f>IF(K91=0,"n.a.",L91/K91)</x:f>
        <x:v>0.8</x:v>
      </x:c>
      <x:c r="Q91" s="9" t="n">
        <x:f>IF(K91=0,"n.a.",M91/K91)</x:f>
        <x:v>0.75</x:v>
      </x:c>
      <x:c r="R91" s="9" t="n">
        <x:f>IF(K91=0,"n.a.",N91/K91)</x:f>
        <x:v>0.4</x:v>
      </x:c>
      <x:c r="S91" s="7" t="n">
        <x:v>18</x:v>
      </x:c>
      <x:c r="T91" s="10" t="n">
        <x:v>0.23</x:v>
      </x:c>
      <x:c r="U91" s="7" t="n">
        <x:v>246</x:v>
      </x:c>
      <x:c r="V91" s="7" t="n">
        <x:v>621</x:v>
      </x:c>
    </x:row>
    <x:row r="92" ht="16" customHeight="1">
      <x:c r="A92" s="7" t="n">
        <x:v>89</x:v>
      </x:c>
      <x:c r="B92" s="8" t="n">
        <x:v>45861</x:v>
      </x:c>
      <x:c r="C92" s="7" t="str">
        <x:v>Icebox</x:v>
      </x:c>
      <x:c r="D92" s="7" t="str">
        <x:v>4th</x:v>
      </x:c>
      <x:c r="E92" s="7" t="str">
        <x:v>Neon</x:v>
      </x:c>
      <x:c r="F92" s="7" t="n">
        <x:v>13</x:v>
      </x:c>
      <x:c r="G92" s="7" t="n">
        <x:v>7</x:v>
      </x:c>
      <x:c r="H92" s="7" t="str">
        <x:f>IF(F92&gt;G92,"Win",IF(F92&lt;G92,"Loss","Draw"))</x:f>
        <x:v>Win</x:v>
      </x:c>
      <x:c r="I92" s="7" t="n">
        <x:f>IF(H92="Win",1,0)</x:f>
        <x:v>1</x:v>
      </x:c>
      <x:c r="J92" s="7" t="n">
        <x:f>F92-G92</x:f>
        <x:v>6</x:v>
      </x:c>
      <x:c r="K92" s="7" t="n">
        <x:f>F92+G92</x:f>
        <x:v>20</x:v>
      </x:c>
      <x:c r="L92" s="7" t="n">
        <x:v>17</x:v>
      </x:c>
      <x:c r="M92" s="7" t="n">
        <x:v>15</x:v>
      </x:c>
      <x:c r="N92" s="7" t="n">
        <x:v>6</x:v>
      </x:c>
      <x:c r="O92" s="9" t="n">
        <x:f>IF(M92=0,"n.a.",L92/M92)</x:f>
        <x:v>1.1333333333333333</x:v>
      </x:c>
      <x:c r="P92" s="9" t="n">
        <x:f>IF(K92=0,"n.a.",L92/K92)</x:f>
        <x:v>0.85</x:v>
      </x:c>
      <x:c r="Q92" s="9" t="n">
        <x:f>IF(K92=0,"n.a.",M92/K92)</x:f>
        <x:v>0.75</x:v>
      </x:c>
      <x:c r="R92" s="9" t="n">
        <x:f>IF(K92=0,"n.a.",N92/K92)</x:f>
        <x:v>0.3</x:v>
      </x:c>
      <x:c r="S92" s="7" t="n">
        <x:v>13</x:v>
      </x:c>
      <x:c r="T92" s="10" t="n">
        <x:v>0.25</x:v>
      </x:c>
      <x:c r="U92" s="7" t="n">
        <x:v>244</x:v>
      </x:c>
      <x:c r="V92" s="7" t="n">
        <x:v>770</x:v>
      </x:c>
    </x:row>
    <x:row r="93" ht="16" customHeight="1">
      <x:c r="A93" s="7" t="n">
        <x:v>90</x:v>
      </x:c>
      <x:c r="B93" s="8" t="n">
        <x:v>45861</x:v>
      </x:c>
      <x:c r="C93" s="7" t="str">
        <x:v>Bind</x:v>
      </x:c>
      <x:c r="D93" s="7" t="str">
        <x:v>6th</x:v>
      </x:c>
      <x:c r="E93" s="7" t="str">
        <x:v>Neon</x:v>
      </x:c>
      <x:c r="F93" s="7" t="n">
        <x:v>5</x:v>
      </x:c>
      <x:c r="G93" s="7" t="n">
        <x:v>13</x:v>
      </x:c>
      <x:c r="H93" s="7" t="str">
        <x:f>IF(F93&gt;G93,"Win",IF(F93&lt;G93,"Loss","Draw"))</x:f>
        <x:v>Loss</x:v>
      </x:c>
      <x:c r="I93" s="7" t="n">
        <x:f>IF(H93="Win",1,0)</x:f>
        <x:v>0</x:v>
      </x:c>
      <x:c r="J93" s="7" t="n">
        <x:f>F93-G93</x:f>
        <x:v>-8</x:v>
      </x:c>
      <x:c r="K93" s="7" t="n">
        <x:f>F93+G93</x:f>
        <x:v>18</x:v>
      </x:c>
      <x:c r="L93" s="7" t="n">
        <x:v>12</x:v>
      </x:c>
      <x:c r="M93" s="7" t="n">
        <x:v>16</x:v>
      </x:c>
      <x:c r="N93" s="7" t="n">
        <x:v>4</x:v>
      </x:c>
      <x:c r="O93" s="9" t="n">
        <x:f>IF(M93=0,"n.a.",L93/M93)</x:f>
        <x:v>0.75</x:v>
      </x:c>
      <x:c r="P93" s="9" t="n">
        <x:f>IF(K93=0,"n.a.",L93/K93)</x:f>
        <x:v>0.6666666666666666</x:v>
      </x:c>
      <x:c r="Q93" s="9" t="n">
        <x:f>IF(K93=0,"n.a.",M93/K93)</x:f>
        <x:v>0.8888888888888888</x:v>
      </x:c>
      <x:c r="R93" s="9" t="n">
        <x:f>IF(K93=0,"n.a.",N93/K93)</x:f>
        <x:v>0.2222222222222222</x:v>
      </x:c>
      <x:c r="S93" s="7" t="n">
        <x:v>-24</x:v>
      </x:c>
      <x:c r="T93" s="10" t="n">
        <x:v>0.1</x:v>
      </x:c>
      <x:c r="U93" s="7" t="n">
        <x:v>212</x:v>
      </x:c>
      <x:c r="V93" s="7" t="n">
        <x:v>388</x:v>
      </x:c>
    </x:row>
    <x:row r="94" ht="16" customHeight="1">
      <x:c r="A94" s="7" t="n">
        <x:v>91</x:v>
      </x:c>
      <x:c r="B94" s="8" t="n">
        <x:v>45861</x:v>
      </x:c>
      <x:c r="C94" s="7" t="str">
        <x:v>Ascent</x:v>
      </x:c>
      <x:c r="D94" s="7" t="str">
        <x:v>3rd</x:v>
      </x:c>
      <x:c r="E94" s="7" t="str">
        <x:v>Neon</x:v>
      </x:c>
      <x:c r="F94" s="7" t="n">
        <x:v>13</x:v>
      </x:c>
      <x:c r="G94" s="7" t="n">
        <x:v>11</x:v>
      </x:c>
      <x:c r="H94" s="7" t="str">
        <x:f>IF(F94&gt;G94,"Win",IF(F94&lt;G94,"Loss","Draw"))</x:f>
        <x:v>Win</x:v>
      </x:c>
      <x:c r="I94" s="7" t="n">
        <x:f>IF(H94="Win",1,0)</x:f>
        <x:v>1</x:v>
      </x:c>
      <x:c r="J94" s="7" t="n">
        <x:f>F94-G94</x:f>
        <x:v>2</x:v>
      </x:c>
      <x:c r="K94" s="7" t="n">
        <x:f>F94+G94</x:f>
        <x:v>24</x:v>
      </x:c>
      <x:c r="L94" s="7" t="n">
        <x:v>25</x:v>
      </x:c>
      <x:c r="M94" s="7" t="n">
        <x:v>15</x:v>
      </x:c>
      <x:c r="N94" s="7" t="n">
        <x:v>5</x:v>
      </x:c>
      <x:c r="O94" s="9" t="n">
        <x:f>IF(M94=0,"n.a.",L94/M94)</x:f>
        <x:v>1.6666666666666667</x:v>
      </x:c>
      <x:c r="P94" s="9" t="n">
        <x:f>IF(K94=0,"n.a.",L94/K94)</x:f>
        <x:v>1.0416666666666667</x:v>
      </x:c>
      <x:c r="Q94" s="9" t="n">
        <x:f>IF(K94=0,"n.a.",M94/K94)</x:f>
        <x:v>0.625</x:v>
      </x:c>
      <x:c r="R94" s="9" t="n">
        <x:f>IF(K94=0,"n.a.",N94/K94)</x:f>
        <x:v>0.20833333333333334</x:v>
      </x:c>
      <x:c r="S94" s="7" t="n">
        <x:v>51</x:v>
      </x:c>
      <x:c r="T94" s="10" t="n">
        <x:v>0.25</x:v>
      </x:c>
      <x:c r="U94" s="7" t="n">
        <x:v>280</x:v>
      </x:c>
      <x:c r="V94" s="7" t="n">
        <x:v>791</x:v>
      </x:c>
    </x:row>
    <x:row r="95" ht="16" customHeight="1">
      <x:c r="A95" s="7" t="n">
        <x:v>92</x:v>
      </x:c>
      <x:c r="B95" s="8" t="n">
        <x:v>45864</x:v>
      </x:c>
      <x:c r="C95" s="7" t="str">
        <x:v>Bind</x:v>
      </x:c>
      <x:c r="D95" s="7" t="str">
        <x:v>9th</x:v>
      </x:c>
      <x:c r="E95" s="7" t="str">
        <x:v>Neon</x:v>
      </x:c>
      <x:c r="F95" s="7" t="n">
        <x:v>13</x:v>
      </x:c>
      <x:c r="G95" s="7" t="n">
        <x:v>9</x:v>
      </x:c>
      <x:c r="H95" s="7" t="str">
        <x:f>IF(F95&gt;G95,"Win",IF(F95&lt;G95,"Loss","Draw"))</x:f>
        <x:v>Win</x:v>
      </x:c>
      <x:c r="I95" s="7" t="n">
        <x:f>IF(H95="Win",1,0)</x:f>
        <x:v>1</x:v>
      </x:c>
      <x:c r="J95" s="7" t="n">
        <x:f>F95-G95</x:f>
        <x:v>4</x:v>
      </x:c>
      <x:c r="K95" s="7" t="n">
        <x:f>F95+G95</x:f>
        <x:v>22</x:v>
      </x:c>
      <x:c r="L95" s="7" t="n">
        <x:v>11</x:v>
      </x:c>
      <x:c r="M95" s="7" t="n">
        <x:v>17</x:v>
      </x:c>
      <x:c r="N95" s="7" t="n">
        <x:v>5</x:v>
      </x:c>
      <x:c r="O95" s="9" t="n">
        <x:f>IF(M95=0,"n.a.",L95/M95)</x:f>
        <x:v>0.6470588235294118</x:v>
      </x:c>
      <x:c r="P95" s="9" t="n">
        <x:f>IF(K95=0,"n.a.",L95/K95)</x:f>
        <x:v>0.5</x:v>
      </x:c>
      <x:c r="Q95" s="9" t="n">
        <x:f>IF(K95=0,"n.a.",M95/K95)</x:f>
        <x:v>0.7727272727272727</x:v>
      </x:c>
      <x:c r="R95" s="9" t="n">
        <x:f>IF(K95=0,"n.a.",N95/K95)</x:f>
        <x:v>0.22727272727272727</x:v>
      </x:c>
      <x:c r="S95" s="7" t="n">
        <x:v>-34</x:v>
      </x:c>
      <x:c r="T95" s="10" t="n">
        <x:v>0.15</x:v>
      </x:c>
      <x:c r="U95" s="7" t="n">
        <x:v>144</x:v>
      </x:c>
      <x:c r="V95" s="7" t="n">
        <x:v>445</x:v>
      </x:c>
    </x:row>
    <x:row r="96" ht="16" customHeight="1">
      <x:c r="A96" s="7" t="n">
        <x:v>93</x:v>
      </x:c>
      <x:c r="B96" s="8" t="n">
        <x:v>45866</x:v>
      </x:c>
      <x:c r="C96" s="7" t="str">
        <x:v>Sunset</x:v>
      </x:c>
      <x:c r="D96" s="7" t="str">
        <x:v>6th</x:v>
      </x:c>
      <x:c r="E96" s="7" t="str">
        <x:v>Neon</x:v>
      </x:c>
      <x:c r="F96" s="7" t="n">
        <x:v>6</x:v>
      </x:c>
      <x:c r="G96" s="7" t="n">
        <x:v>13</x:v>
      </x:c>
      <x:c r="H96" s="7" t="str">
        <x:f>IF(F96&gt;G96,"Win",IF(F96&lt;G96,"Loss","Draw"))</x:f>
        <x:v>Loss</x:v>
      </x:c>
      <x:c r="I96" s="7" t="n">
        <x:f>IF(H96="Win",1,0)</x:f>
        <x:v>0</x:v>
      </x:c>
      <x:c r="J96" s="7" t="n">
        <x:f>F96-G96</x:f>
        <x:v>-7</x:v>
      </x:c>
      <x:c r="K96" s="7" t="n">
        <x:f>F96+G96</x:f>
        <x:v>19</x:v>
      </x:c>
      <x:c r="L96" s="7" t="n">
        <x:v>14</x:v>
      </x:c>
      <x:c r="M96" s="7" t="n">
        <x:v>17</x:v>
      </x:c>
      <x:c r="N96" s="7" t="n">
        <x:v>3</x:v>
      </x:c>
      <x:c r="O96" s="9" t="n">
        <x:f>IF(M96=0,"n.a.",L96/M96)</x:f>
        <x:v>0.8235294117647058</x:v>
      </x:c>
      <x:c r="P96" s="9" t="n">
        <x:f>IF(K96=0,"n.a.",L96/K96)</x:f>
        <x:v>0.7368421052631579</x:v>
      </x:c>
      <x:c r="Q96" s="9" t="n">
        <x:f>IF(K96=0,"n.a.",M96/K96)</x:f>
        <x:v>0.8947368421052632</x:v>
      </x:c>
      <x:c r="R96" s="9" t="n">
        <x:f>IF(K96=0,"n.a.",N96/K96)</x:f>
        <x:v>0.15789473684210525</x:v>
      </x:c>
      <x:c r="S96" s="7" t="n">
        <x:v>-20</x:v>
      </x:c>
      <x:c r="T96" s="10" t="n">
        <x:v>0.18</x:v>
      </x:c>
      <x:c r="U96" s="7" t="n">
        <x:v>207</x:v>
      </x:c>
      <x:c r="V96" s="7" t="n">
        <x:v>411</x:v>
      </x:c>
    </x:row>
    <x:row r="97" ht="16" customHeight="1">
      <x:c r="A97" s="7" t="n">
        <x:v>94</x:v>
      </x:c>
      <x:c r="B97" s="8" t="n">
        <x:v>45867</x:v>
      </x:c>
      <x:c r="C97" s="7" t="str">
        <x:v>Bind</x:v>
      </x:c>
      <x:c r="D97" s="7" t="str">
        <x:v>10th</x:v>
      </x:c>
      <x:c r="E97" s="7" t="str">
        <x:v>Omen</x:v>
      </x:c>
      <x:c r="F97" s="7" t="n">
        <x:v>13</x:v>
      </x:c>
      <x:c r="G97" s="7" t="n">
        <x:v>6</x:v>
      </x:c>
      <x:c r="H97" s="7" t="str">
        <x:f>IF(F97&gt;G97,"Win",IF(F97&lt;G97,"Loss","Draw"))</x:f>
        <x:v>Win</x:v>
      </x:c>
      <x:c r="I97" s="7" t="n">
        <x:f>IF(H97="Win",1,0)</x:f>
        <x:v>1</x:v>
      </x:c>
      <x:c r="J97" s="7" t="n">
        <x:f>F97-G97</x:f>
        <x:v>7</x:v>
      </x:c>
      <x:c r="K97" s="7" t="n">
        <x:f>F97+G97</x:f>
        <x:v>19</x:v>
      </x:c>
      <x:c r="L97" s="7" t="n">
        <x:v>8</x:v>
      </x:c>
      <x:c r="M97" s="7" t="n">
        <x:v>15</x:v>
      </x:c>
      <x:c r="N97" s="7" t="n">
        <x:v>5</x:v>
      </x:c>
      <x:c r="O97" s="9" t="n">
        <x:f>IF(M97=0,"n.a.",L97/M97)</x:f>
        <x:v>0.5333333333333333</x:v>
      </x:c>
      <x:c r="P97" s="9" t="n">
        <x:f>IF(K97=0,"n.a.",L97/K97)</x:f>
        <x:v>0.42105263157894735</x:v>
      </x:c>
      <x:c r="Q97" s="9" t="n">
        <x:f>IF(K97=0,"n.a.",M97/K97)</x:f>
        <x:v>0.7894736842105263</x:v>
      </x:c>
      <x:c r="R97" s="9" t="n">
        <x:f>IF(K97=0,"n.a.",N97/K97)</x:f>
        <x:v>0.2631578947368421</x:v>
      </x:c>
      <x:c r="S97" s="7" t="n">
        <x:v>-39</x:v>
      </x:c>
      <x:c r="T97" s="10" t="n">
        <x:v>0.36</x:v>
      </x:c>
      <x:c r="U97" s="7" t="n">
        <x:v>135</x:v>
      </x:c>
      <x:c r="V97" s="7" t="n">
        <x:v>309</x:v>
      </x:c>
    </x:row>
    <x:row r="98" ht="16" customHeight="1">
      <x:c r="A98" s="7" t="n">
        <x:v>95</x:v>
      </x:c>
      <x:c r="B98" s="8" t="n">
        <x:v>45867</x:v>
      </x:c>
      <x:c r="C98" s="7" t="str">
        <x:v>Haven</x:v>
      </x:c>
      <x:c r="D98" s="7" t="str">
        <x:v>MVP</x:v>
      </x:c>
      <x:c r="E98" s="7" t="str">
        <x:v>Neon</x:v>
      </x:c>
      <x:c r="F98" s="7" t="n">
        <x:v>13</x:v>
      </x:c>
      <x:c r="G98" s="7" t="n">
        <x:v>9</x:v>
      </x:c>
      <x:c r="H98" s="7" t="str">
        <x:f>IF(F98&gt;G98,"Win",IF(F98&lt;G98,"Loss","Draw"))</x:f>
        <x:v>Win</x:v>
      </x:c>
      <x:c r="I98" s="7" t="n">
        <x:f>IF(H98="Win",1,0)</x:f>
        <x:v>1</x:v>
      </x:c>
      <x:c r="J98" s="7" t="n">
        <x:f>F98-G98</x:f>
        <x:v>4</x:v>
      </x:c>
      <x:c r="K98" s="7" t="n">
        <x:f>F98+G98</x:f>
        <x:v>22</x:v>
      </x:c>
      <x:c r="L98" s="7" t="n">
        <x:v>23</x:v>
      </x:c>
      <x:c r="M98" s="7" t="n">
        <x:v>16</x:v>
      </x:c>
      <x:c r="N98" s="7" t="n">
        <x:v>2</x:v>
      </x:c>
      <x:c r="O98" s="9" t="n">
        <x:f>IF(M98=0,"n.a.",L98/M98)</x:f>
        <x:v>1.4375</x:v>
      </x:c>
      <x:c r="P98" s="9" t="n">
        <x:f>IF(K98=0,"n.a.",L98/K98)</x:f>
        <x:v>1.0454545454545454</x:v>
      </x:c>
      <x:c r="Q98" s="9" t="n">
        <x:f>IF(K98=0,"n.a.",M98/K98)</x:f>
        <x:v>0.7272727272727273</x:v>
      </x:c>
      <x:c r="R98" s="9" t="n">
        <x:f>IF(K98=0,"n.a.",N98/K98)</x:f>
        <x:v>0.09090909090909091</x:v>
      </x:c>
      <x:c r="S98" s="7" t="n">
        <x:v>29</x:v>
      </x:c>
      <x:c r="T98" s="10" t="n">
        <x:v>0.26</x:v>
      </x:c>
      <x:c r="U98" s="7" t="n">
        <x:v>284</x:v>
      </x:c>
      <x:c r="V98" s="7" t="n">
        <x:v>645</x:v>
      </x:c>
    </x:row>
    <x:row r="99" ht="16" customHeight="1">
      <x:c r="A99" s="7" t="n">
        <x:v>96</x:v>
      </x:c>
      <x:c r="B99" s="8" t="n">
        <x:v>45869</x:v>
      </x:c>
      <x:c r="C99" s="7" t="str">
        <x:v>Lotus</x:v>
      </x:c>
      <x:c r="D99" s="7" t="str">
        <x:v>6th</x:v>
      </x:c>
      <x:c r="E99" s="7" t="str">
        <x:v>Neon</x:v>
      </x:c>
      <x:c r="F99" s="7" t="n">
        <x:v>15</x:v>
      </x:c>
      <x:c r="G99" s="7" t="n">
        <x:v>13</x:v>
      </x:c>
      <x:c r="H99" s="7" t="str">
        <x:f>IF(F99&gt;G99,"Win",IF(F99&lt;G99,"Loss","Draw"))</x:f>
        <x:v>Win</x:v>
      </x:c>
      <x:c r="I99" s="7" t="n">
        <x:f>IF(H99="Win",1,0)</x:f>
        <x:v>1</x:v>
      </x:c>
      <x:c r="J99" s="7" t="n">
        <x:f>F99-G99</x:f>
        <x:v>2</x:v>
      </x:c>
      <x:c r="K99" s="7" t="n">
        <x:f>F99+G99</x:f>
        <x:v>28</x:v>
      </x:c>
      <x:c r="L99" s="7" t="n">
        <x:v>21</x:v>
      </x:c>
      <x:c r="M99" s="7" t="n">
        <x:v>21</x:v>
      </x:c>
      <x:c r="N99" s="7" t="n">
        <x:v>5</x:v>
      </x:c>
      <x:c r="O99" s="9" t="n">
        <x:f>IF(M99=0,"n.a.",L99/M99)</x:f>
        <x:v>1</x:v>
      </x:c>
      <x:c r="P99" s="9" t="n">
        <x:f>IF(K99=0,"n.a.",L99/K99)</x:f>
        <x:v>0.75</x:v>
      </x:c>
      <x:c r="Q99" s="9" t="n">
        <x:f>IF(K99=0,"n.a.",M99/K99)</x:f>
        <x:v>0.75</x:v>
      </x:c>
      <x:c r="R99" s="9" t="n">
        <x:f>IF(K99=0,"n.a.",N99/K99)</x:f>
        <x:v>0.17857142857142858</x:v>
      </x:c>
      <x:c r="S99" s="7" t="n">
        <x:v>14</x:v>
      </x:c>
      <x:c r="T99" s="10" t="n">
        <x:v>0.24</x:v>
      </x:c>
      <x:c r="U99" s="7" t="n">
        <x:v>211</x:v>
      </x:c>
      <x:c r="V99" s="7" t="n">
        <x:v>569</x:v>
      </x:c>
    </x:row>
    <x:row r="100" ht="16" customHeight="1">
      <x:c r="A100" s="7" t="n">
        <x:v>97</x:v>
      </x:c>
      <x:c r="B100" s="8" t="n">
        <x:v>45870</x:v>
      </x:c>
      <x:c r="C100" s="7" t="str">
        <x:v>Sunset</x:v>
      </x:c>
      <x:c r="D100" s="7" t="str">
        <x:v>3rd</x:v>
      </x:c>
      <x:c r="E100" s="7" t="str">
        <x:v>Neon</x:v>
      </x:c>
      <x:c r="F100" s="7" t="n">
        <x:v>13</x:v>
      </x:c>
      <x:c r="G100" s="7" t="n">
        <x:v>9</x:v>
      </x:c>
      <x:c r="H100" s="7" t="str">
        <x:f>IF(F100&gt;G100,"Win",IF(F100&lt;G100,"Loss","Draw"))</x:f>
        <x:v>Win</x:v>
      </x:c>
      <x:c r="I100" s="7" t="n">
        <x:f>IF(H100="Win",1,0)</x:f>
        <x:v>1</x:v>
      </x:c>
      <x:c r="J100" s="7" t="n">
        <x:f>F100-G100</x:f>
        <x:v>4</x:v>
      </x:c>
      <x:c r="K100" s="7" t="n">
        <x:f>F100+G100</x:f>
        <x:v>22</x:v>
      </x:c>
      <x:c r="L100" s="7" t="n">
        <x:v>19</x:v>
      </x:c>
      <x:c r="M100" s="7" t="n">
        <x:v>17</x:v>
      </x:c>
      <x:c r="N100" s="7" t="n">
        <x:v>2</x:v>
      </x:c>
      <x:c r="O100" s="9" t="n">
        <x:f>IF(M100=0,"n.a.",L100/M100)</x:f>
        <x:v>1.1176470588235294</x:v>
      </x:c>
      <x:c r="P100" s="9" t="n">
        <x:f>IF(K100=0,"n.a.",L100/K100)</x:f>
        <x:v>0.8636363636363636</x:v>
      </x:c>
      <x:c r="Q100" s="9" t="n">
        <x:f>IF(K100=0,"n.a.",M100/K100)</x:f>
        <x:v>0.7727272727272727</x:v>
      </x:c>
      <x:c r="R100" s="9" t="n">
        <x:f>IF(K100=0,"n.a.",N100/K100)</x:f>
        <x:v>0.09090909090909091</x:v>
      </x:c>
      <x:c r="S100" s="7" t="n">
        <x:v>10</x:v>
      </x:c>
      <x:c r="T100" s="10" t="n">
        <x:v>0.41</x:v>
      </x:c>
      <x:c r="U100" s="7" t="n">
        <x:v>237</x:v>
      </x:c>
      <x:c r="V100" s="7" t="n">
        <x:v>639</x:v>
      </x:c>
    </x:row>
    <x:row r="101" ht="16" customHeight="1">
      <x:c r="A101" s="7" t="n">
        <x:v>98</x:v>
      </x:c>
      <x:c r="B101" s="8" t="n">
        <x:v>45870</x:v>
      </x:c>
      <x:c r="C101" s="7" t="str">
        <x:v>Haven</x:v>
      </x:c>
      <x:c r="D101" s="7" t="str">
        <x:v>2nd</x:v>
      </x:c>
      <x:c r="E101" s="7" t="str">
        <x:v>Neon</x:v>
      </x:c>
      <x:c r="F101" s="7" t="n">
        <x:v>10</x:v>
      </x:c>
      <x:c r="G101" s="7" t="n">
        <x:v>13</x:v>
      </x:c>
      <x:c r="H101" s="7" t="str">
        <x:f>IF(F101&gt;G101,"Win",IF(F101&lt;G101,"Loss","Draw"))</x:f>
        <x:v>Loss</x:v>
      </x:c>
      <x:c r="I101" s="7" t="n">
        <x:f>IF(H101="Win",1,0)</x:f>
        <x:v>0</x:v>
      </x:c>
      <x:c r="J101" s="7" t="n">
        <x:f>F101-G101</x:f>
        <x:v>-3</x:v>
      </x:c>
      <x:c r="K101" s="7" t="n">
        <x:f>F101+G101</x:f>
        <x:v>23</x:v>
      </x:c>
      <x:c r="L101" s="7" t="n">
        <x:v>20</x:v>
      </x:c>
      <x:c r="M101" s="7" t="n">
        <x:v>13</x:v>
      </x:c>
      <x:c r="N101" s="7" t="n">
        <x:v>3</x:v>
      </x:c>
      <x:c r="O101" s="9" t="n">
        <x:f>IF(M101=0,"n.a.",L101/M101)</x:f>
        <x:v>1.5384615384615385</x:v>
      </x:c>
      <x:c r="P101" s="9" t="n">
        <x:f>IF(K101=0,"n.a.",L101/K101)</x:f>
        <x:v>0.8695652173913043</x:v>
      </x:c>
      <x:c r="Q101" s="9" t="n">
        <x:f>IF(K101=0,"n.a.",M101/K101)</x:f>
        <x:v>0.5652173913043478</x:v>
      </x:c>
      <x:c r="R101" s="9" t="n">
        <x:f>IF(K101=0,"n.a.",N101/K101)</x:f>
        <x:v>0.13043478260869565</x:v>
      </x:c>
      <x:c r="S101" s="7" t="n">
        <x:v>63</x:v>
      </x:c>
      <x:c r="T101" s="10" t="n">
        <x:v>0.32</x:v>
      </x:c>
      <x:c r="U101" s="7" t="n">
        <x:v>247</x:v>
      </x:c>
      <x:c r="V101" s="7" t="n">
        <x:v>577</x:v>
      </x:c>
    </x:row>
    <x:row r="102" ht="16" customHeight="1">
      <x:c r="A102" s="7" t="n">
        <x:v>99</x:v>
      </x:c>
      <x:c r="B102" s="8" t="n">
        <x:v>45871</x:v>
      </x:c>
      <x:c r="C102" s="7" t="str">
        <x:v>Sunset</x:v>
      </x:c>
      <x:c r="D102" s="7" t="str">
        <x:v>5th</x:v>
      </x:c>
      <x:c r="E102" s="7" t="str">
        <x:v>Neon</x:v>
      </x:c>
      <x:c r="F102" s="7" t="n">
        <x:v>9</x:v>
      </x:c>
      <x:c r="G102" s="7" t="n">
        <x:v>13</x:v>
      </x:c>
      <x:c r="H102" s="7" t="str">
        <x:f>IF(F102&gt;G102,"Win",IF(F102&lt;G102,"Loss","Draw"))</x:f>
        <x:v>Loss</x:v>
      </x:c>
      <x:c r="I102" s="7" t="n">
        <x:f>IF(H102="Win",1,0)</x:f>
        <x:v>0</x:v>
      </x:c>
      <x:c r="J102" s="7" t="n">
        <x:f>F102-G102</x:f>
        <x:v>-4</x:v>
      </x:c>
      <x:c r="K102" s="7" t="n">
        <x:f>F102+G102</x:f>
        <x:v>22</x:v>
      </x:c>
      <x:c r="L102" s="7" t="n">
        <x:v>18</x:v>
      </x:c>
      <x:c r="M102" s="7" t="n">
        <x:v>18</x:v>
      </x:c>
      <x:c r="N102" s="7" t="n">
        <x:v>2</x:v>
      </x:c>
      <x:c r="O102" s="9" t="n">
        <x:f>IF(M102=0,"n.a.",L102/M102)</x:f>
        <x:v>1</x:v>
      </x:c>
      <x:c r="P102" s="9" t="n">
        <x:f>IF(K102=0,"n.a.",L102/K102)</x:f>
        <x:v>0.8181818181818182</x:v>
      </x:c>
      <x:c r="Q102" s="9" t="n">
        <x:f>IF(K102=0,"n.a.",M102/K102)</x:f>
        <x:v>0.8181818181818182</x:v>
      </x:c>
      <x:c r="R102" s="9" t="n">
        <x:f>IF(K102=0,"n.a.",N102/K102)</x:f>
        <x:v>0.09090909090909091</x:v>
      </x:c>
      <x:c r="S102" s="7" t="n">
        <x:v>-29</x:v>
      </x:c>
      <x:c r="T102" s="10" t="n">
        <x:v>0.16</x:v>
      </x:c>
      <x:c r="U102" s="7" t="n">
        <x:v>215</x:v>
      </x:c>
      <x:c r="V102" s="7" t="n">
        <x:v>437</x:v>
      </x:c>
    </x:row>
    <x:row r="103" ht="16" customHeight="1">
      <x:c r="A103" s="7" t="n">
        <x:v>100</x:v>
      </x:c>
      <x:c r="B103" s="8" t="n">
        <x:v>45871</x:v>
      </x:c>
      <x:c r="C103" s="7" t="str">
        <x:v>Corrode</x:v>
      </x:c>
      <x:c r="D103" s="7" t="str">
        <x:v>9th</x:v>
      </x:c>
      <x:c r="E103" s="7" t="str">
        <x:v>Neon</x:v>
      </x:c>
      <x:c r="F103" s="7" t="n">
        <x:v>13</x:v>
      </x:c>
      <x:c r="G103" s="7" t="n">
        <x:v>10</x:v>
      </x:c>
      <x:c r="H103" s="7" t="str">
        <x:f>IF(F103&gt;G103,"Win",IF(F103&lt;G103,"Loss","Draw"))</x:f>
        <x:v>Win</x:v>
      </x:c>
      <x:c r="I103" s="7" t="n">
        <x:f>IF(H103="Win",1,0)</x:f>
        <x:v>1</x:v>
      </x:c>
      <x:c r="J103" s="7" t="n">
        <x:f>F103-G103</x:f>
        <x:v>3</x:v>
      </x:c>
      <x:c r="K103" s="7" t="n">
        <x:f>F103+G103</x:f>
        <x:v>23</x:v>
      </x:c>
      <x:c r="L103" s="7" t="n">
        <x:v>12</x:v>
      </x:c>
      <x:c r="M103" s="7" t="n">
        <x:v>21</x:v>
      </x:c>
      <x:c r="N103" s="7" t="n">
        <x:v>3</x:v>
      </x:c>
      <x:c r="O103" s="9" t="n">
        <x:f>IF(M103=0,"n.a.",L103/M103)</x:f>
        <x:v>0.5714285714285714</x:v>
      </x:c>
      <x:c r="P103" s="9" t="n">
        <x:f>IF(K103=0,"n.a.",L103/K103)</x:f>
        <x:v>0.5217391304347826</x:v>
      </x:c>
      <x:c r="Q103" s="9" t="n">
        <x:f>IF(K103=0,"n.a.",M103/K103)</x:f>
        <x:v>0.9130434782608695</x:v>
      </x:c>
      <x:c r="R103" s="9" t="n">
        <x:f>IF(K103=0,"n.a.",N103/K103)</x:f>
        <x:v>0.13043478260869565</x:v>
      </x:c>
      <x:c r="S103" s="7" t="n">
        <x:v>-62</x:v>
      </x:c>
      <x:c r="T103" s="10" t="n">
        <x:v>0.2</x:v>
      </x:c>
      <x:c r="U103" s="7" t="n">
        <x:v>143</x:v>
      </x:c>
      <x:c r="V103" s="7" t="n">
        <x:v>263</x:v>
      </x:c>
    </x:row>
    <x:row r="104" ht="16" customHeight="1">
      <x:c r="A104" s="7" t="n">
        <x:v>101</x:v>
      </x:c>
      <x:c r="B104" s="8" t="n">
        <x:v>45871</x:v>
      </x:c>
      <x:c r="C104" s="7" t="str">
        <x:v>Sunset</x:v>
      </x:c>
      <x:c r="D104" s="7" t="str">
        <x:v>4th</x:v>
      </x:c>
      <x:c r="E104" s="7" t="str">
        <x:v>Neon</x:v>
      </x:c>
      <x:c r="F104" s="7" t="n">
        <x:v>13</x:v>
      </x:c>
      <x:c r="G104" s="7" t="n">
        <x:v>3</x:v>
      </x:c>
      <x:c r="H104" s="7" t="str">
        <x:f>IF(F104&gt;G104,"Win",IF(F104&lt;G104,"Loss","Draw"))</x:f>
        <x:v>Win</x:v>
      </x:c>
      <x:c r="I104" s="7" t="n">
        <x:f>IF(H104="Win",1,0)</x:f>
        <x:v>1</x:v>
      </x:c>
      <x:c r="J104" s="7" t="n">
        <x:f>F104-G104</x:f>
        <x:v>10</x:v>
      </x:c>
      <x:c r="K104" s="7" t="n">
        <x:f>F104+G104</x:f>
        <x:v>16</x:v>
      </x:c>
      <x:c r="L104" s="7" t="n">
        <x:v>15</x:v>
      </x:c>
      <x:c r="M104" s="7" t="n">
        <x:v>10</x:v>
      </x:c>
      <x:c r="N104" s="7" t="n">
        <x:v>2</x:v>
      </x:c>
      <x:c r="O104" s="9" t="n">
        <x:f>IF(M104=0,"n.a.",L104/M104)</x:f>
        <x:v>1.5</x:v>
      </x:c>
      <x:c r="P104" s="9" t="n">
        <x:f>IF(K104=0,"n.a.",L104/K104)</x:f>
        <x:v>0.9375</x:v>
      </x:c>
      <x:c r="Q104" s="9" t="n">
        <x:f>IF(K104=0,"n.a.",M104/K104)</x:f>
        <x:v>0.625</x:v>
      </x:c>
      <x:c r="R104" s="9" t="n">
        <x:f>IF(K104=0,"n.a.",N104/K104)</x:f>
        <x:v>0.125</x:v>
      </x:c>
      <x:c r="S104" s="7" t="n">
        <x:v>27</x:v>
      </x:c>
      <x:c r="T104" s="10" t="n">
        <x:v>0.21</x:v>
      </x:c>
      <x:c r="U104" s="7" t="n">
        <x:v>238</x:v>
      </x:c>
      <x:c r="V104" s="7" t="n">
        <x:v>684</x:v>
      </x:c>
    </x:row>
    <x:row r="105" ht="16" customHeight="1">
      <x:c r="A105" s="7" t="n">
        <x:v>102</x:v>
      </x:c>
      <x:c r="B105" s="8" t="n">
        <x:v>45871</x:v>
      </x:c>
      <x:c r="C105" s="7" t="str">
        <x:v>Ascent</x:v>
      </x:c>
      <x:c r="D105" s="7" t="str">
        <x:v>2nd</x:v>
      </x:c>
      <x:c r="E105" s="7" t="str">
        <x:v>Neon</x:v>
      </x:c>
      <x:c r="F105" s="7" t="n">
        <x:v>7</x:v>
      </x:c>
      <x:c r="G105" s="7" t="n">
        <x:v>13</x:v>
      </x:c>
      <x:c r="H105" s="7" t="str">
        <x:f>IF(F105&gt;G105,"Win",IF(F105&lt;G105,"Loss","Draw"))</x:f>
        <x:v>Loss</x:v>
      </x:c>
      <x:c r="I105" s="7" t="n">
        <x:f>IF(H105="Win",1,0)</x:f>
        <x:v>0</x:v>
      </x:c>
      <x:c r="J105" s="7" t="n">
        <x:f>F105-G105</x:f>
        <x:v>-6</x:v>
      </x:c>
      <x:c r="K105" s="7" t="n">
        <x:f>F105+G105</x:f>
        <x:v>20</x:v>
      </x:c>
      <x:c r="L105" s="7" t="n">
        <x:v>19</x:v>
      </x:c>
      <x:c r="M105" s="7" t="n">
        <x:v>14</x:v>
      </x:c>
      <x:c r="N105" s="7" t="n">
        <x:v>0</x:v>
      </x:c>
      <x:c r="O105" s="9" t="n">
        <x:f>IF(M105=0,"n.a.",L105/M105)</x:f>
        <x:v>1.3571428571428572</x:v>
      </x:c>
      <x:c r="P105" s="9" t="n">
        <x:f>IF(K105=0,"n.a.",L105/K105)</x:f>
        <x:v>0.95</x:v>
      </x:c>
      <x:c r="Q105" s="9" t="n">
        <x:f>IF(K105=0,"n.a.",M105/K105)</x:f>
        <x:v>0.7</x:v>
      </x:c>
      <x:c r="R105" s="9" t="n">
        <x:f>IF(K105=0,"n.a.",N105/K105)</x:f>
        <x:v>0</x:v>
      </x:c>
      <x:c r="S105" s="7" t="n">
        <x:v>33</x:v>
      </x:c>
      <x:c r="T105" s="10" t="n">
        <x:v>0.18</x:v>
      </x:c>
      <x:c r="U105" s="7" t="n">
        <x:v>266</x:v>
      </x:c>
      <x:c r="V105" s="7" t="n">
        <x:v>578</x:v>
      </x:c>
    </x:row>
    <x:row r="106" ht="16" customHeight="1">
      <x:c r="A106" s="7" t="n">
        <x:v>103</x:v>
      </x:c>
      <x:c r="B106" s="8" t="n">
        <x:v>45871</x:v>
      </x:c>
      <x:c r="C106" s="7" t="str">
        <x:v>Ascent</x:v>
      </x:c>
      <x:c r="D106" s="7" t="str">
        <x:v>9th</x:v>
      </x:c>
      <x:c r="E106" s="7" t="str">
        <x:v>Neon</x:v>
      </x:c>
      <x:c r="F106" s="7" t="n">
        <x:v>4</x:v>
      </x:c>
      <x:c r="G106" s="7" t="n">
        <x:v>13</x:v>
      </x:c>
      <x:c r="H106" s="7" t="str">
        <x:f>IF(F106&gt;G106,"Win",IF(F106&lt;G106,"Loss","Draw"))</x:f>
        <x:v>Loss</x:v>
      </x:c>
      <x:c r="I106" s="7" t="n">
        <x:f>IF(H106="Win",1,0)</x:f>
        <x:v>0</x:v>
      </x:c>
      <x:c r="J106" s="7" t="n">
        <x:f>F106-G106</x:f>
        <x:v>-9</x:v>
      </x:c>
      <x:c r="K106" s="7" t="n">
        <x:f>F106+G106</x:f>
        <x:v>17</x:v>
      </x:c>
      <x:c r="L106" s="7" t="n">
        <x:v>10</x:v>
      </x:c>
      <x:c r="M106" s="7" t="n">
        <x:v>13</x:v>
      </x:c>
      <x:c r="N106" s="7" t="n">
        <x:v>2</x:v>
      </x:c>
      <x:c r="O106" s="9" t="n">
        <x:f>IF(M106=0,"n.a.",L106/M106)</x:f>
        <x:v>0.7692307692307693</x:v>
      </x:c>
      <x:c r="P106" s="9" t="n">
        <x:f>IF(K106=0,"n.a.",L106/K106)</x:f>
        <x:v>0.5882352941176471</x:v>
      </x:c>
      <x:c r="Q106" s="9" t="n">
        <x:f>IF(K106=0,"n.a.",M106/K106)</x:f>
        <x:v>0.7647058823529411</x:v>
      </x:c>
      <x:c r="R106" s="9" t="n">
        <x:f>IF(K106=0,"n.a.",N106/K106)</x:f>
        <x:v>0.11764705882352941</x:v>
      </x:c>
      <x:c r="S106" s="7" t="n">
        <x:v>-43</x:v>
      </x:c>
      <x:c r="T106" s="10" t="n">
        <x:v>0.13</x:v>
      </x:c>
      <x:c r="U106" s="7" t="n">
        <x:v>166</x:v>
      </x:c>
      <x:c r="V106" s="7" t="n">
        <x:v>175</x:v>
      </x:c>
    </x:row>
    <x:row r="107" ht="16" customHeight="1">
      <x:c r="A107" s="7" t="n">
        <x:v>104</x:v>
      </x:c>
      <x:c r="B107" s="8" t="n">
        <x:v>45871</x:v>
      </x:c>
      <x:c r="C107" s="7" t="str">
        <x:v>Lotus</x:v>
      </x:c>
      <x:c r="D107" s="7" t="str">
        <x:v>3rd</x:v>
      </x:c>
      <x:c r="E107" s="7" t="str">
        <x:v>Neon</x:v>
      </x:c>
      <x:c r="F107" s="7" t="n">
        <x:v>13</x:v>
      </x:c>
      <x:c r="G107" s="7" t="n">
        <x:v>9</x:v>
      </x:c>
      <x:c r="H107" s="7" t="str">
        <x:f>IF(F107&gt;G107,"Win",IF(F107&lt;G107,"Loss","Draw"))</x:f>
        <x:v>Win</x:v>
      </x:c>
      <x:c r="I107" s="7" t="n">
        <x:f>IF(H107="Win",1,0)</x:f>
        <x:v>1</x:v>
      </x:c>
      <x:c r="J107" s="7" t="n">
        <x:f>F107-G107</x:f>
        <x:v>4</x:v>
      </x:c>
      <x:c r="K107" s="7" t="n">
        <x:f>F107+G107</x:f>
        <x:v>22</x:v>
      </x:c>
      <x:c r="L107" s="7" t="n">
        <x:v>19</x:v>
      </x:c>
      <x:c r="M107" s="7" t="n">
        <x:v>17</x:v>
      </x:c>
      <x:c r="N107" s="7" t="n">
        <x:v>3</x:v>
      </x:c>
      <x:c r="O107" s="9" t="n">
        <x:f>IF(M107=0,"n.a.",L107/M107)</x:f>
        <x:v>1.1176470588235294</x:v>
      </x:c>
      <x:c r="P107" s="9" t="n">
        <x:f>IF(K107=0,"n.a.",L107/K107)</x:f>
        <x:v>0.8636363636363636</x:v>
      </x:c>
      <x:c r="Q107" s="9" t="n">
        <x:f>IF(K107=0,"n.a.",M107/K107)</x:f>
        <x:v>0.7727272727272727</x:v>
      </x:c>
      <x:c r="R107" s="9" t="n">
        <x:f>IF(K107=0,"n.a.",N107/K107)</x:f>
        <x:v>0.13636363636363635</x:v>
      </x:c>
      <x:c r="S107" s="7" t="n">
        <x:v>22</x:v>
      </x:c>
      <x:c r="T107" s="10" t="n">
        <x:v>0.31</x:v>
      </x:c>
      <x:c r="U107" s="7" t="n">
        <x:v>247</x:v>
      </x:c>
      <x:c r="V107" s="7" t="n">
        <x:v>723</x:v>
      </x:c>
    </x:row>
    <x:row r="108" ht="16" customHeight="1">
      <x:c r="A108" s="7" t="n">
        <x:v>105</x:v>
      </x:c>
      <x:c r="B108" s="8" t="n">
        <x:v>45871</x:v>
      </x:c>
      <x:c r="C108" s="7" t="str">
        <x:v>Haven</x:v>
      </x:c>
      <x:c r="D108" s="7" t="str">
        <x:v>6th</x:v>
      </x:c>
      <x:c r="E108" s="7" t="str">
        <x:v>Neon</x:v>
      </x:c>
      <x:c r="F108" s="7" t="n">
        <x:v>7</x:v>
      </x:c>
      <x:c r="G108" s="7" t="n">
        <x:v>13</x:v>
      </x:c>
      <x:c r="H108" s="7" t="str">
        <x:f>IF(F108&gt;G108,"Win",IF(F108&lt;G108,"Loss","Draw"))</x:f>
        <x:v>Loss</x:v>
      </x:c>
      <x:c r="I108" s="7" t="n">
        <x:f>IF(H108="Win",1,0)</x:f>
        <x:v>0</x:v>
      </x:c>
      <x:c r="J108" s="7" t="n">
        <x:f>F108-G108</x:f>
        <x:v>-6</x:v>
      </x:c>
      <x:c r="K108" s="7" t="n">
        <x:f>F108+G108</x:f>
        <x:v>20</x:v>
      </x:c>
      <x:c r="L108" s="7" t="n">
        <x:v>15</x:v>
      </x:c>
      <x:c r="M108" s="7" t="n">
        <x:v>18</x:v>
      </x:c>
      <x:c r="N108" s="7" t="n">
        <x:v>1</x:v>
      </x:c>
      <x:c r="O108" s="9" t="n">
        <x:f>IF(M108=0,"n.a.",L108/M108)</x:f>
        <x:v>0.8333333333333334</x:v>
      </x:c>
      <x:c r="P108" s="9" t="n">
        <x:f>IF(K108=0,"n.a.",L108/K108)</x:f>
        <x:v>0.75</x:v>
      </x:c>
      <x:c r="Q108" s="9" t="n">
        <x:f>IF(K108=0,"n.a.",M108/K108)</x:f>
        <x:v>0.9</x:v>
      </x:c>
      <x:c r="R108" s="9" t="n">
        <x:f>IF(K108=0,"n.a.",N108/K108)</x:f>
        <x:v>0.05</x:v>
      </x:c>
      <x:c r="S108" s="7" t="n">
        <x:v>-43</x:v>
      </x:c>
      <x:c r="T108" s="10" t="n">
        <x:v>0.17</x:v>
      </x:c>
      <x:c r="U108" s="7" t="n">
        <x:v>211</x:v>
      </x:c>
      <x:c r="V108" s="7" t="n">
        <x:v>325</x:v>
      </x:c>
    </x:row>
    <x:row r="109" ht="16" customHeight="1">
      <x:c r="A109" s="7" t="n">
        <x:v>106</x:v>
      </x:c>
      <x:c r="B109" s="8" t="n">
        <x:v>45871</x:v>
      </x:c>
      <x:c r="C109" s="7" t="str">
        <x:v>Sunset</x:v>
      </x:c>
      <x:c r="D109" s="7" t="str">
        <x:v>MVP</x:v>
      </x:c>
      <x:c r="E109" s="7" t="str">
        <x:v>Neon</x:v>
      </x:c>
      <x:c r="F109" s="7" t="n">
        <x:v>13</x:v>
      </x:c>
      <x:c r="G109" s="7" t="n">
        <x:v>6</x:v>
      </x:c>
      <x:c r="H109" s="7" t="str">
        <x:f>IF(F109&gt;G109,"Win",IF(F109&lt;G109,"Loss","Draw"))</x:f>
        <x:v>Win</x:v>
      </x:c>
      <x:c r="I109" s="7" t="n">
        <x:f>IF(H109="Win",1,0)</x:f>
        <x:v>1</x:v>
      </x:c>
      <x:c r="J109" s="7" t="n">
        <x:f>F109-G109</x:f>
        <x:v>7</x:v>
      </x:c>
      <x:c r="K109" s="7" t="n">
        <x:f>F109+G109</x:f>
        <x:v>19</x:v>
      </x:c>
      <x:c r="L109" s="7" t="n">
        <x:v>21</x:v>
      </x:c>
      <x:c r="M109" s="7" t="n">
        <x:v>13</x:v>
      </x:c>
      <x:c r="N109" s="7" t="n">
        <x:v>1</x:v>
      </x:c>
      <x:c r="O109" s="9" t="n">
        <x:f>IF(M109=0,"n.a.",L109/M109)</x:f>
        <x:v>1.6153846153846154</x:v>
      </x:c>
      <x:c r="P109" s="9" t="n">
        <x:f>IF(K109=0,"n.a.",L109/K109)</x:f>
        <x:v>1.105263157894737</x:v>
      </x:c>
      <x:c r="Q109" s="9" t="n">
        <x:f>IF(K109=0,"n.a.",M109/K109)</x:f>
        <x:v>0.6842105263157895</x:v>
      </x:c>
      <x:c r="R109" s="9" t="n">
        <x:f>IF(K109=0,"n.a.",N109/K109)</x:f>
        <x:v>0.05263157894736842</x:v>
      </x:c>
      <x:c r="S109" s="7" t="n">
        <x:v>34</x:v>
      </x:c>
      <x:c r="T109" s="10" t="n">
        <x:v>0.18</x:v>
      </x:c>
      <x:c r="U109" s="7" t="n">
        <x:v>289</x:v>
      </x:c>
      <x:c r="V109" s="7" t="n">
        <x:v>738</x:v>
      </x:c>
    </x:row>
    <x:row r="110" ht="16" customHeight="1">
      <x:c r="A110" s="7" t="n">
        <x:v>107</x:v>
      </x:c>
      <x:c r="B110" s="8" t="n">
        <x:v>45871</x:v>
      </x:c>
      <x:c r="C110" s="7" t="str">
        <x:v>Icebox</x:v>
      </x:c>
      <x:c r="D110" s="7" t="str">
        <x:v>6th</x:v>
      </x:c>
      <x:c r="E110" s="7" t="str">
        <x:v>Neon</x:v>
      </x:c>
      <x:c r="F110" s="7" t="n">
        <x:v>13</x:v>
      </x:c>
      <x:c r="G110" s="7" t="n">
        <x:v>6</x:v>
      </x:c>
      <x:c r="H110" s="7" t="str">
        <x:f>IF(F110&gt;G110,"Win",IF(F110&lt;G110,"Loss","Draw"))</x:f>
        <x:v>Win</x:v>
      </x:c>
      <x:c r="I110" s="7" t="n">
        <x:f>IF(H110="Win",1,0)</x:f>
        <x:v>1</x:v>
      </x:c>
      <x:c r="J110" s="7" t="n">
        <x:f>F110-G110</x:f>
        <x:v>7</x:v>
      </x:c>
      <x:c r="K110" s="7" t="n">
        <x:f>F110+G110</x:f>
        <x:v>19</x:v>
      </x:c>
      <x:c r="L110" s="7" t="n">
        <x:v>14</x:v>
      </x:c>
      <x:c r="M110" s="7" t="n">
        <x:v>14</x:v>
      </x:c>
      <x:c r="N110" s="7" t="n">
        <x:v>1</x:v>
      </x:c>
      <x:c r="O110" s="9" t="n">
        <x:f>IF(M110=0,"n.a.",L110/M110)</x:f>
        <x:v>1</x:v>
      </x:c>
      <x:c r="P110" s="9" t="n">
        <x:f>IF(K110=0,"n.a.",L110/K110)</x:f>
        <x:v>0.7368421052631579</x:v>
      </x:c>
      <x:c r="Q110" s="9" t="n">
        <x:f>IF(K110=0,"n.a.",M110/K110)</x:f>
        <x:v>0.7368421052631579</x:v>
      </x:c>
      <x:c r="R110" s="9" t="n">
        <x:f>IF(K110=0,"n.a.",N110/K110)</x:f>
        <x:v>0.05263157894736842</x:v>
      </x:c>
      <x:c r="S110" s="7" t="n">
        <x:v>-21</x:v>
      </x:c>
      <x:c r="T110" s="10" t="n">
        <x:v>0.17</x:v>
      </x:c>
      <x:c r="U110" s="7" t="n">
        <x:v>180</x:v>
      </x:c>
      <x:c r="V110" s="7" t="n">
        <x:v>411</x:v>
      </x:c>
    </x:row>
    <x:row r="111" ht="16" customHeight="1">
      <x:c r="A111" s="7" t="n">
        <x:v>108</x:v>
      </x:c>
      <x:c r="B111" s="8" t="n">
        <x:v>45872</x:v>
      </x:c>
      <x:c r="C111" s="7" t="str">
        <x:v>Corrode</x:v>
      </x:c>
      <x:c r="D111" s="7" t="str">
        <x:v>4th</x:v>
      </x:c>
      <x:c r="E111" s="7" t="str">
        <x:v>Neon</x:v>
      </x:c>
      <x:c r="F111" s="7" t="n">
        <x:v>13</x:v>
      </x:c>
      <x:c r="G111" s="7" t="n">
        <x:v>11</x:v>
      </x:c>
      <x:c r="H111" s="7" t="str">
        <x:f>IF(F111&gt;G111,"Win",IF(F111&lt;G111,"Loss","Draw"))</x:f>
        <x:v>Win</x:v>
      </x:c>
      <x:c r="I111" s="7" t="n">
        <x:f>IF(H111="Win",1,0)</x:f>
        <x:v>1</x:v>
      </x:c>
      <x:c r="J111" s="7" t="n">
        <x:f>F111-G111</x:f>
        <x:v>2</x:v>
      </x:c>
      <x:c r="K111" s="7" t="n">
        <x:f>F111+G111</x:f>
        <x:v>24</x:v>
      </x:c>
      <x:c r="L111" s="7" t="n">
        <x:v>18</x:v>
      </x:c>
      <x:c r="M111" s="7" t="n">
        <x:v>20</x:v>
      </x:c>
      <x:c r="N111" s="7" t="n">
        <x:v>3</x:v>
      </x:c>
      <x:c r="O111" s="9" t="n">
        <x:f>IF(M111=0,"n.a.",L111/M111)</x:f>
        <x:v>0.9</x:v>
      </x:c>
      <x:c r="P111" s="9" t="n">
        <x:f>IF(K111=0,"n.a.",L111/K111)</x:f>
        <x:v>0.75</x:v>
      </x:c>
      <x:c r="Q111" s="9" t="n">
        <x:f>IF(K111=0,"n.a.",M111/K111)</x:f>
        <x:v>0.8333333333333334</x:v>
      </x:c>
      <x:c r="R111" s="9" t="n">
        <x:f>IF(K111=0,"n.a.",N111/K111)</x:f>
        <x:v>0.125</x:v>
      </x:c>
      <x:c r="S111" s="7" t="n">
        <x:v>-10</x:v>
      </x:c>
      <x:c r="T111" s="10" t="n">
        <x:v>0.27</x:v>
      </x:c>
      <x:c r="U111" s="7" t="n">
        <x:v>226</x:v>
      </x:c>
      <x:c r="V111" s="7" t="n">
        <x:v>477</x:v>
      </x:c>
    </x:row>
    <x:row r="112" ht="16" customHeight="1">
      <x:c r="A112" s="7" t="n">
        <x:v>109</x:v>
      </x:c>
      <x:c r="B112" s="8" t="n">
        <x:v>45872</x:v>
      </x:c>
      <x:c r="C112" s="7" t="str">
        <x:v>Haven</x:v>
      </x:c>
      <x:c r="D112" s="7" t="str">
        <x:v>7th</x:v>
      </x:c>
      <x:c r="E112" s="7" t="str">
        <x:v>Neon</x:v>
      </x:c>
      <x:c r="F112" s="7" t="n">
        <x:v>12</x:v>
      </x:c>
      <x:c r="G112" s="7" t="n">
        <x:v>14</x:v>
      </x:c>
      <x:c r="H112" s="7" t="str">
        <x:f>IF(F112&gt;G112,"Win",IF(F112&lt;G112,"Loss","Draw"))</x:f>
        <x:v>Loss</x:v>
      </x:c>
      <x:c r="I112" s="7" t="n">
        <x:f>IF(H112="Win",1,0)</x:f>
        <x:v>0</x:v>
      </x:c>
      <x:c r="J112" s="7" t="n">
        <x:f>F112-G112</x:f>
        <x:v>-2</x:v>
      </x:c>
      <x:c r="K112" s="7" t="n">
        <x:f>F112+G112</x:f>
        <x:v>26</x:v>
      </x:c>
      <x:c r="L112" s="7" t="n">
        <x:v>19</x:v>
      </x:c>
      <x:c r="M112" s="7" t="n">
        <x:v>18</x:v>
      </x:c>
      <x:c r="N112" s="7" t="n">
        <x:v>4</x:v>
      </x:c>
      <x:c r="O112" s="9" t="n">
        <x:f>IF(M112=0,"n.a.",L112/M112)</x:f>
        <x:v>1.0555555555555556</x:v>
      </x:c>
      <x:c r="P112" s="9" t="n">
        <x:f>IF(K112=0,"n.a.",L112/K112)</x:f>
        <x:v>0.7307692307692307</x:v>
      </x:c>
      <x:c r="Q112" s="9" t="n">
        <x:f>IF(K112=0,"n.a.",M112/K112)</x:f>
        <x:v>0.6923076923076923</x:v>
      </x:c>
      <x:c r="R112" s="9" t="n">
        <x:f>IF(K112=0,"n.a.",N112/K112)</x:f>
        <x:v>0.15384615384615385</x:v>
      </x:c>
      <x:c r="S112" s="7" t="n">
        <x:v>-18</x:v>
      </x:c>
      <x:c r="T112" s="10" t="n">
        <x:v>0.32</x:v>
      </x:c>
      <x:c r="U112" s="7" t="n">
        <x:v>189</x:v>
      </x:c>
      <x:c r="V112" s="7" t="n">
        <x:v>454</x:v>
      </x:c>
    </x:row>
    <x:row r="113" ht="16" customHeight="1">
      <x:c r="A113" s="7" t="n">
        <x:v>110</x:v>
      </x:c>
      <x:c r="B113" s="8" t="n">
        <x:v>45872</x:v>
      </x:c>
      <x:c r="C113" s="7" t="str">
        <x:v>Ascent</x:v>
      </x:c>
      <x:c r="D113" s="7" t="str">
        <x:v>2nd</x:v>
      </x:c>
      <x:c r="E113" s="7" t="str">
        <x:v>Neon</x:v>
      </x:c>
      <x:c r="F113" s="7" t="n">
        <x:v>13</x:v>
      </x:c>
      <x:c r="G113" s="7" t="n">
        <x:v>10</x:v>
      </x:c>
      <x:c r="H113" s="7" t="str">
        <x:f>IF(F113&gt;G113,"Win",IF(F113&lt;G113,"Loss","Draw"))</x:f>
        <x:v>Win</x:v>
      </x:c>
      <x:c r="I113" s="7" t="n">
        <x:f>IF(H113="Win",1,0)</x:f>
        <x:v>1</x:v>
      </x:c>
      <x:c r="J113" s="7" t="n">
        <x:f>F113-G113</x:f>
        <x:v>3</x:v>
      </x:c>
      <x:c r="K113" s="7" t="n">
        <x:f>F113+G113</x:f>
        <x:v>23</x:v>
      </x:c>
      <x:c r="L113" s="7" t="n">
        <x:v>28</x:v>
      </x:c>
      <x:c r="M113" s="7" t="n">
        <x:v>16</x:v>
      </x:c>
      <x:c r="N113" s="7" t="n">
        <x:v>1</x:v>
      </x:c>
      <x:c r="O113" s="9" t="n">
        <x:f>IF(M113=0,"n.a.",L113/M113)</x:f>
        <x:v>1.75</x:v>
      </x:c>
      <x:c r="P113" s="9" t="n">
        <x:f>IF(K113=0,"n.a.",L113/K113)</x:f>
        <x:v>1.2173913043478262</x:v>
      </x:c>
      <x:c r="Q113" s="9" t="n">
        <x:f>IF(K113=0,"n.a.",M113/K113)</x:f>
        <x:v>0.6956521739130435</x:v>
      </x:c>
      <x:c r="R113" s="9" t="n">
        <x:f>IF(K113=0,"n.a.",N113/K113)</x:f>
        <x:v>0.043478260869565216</x:v>
      </x:c>
      <x:c r="S113" s="7" t="n">
        <x:v>77</x:v>
      </x:c>
      <x:c r="T113" s="10" t="n">
        <x:v>0.32</x:v>
      </x:c>
      <x:c r="U113" s="7" t="n">
        <x:v>338</x:v>
      </x:c>
      <x:c r="V113" s="7" t="n">
        <x:v>853</x:v>
      </x:c>
    </x:row>
    <x:row r="114" ht="16" customHeight="1">
      <x:c r="A114" s="7" t="n">
        <x:v>111</x:v>
      </x:c>
      <x:c r="B114" s="8" t="n">
        <x:v>45872</x:v>
      </x:c>
      <x:c r="C114" s="7" t="str">
        <x:v>Lotus</x:v>
      </x:c>
      <x:c r="D114" s="7" t="str">
        <x:v>9th</x:v>
      </x:c>
      <x:c r="E114" s="7" t="str">
        <x:v>Neon</x:v>
      </x:c>
      <x:c r="F114" s="7" t="n">
        <x:v>13</x:v>
      </x:c>
      <x:c r="G114" s="7" t="n">
        <x:v>8</x:v>
      </x:c>
      <x:c r="H114" s="7" t="str">
        <x:f>IF(F114&gt;G114,"Win",IF(F114&lt;G114,"Loss","Draw"))</x:f>
        <x:v>Win</x:v>
      </x:c>
      <x:c r="I114" s="7" t="n">
        <x:f>IF(H114="Win",1,0)</x:f>
        <x:v>1</x:v>
      </x:c>
      <x:c r="J114" s="7" t="n">
        <x:f>F114-G114</x:f>
        <x:v>5</x:v>
      </x:c>
      <x:c r="K114" s="7" t="n">
        <x:f>F114+G114</x:f>
        <x:v>21</x:v>
      </x:c>
      <x:c r="L114" s="7" t="n">
        <x:v>11</x:v>
      </x:c>
      <x:c r="M114" s="7" t="n">
        <x:v>18</x:v>
      </x:c>
      <x:c r="N114" s="7" t="n">
        <x:v>5</x:v>
      </x:c>
      <x:c r="O114" s="9" t="n">
        <x:f>IF(M114=0,"n.a.",L114/M114)</x:f>
        <x:v>0.6111111111111112</x:v>
      </x:c>
      <x:c r="P114" s="9" t="n">
        <x:f>IF(K114=0,"n.a.",L114/K114)</x:f>
        <x:v>0.5238095238095238</x:v>
      </x:c>
      <x:c r="Q114" s="9" t="n">
        <x:f>IF(K114=0,"n.a.",M114/K114)</x:f>
        <x:v>0.8571428571428571</x:v>
      </x:c>
      <x:c r="R114" s="9" t="n">
        <x:f>IF(K114=0,"n.a.",N114/K114)</x:f>
        <x:v>0.23809523809523808</x:v>
      </x:c>
      <x:c r="S114" s="7" t="n">
        <x:v>-47</x:v>
      </x:c>
      <x:c r="T114" s="10" t="n">
        <x:v>0.14</x:v>
      </x:c>
      <x:c r="U114" s="7" t="n">
        <x:v>150</x:v>
      </x:c>
      <x:c r="V114" s="7" t="n">
        <x:v>414</x:v>
      </x:c>
    </x:row>
    <x:row r="115" ht="16" customHeight="1">
      <x:c r="A115" s="7" t="n">
        <x:v>112</x:v>
      </x:c>
      <x:c r="B115" s="8" t="n">
        <x:v>45872</x:v>
      </x:c>
      <x:c r="C115" s="7" t="str">
        <x:v>Icebox</x:v>
      </x:c>
      <x:c r="D115" s="7" t="str">
        <x:v>8th</x:v>
      </x:c>
      <x:c r="E115" s="7" t="str">
        <x:v>Neon</x:v>
      </x:c>
      <x:c r="F115" s="7" t="n">
        <x:v>13</x:v>
      </x:c>
      <x:c r="G115" s="7" t="n">
        <x:v>1</x:v>
      </x:c>
      <x:c r="H115" s="7" t="str">
        <x:f>IF(F115&gt;G115,"Win",IF(F115&lt;G115,"Loss","Draw"))</x:f>
        <x:v>Win</x:v>
      </x:c>
      <x:c r="I115" s="7" t="n">
        <x:f>IF(H115="Win",1,0)</x:f>
        <x:v>1</x:v>
      </x:c>
      <x:c r="J115" s="7" t="n">
        <x:f>F115-G115</x:f>
        <x:v>12</x:v>
      </x:c>
      <x:c r="K115" s="7" t="n">
        <x:f>F115+G115</x:f>
        <x:v>14</x:v>
      </x:c>
      <x:c r="L115" s="7" t="n">
        <x:v>6</x:v>
      </x:c>
      <x:c r="M115" s="7" t="n">
        <x:v>13</x:v>
      </x:c>
      <x:c r="N115" s="7" t="n">
        <x:v>2</x:v>
      </x:c>
      <x:c r="O115" s="9" t="n">
        <x:f>IF(M115=0,"n.a.",L115/M115)</x:f>
        <x:v>0.46153846153846156</x:v>
      </x:c>
      <x:c r="P115" s="9" t="n">
        <x:f>IF(K115=0,"n.a.",L115/K115)</x:f>
        <x:v>0.42857142857142855</x:v>
      </x:c>
      <x:c r="Q115" s="9" t="n">
        <x:f>IF(K115=0,"n.a.",M115/K115)</x:f>
        <x:v>0.9285714285714286</x:v>
      </x:c>
      <x:c r="R115" s="9" t="n">
        <x:f>IF(K115=0,"n.a.",N115/K115)</x:f>
        <x:v>0.14285714285714285</x:v>
      </x:c>
      <x:c r="S115" s="7" t="n">
        <x:v>-73</x:v>
      </x:c>
      <x:c r="T115" s="10" t="n">
        <x:v>0.33</x:v>
      </x:c>
      <x:c r="U115" s="7" t="n">
        <x:v>121</x:v>
      </x:c>
      <x:c r="V115" s="7" t="n">
        <x:v>217</x:v>
      </x:c>
    </x:row>
    <x:row r="116" ht="16" customHeight="1">
      <x:c r="A116" s="7" t="n">
        <x:v>113</x:v>
      </x:c>
      <x:c r="B116" s="8" t="n">
        <x:v>45872</x:v>
      </x:c>
      <x:c r="C116" s="7" t="str">
        <x:v>Haven</x:v>
      </x:c>
      <x:c r="D116" s="7" t="str">
        <x:v>3rd</x:v>
      </x:c>
      <x:c r="E116" s="7" t="str">
        <x:v>Neon</x:v>
      </x:c>
      <x:c r="F116" s="7" t="n">
        <x:v>11</x:v>
      </x:c>
      <x:c r="G116" s="7" t="n">
        <x:v>13</x:v>
      </x:c>
      <x:c r="H116" s="7" t="str">
        <x:f>IF(F116&gt;G116,"Win",IF(F116&lt;G116,"Loss","Draw"))</x:f>
        <x:v>Loss</x:v>
      </x:c>
      <x:c r="I116" s="7" t="n">
        <x:f>IF(H116="Win",1,0)</x:f>
        <x:v>0</x:v>
      </x:c>
      <x:c r="J116" s="7" t="n">
        <x:f>F116-G116</x:f>
        <x:v>-2</x:v>
      </x:c>
      <x:c r="K116" s="7" t="n">
        <x:f>F116+G116</x:f>
        <x:v>24</x:v>
      </x:c>
      <x:c r="L116" s="7" t="n">
        <x:v>22</x:v>
      </x:c>
      <x:c r="M116" s="7" t="n">
        <x:v>19</x:v>
      </x:c>
      <x:c r="N116" s="7" t="n">
        <x:v>4</x:v>
      </x:c>
      <x:c r="O116" s="9" t="n">
        <x:f>IF(M116=0,"n.a.",L116/M116)</x:f>
        <x:v>1.1578947368421053</x:v>
      </x:c>
      <x:c r="P116" s="9" t="n">
        <x:f>IF(K116=0,"n.a.",L116/K116)</x:f>
        <x:v>0.9166666666666666</x:v>
      </x:c>
      <x:c r="Q116" s="9" t="n">
        <x:f>IF(K116=0,"n.a.",M116/K116)</x:f>
        <x:v>0.7916666666666666</x:v>
      </x:c>
      <x:c r="R116" s="9" t="n">
        <x:f>IF(K116=0,"n.a.",N116/K116)</x:f>
        <x:v>0.16666666666666666</x:v>
      </x:c>
      <x:c r="S116" s="7" t="n">
        <x:v>9</x:v>
      </x:c>
      <x:c r="T116" s="10" t="n">
        <x:v>0.13</x:v>
      </x:c>
      <x:c r="U116" s="7" t="n">
        <x:v>256</x:v>
      </x:c>
      <x:c r="V116" s="7" t="n">
        <x:v>510</x:v>
      </x:c>
    </x:row>
    <x:row r="117" ht="16" customHeight="1">
      <x:c r="A117" s="7" t="n">
        <x:v>114</x:v>
      </x:c>
      <x:c r="B117" s="8" t="n">
        <x:v>45872</x:v>
      </x:c>
      <x:c r="C117" s="7" t="str">
        <x:v>Haven</x:v>
      </x:c>
      <x:c r="D117" s="7" t="str">
        <x:v>2nd</x:v>
      </x:c>
      <x:c r="E117" s="7" t="str">
        <x:v>Neon</x:v>
      </x:c>
      <x:c r="F117" s="7" t="n">
        <x:v>13</x:v>
      </x:c>
      <x:c r="G117" s="7" t="n">
        <x:v>9</x:v>
      </x:c>
      <x:c r="H117" s="7" t="str">
        <x:f>IF(F117&gt;G117,"Win",IF(F117&lt;G117,"Loss","Draw"))</x:f>
        <x:v>Win</x:v>
      </x:c>
      <x:c r="I117" s="7" t="n">
        <x:f>IF(H117="Win",1,0)</x:f>
        <x:v>1</x:v>
      </x:c>
      <x:c r="J117" s="7" t="n">
        <x:f>F117-G117</x:f>
        <x:v>4</x:v>
      </x:c>
      <x:c r="K117" s="7" t="n">
        <x:f>F117+G117</x:f>
        <x:v>22</x:v>
      </x:c>
      <x:c r="L117" s="7" t="n">
        <x:v>27</x:v>
      </x:c>
      <x:c r="M117" s="7" t="n">
        <x:v>17</x:v>
      </x:c>
      <x:c r="N117" s="7" t="n">
        <x:v>1</x:v>
      </x:c>
      <x:c r="O117" s="9" t="n">
        <x:f>IF(M117=0,"n.a.",L117/M117)</x:f>
        <x:v>1.588235294117647</x:v>
      </x:c>
      <x:c r="P117" s="9" t="n">
        <x:f>IF(K117=0,"n.a.",L117/K117)</x:f>
        <x:v>1.2272727272727273</x:v>
      </x:c>
      <x:c r="Q117" s="9" t="n">
        <x:f>IF(K117=0,"n.a.",M117/K117)</x:f>
        <x:v>0.7727272727272727</x:v>
      </x:c>
      <x:c r="R117" s="9" t="n">
        <x:f>IF(K117=0,"n.a.",N117/K117)</x:f>
        <x:v>0.045454545454545456</x:v>
      </x:c>
      <x:c r="S117" s="7" t="n">
        <x:v>39</x:v>
      </x:c>
      <x:c r="T117" s="10" t="n">
        <x:v>0.29</x:v>
      </x:c>
      <x:c r="U117" s="7" t="n">
        <x:v>322</x:v>
      </x:c>
      <x:c r="V117" s="7" t="n">
        <x:v>815</x:v>
      </x:c>
    </x:row>
    <x:row r="118" ht="16" customHeight="1">
      <x:c r="A118" s="7" t="n">
        <x:v>115</x:v>
      </x:c>
      <x:c r="B118" s="8" t="n">
        <x:v>45873</x:v>
      </x:c>
      <x:c r="C118" s="7" t="str">
        <x:v>Lotus</x:v>
      </x:c>
      <x:c r="D118" s="7" t="str">
        <x:v>6th</x:v>
      </x:c>
      <x:c r="E118" s="7" t="str">
        <x:v>Neon</x:v>
      </x:c>
      <x:c r="F118" s="7" t="n">
        <x:v>12</x:v>
      </x:c>
      <x:c r="G118" s="7" t="n">
        <x:v>14</x:v>
      </x:c>
      <x:c r="H118" s="7" t="str">
        <x:f>IF(F118&gt;G118,"Win",IF(F118&lt;G118,"Loss","Draw"))</x:f>
        <x:v>Loss</x:v>
      </x:c>
      <x:c r="I118" s="7" t="n">
        <x:f>IF(H118="Win",1,0)</x:f>
        <x:v>0</x:v>
      </x:c>
      <x:c r="J118" s="7" t="n">
        <x:f>F118-G118</x:f>
        <x:v>-2</x:v>
      </x:c>
      <x:c r="K118" s="7" t="n">
        <x:f>F118+G118</x:f>
        <x:v>26</x:v>
      </x:c>
      <x:c r="L118" s="7" t="n">
        <x:v>17</x:v>
      </x:c>
      <x:c r="M118" s="7" t="n">
        <x:v>21</x:v>
      </x:c>
      <x:c r="N118" s="7" t="n">
        <x:v>9</x:v>
      </x:c>
      <x:c r="O118" s="9" t="n">
        <x:f>IF(M118=0,"n.a.",L118/M118)</x:f>
        <x:v>0.8095238095238095</x:v>
      </x:c>
      <x:c r="P118" s="9" t="n">
        <x:f>IF(K118=0,"n.a.",L118/K118)</x:f>
        <x:v>0.6538461538461539</x:v>
      </x:c>
      <x:c r="Q118" s="9" t="n">
        <x:f>IF(K118=0,"n.a.",M118/K118)</x:f>
        <x:v>0.8076923076923077</x:v>
      </x:c>
      <x:c r="R118" s="9" t="n">
        <x:f>IF(K118=0,"n.a.",N118/K118)</x:f>
        <x:v>0.34615384615384615</x:v>
      </x:c>
      <x:c r="S118" s="7" t="n">
        <x:v>-21</x:v>
      </x:c>
      <x:c r="T118" s="10" t="n">
        <x:v>0.17</x:v>
      </x:c>
      <x:c r="U118" s="7" t="n">
        <x:v>202</x:v>
      </x:c>
      <x:c r="V118" s="7" t="n">
        <x:v>578</x:v>
      </x:c>
    </x:row>
    <x:row r="119" ht="16" customHeight="1">
      <x:c r="A119" s="7" t="n">
        <x:v>116</x:v>
      </x:c>
      <x:c r="B119" s="8" t="n">
        <x:v>45874</x:v>
      </x:c>
      <x:c r="C119" s="7" t="str">
        <x:v>Corrode</x:v>
      </x:c>
      <x:c r="D119" s="7" t="str">
        <x:v>4th</x:v>
      </x:c>
      <x:c r="E119" s="7" t="str">
        <x:v>Reyna</x:v>
      </x:c>
      <x:c r="F119" s="7" t="n">
        <x:v>6</x:v>
      </x:c>
      <x:c r="G119" s="7" t="n">
        <x:v>13</x:v>
      </x:c>
      <x:c r="H119" s="7" t="str">
        <x:f>IF(F119&gt;G119,"Win",IF(F119&lt;G119,"Loss","Draw"))</x:f>
        <x:v>Loss</x:v>
      </x:c>
      <x:c r="I119" s="7" t="n">
        <x:f>IF(H119="Win",1,0)</x:f>
        <x:v>0</x:v>
      </x:c>
      <x:c r="J119" s="7" t="n">
        <x:f>F119-G119</x:f>
        <x:v>-7</x:v>
      </x:c>
      <x:c r="K119" s="7" t="n">
        <x:f>F119+G119</x:f>
        <x:v>19</x:v>
      </x:c>
      <x:c r="L119" s="7" t="n">
        <x:v>14</x:v>
      </x:c>
      <x:c r="M119" s="7" t="n">
        <x:v>15</x:v>
      </x:c>
      <x:c r="N119" s="7" t="n">
        <x:v>5</x:v>
      </x:c>
      <x:c r="O119" s="9" t="n">
        <x:f>IF(M119=0,"n.a.",L119/M119)</x:f>
        <x:v>0.9333333333333333</x:v>
      </x:c>
      <x:c r="P119" s="9" t="n">
        <x:f>IF(K119=0,"n.a.",L119/K119)</x:f>
        <x:v>0.7368421052631579</x:v>
      </x:c>
      <x:c r="Q119" s="9" t="n">
        <x:f>IF(K119=0,"n.a.",M119/K119)</x:f>
        <x:v>0.7894736842105263</x:v>
      </x:c>
      <x:c r="R119" s="9" t="n">
        <x:f>IF(K119=0,"n.a.",N119/K119)</x:f>
        <x:v>0.2631578947368421</x:v>
      </x:c>
      <x:c r="S119" s="7" t="n">
        <x:v>-1</x:v>
      </x:c>
      <x:c r="T119" s="10" t="n">
        <x:v>0.24</x:v>
      </x:c>
      <x:c r="U119" s="7" t="n">
        <x:v>217</x:v>
      </x:c>
      <x:c r="V119" s="7" t="n">
        <x:v>375</x:v>
      </x:c>
    </x:row>
    <x:row r="120" ht="16" customHeight="1">
      <x:c r="A120" s="7" t="n">
        <x:v>117</x:v>
      </x:c>
      <x:c r="B120" s="8" t="n">
        <x:v>45874</x:v>
      </x:c>
      <x:c r="C120" s="7" t="str">
        <x:v>Haven</x:v>
      </x:c>
      <x:c r="D120" s="7" t="str">
        <x:v>7th</x:v>
      </x:c>
      <x:c r="E120" s="7" t="str">
        <x:v>Neon</x:v>
      </x:c>
      <x:c r="F120" s="7" t="n">
        <x:v>1</x:v>
      </x:c>
      <x:c r="G120" s="7" t="n">
        <x:v>13</x:v>
      </x:c>
      <x:c r="H120" s="7" t="str">
        <x:f>IF(F120&gt;G120,"Win",IF(F120&lt;G120,"Loss","Draw"))</x:f>
        <x:v>Loss</x:v>
      </x:c>
      <x:c r="I120" s="7" t="n">
        <x:f>IF(H120="Win",1,0)</x:f>
        <x:v>0</x:v>
      </x:c>
      <x:c r="J120" s="7" t="n">
        <x:f>F120-G120</x:f>
        <x:v>-12</x:v>
      </x:c>
      <x:c r="K120" s="7" t="n">
        <x:f>F120+G120</x:f>
        <x:v>14</x:v>
      </x:c>
      <x:c r="L120" s="7" t="n">
        <x:v>8</x:v>
      </x:c>
      <x:c r="M120" s="7" t="n">
        <x:v>14</x:v>
      </x:c>
      <x:c r="N120" s="7" t="n">
        <x:v>2</x:v>
      </x:c>
      <x:c r="O120" s="9" t="n">
        <x:f>IF(M120=0,"n.a.",L120/M120)</x:f>
        <x:v>0.5714285714285714</x:v>
      </x:c>
      <x:c r="P120" s="9" t="n">
        <x:f>IF(K120=0,"n.a.",L120/K120)</x:f>
        <x:v>0.5714285714285714</x:v>
      </x:c>
      <x:c r="Q120" s="9" t="n">
        <x:f>IF(K120=0,"n.a.",M120/K120)</x:f>
        <x:v>1</x:v>
      </x:c>
      <x:c r="R120" s="9" t="n">
        <x:f>IF(K120=0,"n.a.",N120/K120)</x:f>
        <x:v>0.14285714285714285</x:v>
      </x:c>
      <x:c r="S120" s="7" t="n">
        <x:v>-58</x:v>
      </x:c>
      <x:c r="T120" s="10" t="n">
        <x:v>0.23</x:v>
      </x:c>
      <x:c r="U120" s="7" t="n">
        <x:v>189</x:v>
      </x:c>
      <x:c r="V120" s="7" t="n">
        <x:v>209</x:v>
      </x:c>
    </x:row>
    <x:row r="121" ht="16" customHeight="1">
      <x:c r="A121" s="7" t="n">
        <x:v>118</x:v>
      </x:c>
      <x:c r="B121" s="8" t="n">
        <x:v>45874</x:v>
      </x:c>
      <x:c r="C121" s="7" t="str">
        <x:v>Sunset</x:v>
      </x:c>
      <x:c r="D121" s="7" t="str">
        <x:v>2nd</x:v>
      </x:c>
      <x:c r="E121" s="7" t="str">
        <x:v>Neon</x:v>
      </x:c>
      <x:c r="F121" s="7" t="n">
        <x:v>14</x:v>
      </x:c>
      <x:c r="G121" s="7" t="n">
        <x:v>12</x:v>
      </x:c>
      <x:c r="H121" s="7" t="str">
        <x:f>IF(F121&gt;G121,"Win",IF(F121&lt;G121,"Loss","Draw"))</x:f>
        <x:v>Win</x:v>
      </x:c>
      <x:c r="I121" s="7" t="n">
        <x:f>IF(H121="Win",1,0)</x:f>
        <x:v>1</x:v>
      </x:c>
      <x:c r="J121" s="7" t="n">
        <x:f>F121-G121</x:f>
        <x:v>2</x:v>
      </x:c>
      <x:c r="K121" s="7" t="n">
        <x:f>F121+G121</x:f>
        <x:v>26</x:v>
      </x:c>
      <x:c r="L121" s="7" t="n">
        <x:v>20</x:v>
      </x:c>
      <x:c r="M121" s="7" t="n">
        <x:v>21</x:v>
      </x:c>
      <x:c r="N121" s="7" t="n">
        <x:v>8</x:v>
      </x:c>
      <x:c r="O121" s="9" t="n">
        <x:f>IF(M121=0,"n.a.",L121/M121)</x:f>
        <x:v>0.9523809523809523</x:v>
      </x:c>
      <x:c r="P121" s="9" t="n">
        <x:f>IF(K121=0,"n.a.",L121/K121)</x:f>
        <x:v>0.7692307692307693</x:v>
      </x:c>
      <x:c r="Q121" s="9" t="n">
        <x:f>IF(K121=0,"n.a.",M121/K121)</x:f>
        <x:v>0.8076923076923077</x:v>
      </x:c>
      <x:c r="R121" s="9" t="n">
        <x:f>IF(K121=0,"n.a.",N121/K121)</x:f>
        <x:v>0.3076923076923077</x:v>
      </x:c>
      <x:c r="S121" s="7" t="n">
        <x:v>-12</x:v>
      </x:c>
      <x:c r="T121" s="10" t="n">
        <x:v>0.17</x:v>
      </x:c>
      <x:c r="U121" s="7" t="n">
        <x:v>223</x:v>
      </x:c>
      <x:c r="V121" s="7" t="n">
        <x:v>518</x:v>
      </x:c>
    </x:row>
    <x:row r="122" ht="16" customHeight="1">
      <x:c r="A122" s="7" t="n">
        <x:v>119</x:v>
      </x:c>
      <x:c r="B122" s="8" t="n">
        <x:v>45875</x:v>
      </x:c>
      <x:c r="C122" s="7" t="str">
        <x:v>Corrode</x:v>
      </x:c>
      <x:c r="D122" s="7" t="str">
        <x:v>10th</x:v>
      </x:c>
      <x:c r="E122" s="7" t="str">
        <x:v>Neon</x:v>
      </x:c>
      <x:c r="F122" s="7" t="n">
        <x:v>8</x:v>
      </x:c>
      <x:c r="G122" s="7" t="n">
        <x:v>13</x:v>
      </x:c>
      <x:c r="H122" s="7" t="str">
        <x:f>IF(F122&gt;G122,"Win",IF(F122&lt;G122,"Loss","Draw"))</x:f>
        <x:v>Loss</x:v>
      </x:c>
      <x:c r="I122" s="7" t="n">
        <x:f>IF(H122="Win",1,0)</x:f>
        <x:v>0</x:v>
      </x:c>
      <x:c r="J122" s="7" t="n">
        <x:f>F122-G122</x:f>
        <x:v>-5</x:v>
      </x:c>
      <x:c r="K122" s="7" t="n">
        <x:f>F122+G122</x:f>
        <x:v>21</x:v>
      </x:c>
      <x:c r="L122" s="7" t="n">
        <x:v>10</x:v>
      </x:c>
      <x:c r="M122" s="7" t="n">
        <x:v>18</x:v>
      </x:c>
      <x:c r="N122" s="7" t="n">
        <x:v>0</x:v>
      </x:c>
      <x:c r="O122" s="9" t="n">
        <x:f>IF(M122=0,"n.a.",L122/M122)</x:f>
        <x:v>0.5555555555555556</x:v>
      </x:c>
      <x:c r="P122" s="9" t="n">
        <x:f>IF(K122=0,"n.a.",L122/K122)</x:f>
        <x:v>0.47619047619047616</x:v>
      </x:c>
      <x:c r="Q122" s="9" t="n">
        <x:f>IF(K122=0,"n.a.",M122/K122)</x:f>
        <x:v>0.8571428571428571</x:v>
      </x:c>
      <x:c r="R122" s="9" t="n">
        <x:f>IF(K122=0,"n.a.",N122/K122)</x:f>
        <x:v>0</x:v>
      </x:c>
      <x:c r="S122" s="7" t="n">
        <x:v>-87</x:v>
      </x:c>
      <x:c r="T122" s="10" t="n">
        <x:v>0.36</x:v>
      </x:c>
      <x:c r="U122" s="7" t="n">
        <x:v>112</x:v>
      </x:c>
      <x:c r="V122" s="7" t="n">
        <x:v>114</x:v>
      </x:c>
    </x:row>
    <x:row r="123" ht="16" customHeight="1">
      <x:c r="A123" s="7" t="n">
        <x:v>120</x:v>
      </x:c>
      <x:c r="B123" s="8" t="n">
        <x:v>45877</x:v>
      </x:c>
      <x:c r="C123" s="7" t="str">
        <x:v>Icebox</x:v>
      </x:c>
      <x:c r="D123" s="7" t="str">
        <x:v>6th</x:v>
      </x:c>
      <x:c r="E123" s="7" t="str">
        <x:v>Iso</x:v>
      </x:c>
      <x:c r="F123" s="7" t="n">
        <x:v>13</x:v>
      </x:c>
      <x:c r="G123" s="7" t="n">
        <x:v>8</x:v>
      </x:c>
      <x:c r="H123" s="7" t="str">
        <x:f>IF(F123&gt;G123,"Win",IF(F123&lt;G123,"Loss","Draw"))</x:f>
        <x:v>Win</x:v>
      </x:c>
      <x:c r="I123" s="7" t="n">
        <x:f>IF(H123="Win",1,0)</x:f>
        <x:v>1</x:v>
      </x:c>
      <x:c r="J123" s="7" t="n">
        <x:f>F123-G123</x:f>
        <x:v>5</x:v>
      </x:c>
      <x:c r="K123" s="7" t="n">
        <x:f>F123+G123</x:f>
        <x:v>21</x:v>
      </x:c>
      <x:c r="L123" s="7" t="n">
        <x:v>14</x:v>
      </x:c>
      <x:c r="M123" s="7" t="n">
        <x:v>17</x:v>
      </x:c>
      <x:c r="N123" s="7" t="n">
        <x:v>2</x:v>
      </x:c>
      <x:c r="O123" s="9" t="n">
        <x:f>IF(M123=0,"n.a.",L123/M123)</x:f>
        <x:v>0.8235294117647058</x:v>
      </x:c>
      <x:c r="P123" s="9" t="n">
        <x:f>IF(K123=0,"n.a.",L123/K123)</x:f>
        <x:v>0.6666666666666666</x:v>
      </x:c>
      <x:c r="Q123" s="9" t="n">
        <x:f>IF(K123=0,"n.a.",M123/K123)</x:f>
        <x:v>0.8095238095238095</x:v>
      </x:c>
      <x:c r="R123" s="9" t="n">
        <x:f>IF(K123=0,"n.a.",N123/K123)</x:f>
        <x:v>0.09523809523809523</x:v>
      </x:c>
      <x:c r="S123" s="7" t="n">
        <x:v>-4</x:v>
      </x:c>
      <x:c r="T123" s="10" t="n">
        <x:v>0.26</x:v>
      </x:c>
      <x:c r="U123" s="7" t="n">
        <x:v>197</x:v>
      </x:c>
      <x:c r="V123" s="7" t="n">
        <x:v>576</x:v>
      </x:c>
    </x:row>
    <x:row r="124" ht="16" customHeight="1">
      <x:c r="A124" s="7" t="n">
        <x:v>121</x:v>
      </x:c>
      <x:c r="B124" s="8" t="n">
        <x:v>45877</x:v>
      </x:c>
      <x:c r="C124" s="7" t="str">
        <x:v>Icebox</x:v>
      </x:c>
      <x:c r="D124" s="7" t="str">
        <x:v>10th</x:v>
      </x:c>
      <x:c r="E124" s="7" t="str">
        <x:v>Neon</x:v>
      </x:c>
      <x:c r="F124" s="7" t="n">
        <x:v>7</x:v>
      </x:c>
      <x:c r="G124" s="7" t="n">
        <x:v>13</x:v>
      </x:c>
      <x:c r="H124" s="7" t="str">
        <x:f>IF(F124&gt;G124,"Win",IF(F124&lt;G124,"Loss","Draw"))</x:f>
        <x:v>Loss</x:v>
      </x:c>
      <x:c r="I124" s="7" t="n">
        <x:f>IF(H124="Win",1,0)</x:f>
        <x:v>0</x:v>
      </x:c>
      <x:c r="J124" s="7" t="n">
        <x:f>F124-G124</x:f>
        <x:v>-6</x:v>
      </x:c>
      <x:c r="K124" s="7" t="n">
        <x:f>F124+G124</x:f>
        <x:v>20</x:v>
      </x:c>
      <x:c r="L124" s="7" t="n">
        <x:v>8</x:v>
      </x:c>
      <x:c r="M124" s="7" t="n">
        <x:v>17</x:v>
      </x:c>
      <x:c r="N124" s="7" t="n">
        <x:v>2</x:v>
      </x:c>
      <x:c r="O124" s="9" t="n">
        <x:f>IF(M124=0,"n.a.",L124/M124)</x:f>
        <x:v>0.47058823529411764</x:v>
      </x:c>
      <x:c r="P124" s="9" t="n">
        <x:f>IF(K124=0,"n.a.",L124/K124)</x:f>
        <x:v>0.4</x:v>
      </x:c>
      <x:c r="Q124" s="9" t="n">
        <x:f>IF(K124=0,"n.a.",M124/K124)</x:f>
        <x:v>0.85</x:v>
      </x:c>
      <x:c r="R124" s="9" t="n">
        <x:f>IF(K124=0,"n.a.",N124/K124)</x:f>
        <x:v>0.1</x:v>
      </x:c>
      <x:c r="S124" s="7" t="n">
        <x:v>-77</x:v>
      </x:c>
      <x:c r="T124" s="10" t="n">
        <x:v>0.19</x:v>
      </x:c>
      <x:c r="U124" s="7" t="n">
        <x:v>118</x:v>
      </x:c>
      <x:c r="V124" s="7" t="n">
        <x:v>105</x:v>
      </x:c>
    </x:row>
    <x:row r="125" ht="16" customHeight="1">
      <x:c r="A125" s="7" t="n">
        <x:v>122</x:v>
      </x:c>
      <x:c r="B125" s="8" t="n">
        <x:v>45877</x:v>
      </x:c>
      <x:c r="C125" s="7" t="str">
        <x:v>Bind</x:v>
      </x:c>
      <x:c r="D125" s="7" t="str">
        <x:v>7th</x:v>
      </x:c>
      <x:c r="E125" s="7" t="str">
        <x:v>Neon</x:v>
      </x:c>
      <x:c r="F125" s="7" t="n">
        <x:v>6</x:v>
      </x:c>
      <x:c r="G125" s="7" t="n">
        <x:v>13</x:v>
      </x:c>
      <x:c r="H125" s="7" t="str">
        <x:f>IF(F125&gt;G125,"Win",IF(F125&lt;G125,"Loss","Draw"))</x:f>
        <x:v>Loss</x:v>
      </x:c>
      <x:c r="I125" s="7" t="n">
        <x:f>IF(H125="Win",1,0)</x:f>
        <x:v>0</x:v>
      </x:c>
      <x:c r="J125" s="7" t="n">
        <x:f>F125-G125</x:f>
        <x:v>-7</x:v>
      </x:c>
      <x:c r="K125" s="7" t="n">
        <x:f>F125+G125</x:f>
        <x:v>19</x:v>
      </x:c>
      <x:c r="L125" s="7" t="n">
        <x:v>13</x:v>
      </x:c>
      <x:c r="M125" s="7" t="n">
        <x:v>14</x:v>
      </x:c>
      <x:c r="N125" s="7" t="n">
        <x:v>4</x:v>
      </x:c>
      <x:c r="O125" s="9" t="n">
        <x:f>IF(M125=0,"n.a.",L125/M125)</x:f>
        <x:v>0.9285714285714286</x:v>
      </x:c>
      <x:c r="P125" s="9" t="n">
        <x:f>IF(K125=0,"n.a.",L125/K125)</x:f>
        <x:v>0.6842105263157895</x:v>
      </x:c>
      <x:c r="Q125" s="9" t="n">
        <x:f>IF(K125=0,"n.a.",M125/K125)</x:f>
        <x:v>0.7368421052631579</x:v>
      </x:c>
      <x:c r="R125" s="9" t="n">
        <x:f>IF(K125=0,"n.a.",N125/K125)</x:f>
        <x:v>0.21052631578947367</x:v>
      </x:c>
      <x:c r="S125" s="7" t="n">
        <x:v>-27</x:v>
      </x:c>
      <x:c r="T125" s="10" t="n">
        <x:v>0.27</x:v>
      </x:c>
      <x:c r="U125" s="7" t="n">
        <x:v>181</x:v>
      </x:c>
      <x:c r="V125" s="7" t="n">
        <x:v>313</x:v>
      </x:c>
    </x:row>
    <x:row r="126" ht="16" customHeight="1">
      <x:c r="A126" s="7" t="n">
        <x:v>123</x:v>
      </x:c>
      <x:c r="B126" s="8" t="n">
        <x:v>45877</x:v>
      </x:c>
      <x:c r="C126" s="7" t="str">
        <x:v>Bind</x:v>
      </x:c>
      <x:c r="D126" s="7" t="str">
        <x:v>6th</x:v>
      </x:c>
      <x:c r="E126" s="7" t="str">
        <x:v>Neon</x:v>
      </x:c>
      <x:c r="F126" s="7" t="n">
        <x:v>13</x:v>
      </x:c>
      <x:c r="G126" s="7" t="n">
        <x:v>4</x:v>
      </x:c>
      <x:c r="H126" s="7" t="str">
        <x:f>IF(F126&gt;G126,"Win",IF(F126&lt;G126,"Loss","Draw"))</x:f>
        <x:v>Win</x:v>
      </x:c>
      <x:c r="I126" s="7" t="n">
        <x:f>IF(H126="Win",1,0)</x:f>
        <x:v>1</x:v>
      </x:c>
      <x:c r="J126" s="7" t="n">
        <x:f>F126-G126</x:f>
        <x:v>9</x:v>
      </x:c>
      <x:c r="K126" s="7" t="n">
        <x:f>F126+G126</x:f>
        <x:v>17</x:v>
      </x:c>
      <x:c r="L126" s="7" t="n">
        <x:v>13</x:v>
      </x:c>
      <x:c r="M126" s="7" t="n">
        <x:v>10</x:v>
      </x:c>
      <x:c r="N126" s="7" t="n">
        <x:v>4</x:v>
      </x:c>
      <x:c r="O126" s="9" t="n">
        <x:f>IF(M126=0,"n.a.",L126/M126)</x:f>
        <x:v>1.3</x:v>
      </x:c>
      <x:c r="P126" s="9" t="n">
        <x:f>IF(K126=0,"n.a.",L126/K126)</x:f>
        <x:v>0.7647058823529411</x:v>
      </x:c>
      <x:c r="Q126" s="9" t="n">
        <x:f>IF(K126=0,"n.a.",M126/K126)</x:f>
        <x:v>0.5882352941176471</x:v>
      </x:c>
      <x:c r="R126" s="9" t="n">
        <x:f>IF(K126=0,"n.a.",N126/K126)</x:f>
        <x:v>0.23529411764705882</x:v>
      </x:c>
      <x:c r="S126" s="7" t="n">
        <x:v>11</x:v>
      </x:c>
      <x:c r="T126" s="10" t="n">
        <x:v>0.22</x:v>
      </x:c>
      <x:c r="U126" s="7" t="n">
        <x:v>198</x:v>
      </x:c>
      <x:c r="V126" s="7" t="n">
        <x:v>742</x:v>
      </x:c>
    </x:row>
    <x:row r="127" ht="16" customHeight="1">
      <x:c r="A127" s="7" t="n">
        <x:v>124</x:v>
      </x:c>
      <x:c r="B127" s="8" t="n">
        <x:v>45878</x:v>
      </x:c>
      <x:c r="C127" s="7" t="str">
        <x:v>Corrode</x:v>
      </x:c>
      <x:c r="D127" s="7" t="str">
        <x:v>10th</x:v>
      </x:c>
      <x:c r="E127" s="7" t="str">
        <x:v>Neon</x:v>
      </x:c>
      <x:c r="F127" s="7" t="n">
        <x:v>14</x:v>
      </x:c>
      <x:c r="G127" s="7" t="n">
        <x:v>14</x:v>
      </x:c>
      <x:c r="H127" s="7" t="str">
        <x:f>IF(F127&gt;G127,"Win",IF(F127&lt;G127,"Loss","Draw"))</x:f>
        <x:v>Draw</x:v>
      </x:c>
      <x:c r="I127" s="7" t="n">
        <x:f>IF(H127="Win",1,0)</x:f>
        <x:v>0</x:v>
      </x:c>
      <x:c r="J127" s="7" t="n">
        <x:f>F127-G127</x:f>
        <x:v>0</x:v>
      </x:c>
      <x:c r="K127" s="7" t="n">
        <x:f>F127+G127</x:f>
        <x:v>28</x:v>
      </x:c>
      <x:c r="L127" s="7" t="n">
        <x:v>13</x:v>
      </x:c>
      <x:c r="M127" s="7" t="n">
        <x:v>24</x:v>
      </x:c>
      <x:c r="N127" s="7" t="n">
        <x:v>3</x:v>
      </x:c>
      <x:c r="O127" s="9" t="n">
        <x:f>IF(M127=0,"n.a.",L127/M127)</x:f>
        <x:v>0.5416666666666666</x:v>
      </x:c>
      <x:c r="P127" s="9" t="n">
        <x:f>IF(K127=0,"n.a.",L127/K127)</x:f>
        <x:v>0.4642857142857143</x:v>
      </x:c>
      <x:c r="Q127" s="9" t="n">
        <x:f>IF(K127=0,"n.a.",M127/K127)</x:f>
        <x:v>0.8571428571428571</x:v>
      </x:c>
      <x:c r="R127" s="9" t="n">
        <x:f>IF(K127=0,"n.a.",N127/K127)</x:f>
        <x:v>0.10714285714285714</x:v>
      </x:c>
      <x:c r="S127" s="7" t="n">
        <x:v>-60</x:v>
      </x:c>
      <x:c r="T127" s="10" t="n">
        <x:v>0.26</x:v>
      </x:c>
      <x:c r="U127" s="7" t="n">
        <x:v>129</x:v>
      </x:c>
      <x:c r="V127" s="7" t="n">
        <x:v>218</x:v>
      </x:c>
    </x:row>
    <x:row r="128" ht="16" customHeight="1">
      <x:c r="A128" s="7" t="n">
        <x:v>125</x:v>
      </x:c>
      <x:c r="B128" s="8" t="n">
        <x:v>45878</x:v>
      </x:c>
      <x:c r="C128" s="7" t="str">
        <x:v>Sunset</x:v>
      </x:c>
      <x:c r="D128" s="7" t="str">
        <x:v>MVP</x:v>
      </x:c>
      <x:c r="E128" s="7" t="str">
        <x:v>Neon</x:v>
      </x:c>
      <x:c r="F128" s="7" t="n">
        <x:v>13</x:v>
      </x:c>
      <x:c r="G128" s="7" t="n">
        <x:v>5</x:v>
      </x:c>
      <x:c r="H128" s="7" t="str">
        <x:f>IF(F128&gt;G128,"Win",IF(F128&lt;G128,"Loss","Draw"))</x:f>
        <x:v>Win</x:v>
      </x:c>
      <x:c r="I128" s="7" t="n">
        <x:f>IF(H128="Win",1,0)</x:f>
        <x:v>1</x:v>
      </x:c>
      <x:c r="J128" s="7" t="n">
        <x:f>F128-G128</x:f>
        <x:v>8</x:v>
      </x:c>
      <x:c r="K128" s="7" t="n">
        <x:f>F128+G128</x:f>
        <x:v>18</x:v>
      </x:c>
      <x:c r="L128" s="7" t="n">
        <x:v>25</x:v>
      </x:c>
      <x:c r="M128" s="7" t="n">
        <x:v>13</x:v>
      </x:c>
      <x:c r="N128" s="7" t="n">
        <x:v>6</x:v>
      </x:c>
      <x:c r="O128" s="9" t="n">
        <x:f>IF(M128=0,"n.a.",L128/M128)</x:f>
        <x:v>1.9230769230769231</x:v>
      </x:c>
      <x:c r="P128" s="9" t="n">
        <x:f>IF(K128=0,"n.a.",L128/K128)</x:f>
        <x:v>1.3888888888888888</x:v>
      </x:c>
      <x:c r="Q128" s="9" t="n">
        <x:f>IF(K128=0,"n.a.",M128/K128)</x:f>
        <x:v>0.7222222222222222</x:v>
      </x:c>
      <x:c r="R128" s="9" t="n">
        <x:f>IF(K128=0,"n.a.",N128/K128)</x:f>
        <x:v>0.3333333333333333</x:v>
      </x:c>
      <x:c r="S128" s="7" t="n">
        <x:v>70</x:v>
      </x:c>
      <x:c r="T128" s="10" t="n">
        <x:v>0.24</x:v>
      </x:c>
      <x:c r="U128" s="7" t="n">
        <x:v>371</x:v>
      </x:c>
      <x:c r="V128" s="7" t="n">
        <x:v>980</x:v>
      </x:c>
    </x:row>
    <x:row r="129" ht="16" customHeight="1">
      <x:c r="A129" s="7" t="n">
        <x:v>126</x:v>
      </x:c>
      <x:c r="B129" s="8" t="n">
        <x:v>45878</x:v>
      </x:c>
      <x:c r="C129" s="7" t="str">
        <x:v>Sunset</x:v>
      </x:c>
      <x:c r="D129" s="7" t="str">
        <x:v>6th</x:v>
      </x:c>
      <x:c r="E129" s="7" t="str">
        <x:v>Neon</x:v>
      </x:c>
      <x:c r="F129" s="7" t="n">
        <x:v>11</x:v>
      </x:c>
      <x:c r="G129" s="7" t="n">
        <x:v>13</x:v>
      </x:c>
      <x:c r="H129" s="7" t="str">
        <x:f>IF(F129&gt;G129,"Win",IF(F129&lt;G129,"Loss","Draw"))</x:f>
        <x:v>Loss</x:v>
      </x:c>
      <x:c r="I129" s="7" t="n">
        <x:f>IF(H129="Win",1,0)</x:f>
        <x:v>0</x:v>
      </x:c>
      <x:c r="J129" s="7" t="n">
        <x:f>F129-G129</x:f>
        <x:v>-2</x:v>
      </x:c>
      <x:c r="K129" s="7" t="n">
        <x:f>F129+G129</x:f>
        <x:v>24</x:v>
      </x:c>
      <x:c r="L129" s="7" t="n">
        <x:v>18</x:v>
      </x:c>
      <x:c r="M129" s="7" t="n">
        <x:v>16</x:v>
      </x:c>
      <x:c r="N129" s="7" t="n">
        <x:v>2</x:v>
      </x:c>
      <x:c r="O129" s="9" t="n">
        <x:f>IF(M129=0,"n.a.",L129/M129)</x:f>
        <x:v>1.125</x:v>
      </x:c>
      <x:c r="P129" s="9" t="n">
        <x:f>IF(K129=0,"n.a.",L129/K129)</x:f>
        <x:v>0.75</x:v>
      </x:c>
      <x:c r="Q129" s="9" t="n">
        <x:f>IF(K129=0,"n.a.",M129/K129)</x:f>
        <x:v>0.6666666666666666</x:v>
      </x:c>
      <x:c r="R129" s="9" t="n">
        <x:f>IF(K129=0,"n.a.",N129/K129)</x:f>
        <x:v>0.08333333333333333</x:v>
      </x:c>
      <x:c r="S129" s="7" t="n">
        <x:v>26</x:v>
      </x:c>
      <x:c r="T129" s="10" t="n">
        <x:v>0.29</x:v>
      </x:c>
      <x:c r="U129" s="7" t="n">
        <x:v>201</x:v>
      </x:c>
      <x:c r="V129" s="7" t="n">
        <x:v>494</x:v>
      </x:c>
    </x:row>
    <x:row r="130" ht="16" customHeight="1">
      <x:c r="A130" s="7" t="n">
        <x:v>127</x:v>
      </x:c>
      <x:c r="B130" s="8" t="n">
        <x:v>45878</x:v>
      </x:c>
      <x:c r="C130" s="7" t="str">
        <x:v>Bind</x:v>
      </x:c>
      <x:c r="D130" s="7" t="str">
        <x:v>8th</x:v>
      </x:c>
      <x:c r="E130" s="7" t="str">
        <x:v>Omen</x:v>
      </x:c>
      <x:c r="F130" s="7" t="n">
        <x:v>13</x:v>
      </x:c>
      <x:c r="G130" s="7" t="n">
        <x:v>9</x:v>
      </x:c>
      <x:c r="H130" s="7" t="str">
        <x:f>IF(F130&gt;G130,"Win",IF(F130&lt;G130,"Loss","Draw"))</x:f>
        <x:v>Win</x:v>
      </x:c>
      <x:c r="I130" s="7" t="n">
        <x:f>IF(H130="Win",1,0)</x:f>
        <x:v>1</x:v>
      </x:c>
      <x:c r="J130" s="7" t="n">
        <x:f>F130-G130</x:f>
        <x:v>4</x:v>
      </x:c>
      <x:c r="K130" s="7" t="n">
        <x:f>F130+G130</x:f>
        <x:v>22</x:v>
      </x:c>
      <x:c r="L130" s="7" t="n">
        <x:v>13</x:v>
      </x:c>
      <x:c r="M130" s="7" t="n">
        <x:v>17</x:v>
      </x:c>
      <x:c r="N130" s="7" t="n">
        <x:v>5</x:v>
      </x:c>
      <x:c r="O130" s="9" t="n">
        <x:f>IF(M130=0,"n.a.",L130/M130)</x:f>
        <x:v>0.7647058823529411</x:v>
      </x:c>
      <x:c r="P130" s="9" t="n">
        <x:f>IF(K130=0,"n.a.",L130/K130)</x:f>
        <x:v>0.5909090909090909</x:v>
      </x:c>
      <x:c r="Q130" s="9" t="n">
        <x:f>IF(K130=0,"n.a.",M130/K130)</x:f>
        <x:v>0.7727272727272727</x:v>
      </x:c>
      <x:c r="R130" s="9" t="n">
        <x:f>IF(K130=0,"n.a.",N130/K130)</x:f>
        <x:v>0.22727272727272727</x:v>
      </x:c>
      <x:c r="S130" s="7" t="n">
        <x:v>-35</x:v>
      </x:c>
      <x:c r="T130" s="10" t="n">
        <x:v>0.24</x:v>
      </x:c>
      <x:c r="U130" s="7" t="n">
        <x:v>162</x:v>
      </x:c>
      <x:c r="V130" s="7" t="n">
        <x:v>386</x:v>
      </x:c>
    </x:row>
    <x:row r="131" ht="16" customHeight="1">
      <x:c r="A131" s="7" t="n">
        <x:v>128</x:v>
      </x:c>
      <x:c r="B131" s="8" t="n">
        <x:v>45878</x:v>
      </x:c>
      <x:c r="C131" s="7" t="str">
        <x:v>Haven</x:v>
      </x:c>
      <x:c r="D131" s="7" t="str">
        <x:v>4th</x:v>
      </x:c>
      <x:c r="E131" s="7" t="str">
        <x:v>Neon</x:v>
      </x:c>
      <x:c r="F131" s="7" t="n">
        <x:v>10</x:v>
      </x:c>
      <x:c r="G131" s="7" t="n">
        <x:v>13</x:v>
      </x:c>
      <x:c r="H131" s="7" t="str">
        <x:f>IF(F131&gt;G131,"Win",IF(F131&lt;G131,"Loss","Draw"))</x:f>
        <x:v>Loss</x:v>
      </x:c>
      <x:c r="I131" s="7" t="n">
        <x:f>IF(H131="Win",1,0)</x:f>
        <x:v>0</x:v>
      </x:c>
      <x:c r="J131" s="7" t="n">
        <x:f>F131-G131</x:f>
        <x:v>-3</x:v>
      </x:c>
      <x:c r="K131" s="7" t="n">
        <x:f>F131+G131</x:f>
        <x:v>23</x:v>
      </x:c>
      <x:c r="L131" s="7" t="n">
        <x:v>18</x:v>
      </x:c>
      <x:c r="M131" s="7" t="n">
        <x:v>20</x:v>
      </x:c>
      <x:c r="N131" s="7" t="n">
        <x:v>3</x:v>
      </x:c>
      <x:c r="O131" s="9" t="n">
        <x:f>IF(M131=0,"n.a.",L131/M131)</x:f>
        <x:v>0.9</x:v>
      </x:c>
      <x:c r="P131" s="9" t="n">
        <x:f>IF(K131=0,"n.a.",L131/K131)</x:f>
        <x:v>0.782608695652174</x:v>
      </x:c>
      <x:c r="Q131" s="9" t="n">
        <x:f>IF(K131=0,"n.a.",M131/K131)</x:f>
        <x:v>0.8695652173913043</x:v>
      </x:c>
      <x:c r="R131" s="9" t="n">
        <x:f>IF(K131=0,"n.a.",N131/K131)</x:f>
        <x:v>0.13043478260869565</x:v>
      </x:c>
      <x:c r="S131" s="7" t="n">
        <x:v>-24</x:v>
      </x:c>
      <x:c r="T131" s="10" t="n">
        <x:v>0.13</x:v>
      </x:c>
      <x:c r="U131" s="7" t="n">
        <x:v>230</x:v>
      </x:c>
      <x:c r="V131" s="7" t="n">
        <x:v>458</x:v>
      </x:c>
    </x:row>
    <x:row r="132" ht="16" customHeight="1">
      <x:c r="A132" s="7" t="n">
        <x:v>129</x:v>
      </x:c>
      <x:c r="B132" s="8" t="n">
        <x:v>45878</x:v>
      </x:c>
      <x:c r="C132" s="7" t="str">
        <x:v>Lotus</x:v>
      </x:c>
      <x:c r="D132" s="7" t="str">
        <x:v>2nd</x:v>
      </x:c>
      <x:c r="E132" s="7" t="str">
        <x:v>Neon</x:v>
      </x:c>
      <x:c r="F132" s="7" t="n">
        <x:v>13</x:v>
      </x:c>
      <x:c r="G132" s="7" t="n">
        <x:v>5</x:v>
      </x:c>
      <x:c r="H132" s="7" t="str">
        <x:f>IF(F132&gt;G132,"Win",IF(F132&lt;G132,"Loss","Draw"))</x:f>
        <x:v>Win</x:v>
      </x:c>
      <x:c r="I132" s="7" t="n">
        <x:f>IF(H132="Win",1,0)</x:f>
        <x:v>1</x:v>
      </x:c>
      <x:c r="J132" s="7" t="n">
        <x:f>F132-G132</x:f>
        <x:v>8</x:v>
      </x:c>
      <x:c r="K132" s="7" t="n">
        <x:f>F132+G132</x:f>
        <x:v>18</x:v>
      </x:c>
      <x:c r="L132" s="7" t="n">
        <x:v>21</x:v>
      </x:c>
      <x:c r="M132" s="7" t="n">
        <x:v>12</x:v>
      </x:c>
      <x:c r="N132" s="7" t="n">
        <x:v>3</x:v>
      </x:c>
      <x:c r="O132" s="9" t="n">
        <x:f>IF(M132=0,"n.a.",L132/M132)</x:f>
        <x:v>1.75</x:v>
      </x:c>
      <x:c r="P132" s="9" t="n">
        <x:f>IF(K132=0,"n.a.",L132/K132)</x:f>
        <x:v>1.1666666666666667</x:v>
      </x:c>
      <x:c r="Q132" s="9" t="n">
        <x:f>IF(K132=0,"n.a.",M132/K132)</x:f>
        <x:v>0.6666666666666666</x:v>
      </x:c>
      <x:c r="R132" s="9" t="n">
        <x:f>IF(K132=0,"n.a.",N132/K132)</x:f>
        <x:v>0.16666666666666666</x:v>
      </x:c>
      <x:c r="S132" s="7" t="n">
        <x:v>60</x:v>
      </x:c>
      <x:c r="T132" s="10" t="n">
        <x:v>0.25</x:v>
      </x:c>
      <x:c r="U132" s="7" t="n">
        <x:v>307</x:v>
      </x:c>
      <x:c r="V132" s="7" t="n">
        <x:v>879</x:v>
      </x:c>
    </x:row>
    <x:row r="133" ht="16" customHeight="1">
      <x:c r="A133" s="7" t="n">
        <x:v>130</x:v>
      </x:c>
      <x:c r="B133" s="8" t="n">
        <x:v>45878</x:v>
      </x:c>
      <x:c r="C133" s="7" t="str">
        <x:v>Icebox</x:v>
      </x:c>
      <x:c r="D133" s="7" t="str">
        <x:v>10th</x:v>
      </x:c>
      <x:c r="E133" s="7" t="str">
        <x:v>Neon</x:v>
      </x:c>
      <x:c r="F133" s="7" t="n">
        <x:v>6</x:v>
      </x:c>
      <x:c r="G133" s="7" t="n">
        <x:v>13</x:v>
      </x:c>
      <x:c r="H133" s="7" t="str">
        <x:f>IF(F133&gt;G133,"Win",IF(F133&lt;G133,"Loss","Draw"))</x:f>
        <x:v>Loss</x:v>
      </x:c>
      <x:c r="I133" s="7" t="n">
        <x:f>IF(H133="Win",1,0)</x:f>
        <x:v>0</x:v>
      </x:c>
      <x:c r="J133" s="7" t="n">
        <x:f>F133-G133</x:f>
        <x:v>-7</x:v>
      </x:c>
      <x:c r="K133" s="7" t="n">
        <x:f>F133+G133</x:f>
        <x:v>19</x:v>
      </x:c>
      <x:c r="L133" s="7" t="n">
        <x:v>8</x:v>
      </x:c>
      <x:c r="M133" s="7" t="n">
        <x:v>17</x:v>
      </x:c>
      <x:c r="N133" s="7" t="n">
        <x:v>4</x:v>
      </x:c>
      <x:c r="O133" s="9" t="n">
        <x:f>IF(M133=0,"n.a.",L133/M133)</x:f>
        <x:v>0.47058823529411764</x:v>
      </x:c>
      <x:c r="P133" s="9" t="n">
        <x:f>IF(K133=0,"n.a.",L133/K133)</x:f>
        <x:v>0.42105263157894735</x:v>
      </x:c>
      <x:c r="Q133" s="9" t="n">
        <x:f>IF(K133=0,"n.a.",M133/K133)</x:f>
        <x:v>0.8947368421052632</x:v>
      </x:c>
      <x:c r="R133" s="9" t="n">
        <x:f>IF(K133=0,"n.a.",N133/K133)</x:f>
        <x:v>0.21052631578947367</x:v>
      </x:c>
      <x:c r="S133" s="7" t="n">
        <x:v>-76</x:v>
      </x:c>
      <x:c r="T133" s="10" t="n">
        <x:v>0.24</x:v>
      </x:c>
      <x:c r="U133" s="7" t="n">
        <x:v>132</x:v>
      </x:c>
      <x:c r="V133" s="7" t="n">
        <x:v>139</x:v>
      </x:c>
    </x:row>
    <x:row r="134" ht="16" customHeight="1">
      <x:c r="A134" s="7" t="n">
        <x:v>131</x:v>
      </x:c>
      <x:c r="B134" s="8" t="n">
        <x:v>45878</x:v>
      </x:c>
      <x:c r="C134" s="7" t="str">
        <x:v>Lotus</x:v>
      </x:c>
      <x:c r="D134" s="7" t="str">
        <x:v>4th</x:v>
      </x:c>
      <x:c r="E134" s="7" t="str">
        <x:v>Neon</x:v>
      </x:c>
      <x:c r="F134" s="7" t="n">
        <x:v>13</x:v>
      </x:c>
      <x:c r="G134" s="7" t="n">
        <x:v>11</x:v>
      </x:c>
      <x:c r="H134" s="7" t="str">
        <x:f>IF(F134&gt;G134,"Win",IF(F134&lt;G134,"Loss","Draw"))</x:f>
        <x:v>Win</x:v>
      </x:c>
      <x:c r="I134" s="7" t="n">
        <x:f>IF(H134="Win",1,0)</x:f>
        <x:v>1</x:v>
      </x:c>
      <x:c r="J134" s="7" t="n">
        <x:f>F134-G134</x:f>
        <x:v>2</x:v>
      </x:c>
      <x:c r="K134" s="7" t="n">
        <x:f>F134+G134</x:f>
        <x:v>24</x:v>
      </x:c>
      <x:c r="L134" s="7" t="n">
        <x:v>20</x:v>
      </x:c>
      <x:c r="M134" s="7" t="n">
        <x:v>20</x:v>
      </x:c>
      <x:c r="N134" s="7" t="n">
        <x:v>4</x:v>
      </x:c>
      <x:c r="O134" s="9" t="n">
        <x:f>IF(M134=0,"n.a.",L134/M134)</x:f>
        <x:v>1</x:v>
      </x:c>
      <x:c r="P134" s="9" t="n">
        <x:f>IF(K134=0,"n.a.",L134/K134)</x:f>
        <x:v>0.8333333333333334</x:v>
      </x:c>
      <x:c r="Q134" s="9" t="n">
        <x:f>IF(K134=0,"n.a.",M134/K134)</x:f>
        <x:v>0.8333333333333334</x:v>
      </x:c>
      <x:c r="R134" s="9" t="n">
        <x:f>IF(K134=0,"n.a.",N134/K134)</x:f>
        <x:v>0.16666666666666666</x:v>
      </x:c>
      <x:c r="S134" s="7" t="n">
        <x:v>10</x:v>
      </x:c>
      <x:c r="T134" s="10" t="n">
        <x:v>0.24</x:v>
      </x:c>
      <x:c r="U134" s="7" t="n">
        <x:v>242</x:v>
      </x:c>
      <x:c r="V134" s="7" t="n">
        <x:v>642</x:v>
      </x:c>
    </x:row>
    <x:row r="135" ht="16" customHeight="1">
      <x:c r="A135" s="7" t="n">
        <x:v>132</x:v>
      </x:c>
      <x:c r="B135" s="8" t="n">
        <x:v>45878</x:v>
      </x:c>
      <x:c r="C135" s="7" t="str">
        <x:v>Bind</x:v>
      </x:c>
      <x:c r="D135" s="7" t="str">
        <x:v>3rd</x:v>
      </x:c>
      <x:c r="E135" s="7" t="str">
        <x:v>Neon</x:v>
      </x:c>
      <x:c r="F135" s="7" t="n">
        <x:v>13</x:v>
      </x:c>
      <x:c r="G135" s="7" t="n">
        <x:v>8</x:v>
      </x:c>
      <x:c r="H135" s="7" t="str">
        <x:f>IF(F135&gt;G135,"Win",IF(F135&lt;G135,"Loss","Draw"))</x:f>
        <x:v>Win</x:v>
      </x:c>
      <x:c r="I135" s="7" t="n">
        <x:f>IF(H135="Win",1,0)</x:f>
        <x:v>1</x:v>
      </x:c>
      <x:c r="J135" s="7" t="n">
        <x:f>F135-G135</x:f>
        <x:v>5</x:v>
      </x:c>
      <x:c r="K135" s="7" t="n">
        <x:f>F135+G135</x:f>
        <x:v>21</x:v>
      </x:c>
      <x:c r="L135" s="7" t="n">
        <x:v>20</x:v>
      </x:c>
      <x:c r="M135" s="7" t="n">
        <x:v>17</x:v>
      </x:c>
      <x:c r="N135" s="7" t="n">
        <x:v>6</x:v>
      </x:c>
      <x:c r="O135" s="9" t="n">
        <x:f>IF(M135=0,"n.a.",L135/M135)</x:f>
        <x:v>1.1764705882352942</x:v>
      </x:c>
      <x:c r="P135" s="9" t="n">
        <x:f>IF(K135=0,"n.a.",L135/K135)</x:f>
        <x:v>0.9523809523809523</x:v>
      </x:c>
      <x:c r="Q135" s="9" t="n">
        <x:f>IF(K135=0,"n.a.",M135/K135)</x:f>
        <x:v>0.8095238095238095</x:v>
      </x:c>
      <x:c r="R135" s="9" t="n">
        <x:f>IF(K135=0,"n.a.",N135/K135)</x:f>
        <x:v>0.2857142857142857</x:v>
      </x:c>
      <x:c r="S135" s="7" t="n">
        <x:v>-9</x:v>
      </x:c>
      <x:c r="T135" s="10" t="n">
        <x:v>0.15</x:v>
      </x:c>
      <x:c r="U135" s="7" t="n">
        <x:v>272</x:v>
      </x:c>
      <x:c r="V135" s="7" t="n">
        <x:v>725</x:v>
      </x:c>
    </x:row>
    <x:row r="136" ht="16" customHeight="1">
      <x:c r="A136" s="7" t="n">
        <x:v>133</x:v>
      </x:c>
      <x:c r="B136" s="8" t="n">
        <x:v>45878</x:v>
      </x:c>
      <x:c r="C136" s="7" t="str">
        <x:v>Corrode</x:v>
      </x:c>
      <x:c r="D136" s="7" t="str">
        <x:v>MVP</x:v>
      </x:c>
      <x:c r="E136" s="7" t="str">
        <x:v>Neon</x:v>
      </x:c>
      <x:c r="F136" s="7" t="n">
        <x:v>13</x:v>
      </x:c>
      <x:c r="G136" s="7" t="n">
        <x:v>9</x:v>
      </x:c>
      <x:c r="H136" s="7" t="str">
        <x:f>IF(F136&gt;G136,"Win",IF(F136&lt;G136,"Loss","Draw"))</x:f>
        <x:v>Win</x:v>
      </x:c>
      <x:c r="I136" s="7" t="n">
        <x:f>IF(H136="Win",1,0)</x:f>
        <x:v>1</x:v>
      </x:c>
      <x:c r="J136" s="7" t="n">
        <x:f>F136-G136</x:f>
        <x:v>4</x:v>
      </x:c>
      <x:c r="K136" s="7" t="n">
        <x:f>F136+G136</x:f>
        <x:v>22</x:v>
      </x:c>
      <x:c r="L136" s="7" t="n">
        <x:v>32</x:v>
      </x:c>
      <x:c r="M136" s="7" t="n">
        <x:v>16</x:v>
      </x:c>
      <x:c r="N136" s="7" t="n">
        <x:v>0</x:v>
      </x:c>
      <x:c r="O136" s="9" t="n">
        <x:f>IF(M136=0,"n.a.",L136/M136)</x:f>
        <x:v>2</x:v>
      </x:c>
      <x:c r="P136" s="9" t="n">
        <x:f>IF(K136=0,"n.a.",L136/K136)</x:f>
        <x:v>1.4545454545454546</x:v>
      </x:c>
      <x:c r="Q136" s="9" t="n">
        <x:f>IF(K136=0,"n.a.",M136/K136)</x:f>
        <x:v>0.7272727272727273</x:v>
      </x:c>
      <x:c r="R136" s="9" t="n">
        <x:f>IF(K136=0,"n.a.",N136/K136)</x:f>
        <x:v>0</x:v>
      </x:c>
      <x:c r="S136" s="7" t="n">
        <x:v>70</x:v>
      </x:c>
      <x:c r="T136" s="10" t="n">
        <x:v>0.23</x:v>
      </x:c>
      <x:c r="U136" s="7" t="n">
        <x:v>392</x:v>
      </x:c>
      <x:c r="V136" s="7" t="n">
        <x:v>855</x:v>
      </x:c>
    </x:row>
    <x:row r="137" ht="16" customHeight="1">
      <x:c r="A137" s="7" t="n">
        <x:v>134</x:v>
      </x:c>
      <x:c r="B137" s="8" t="n">
        <x:v>45878</x:v>
      </x:c>
      <x:c r="C137" s="7" t="str">
        <x:v>Ascent</x:v>
      </x:c>
      <x:c r="D137" s="7" t="str">
        <x:v>MVP</x:v>
      </x:c>
      <x:c r="E137" s="7" t="str">
        <x:v>Neon</x:v>
      </x:c>
      <x:c r="F137" s="7" t="n">
        <x:v>5</x:v>
      </x:c>
      <x:c r="G137" s="7" t="n">
        <x:v>13</x:v>
      </x:c>
      <x:c r="H137" s="7" t="str">
        <x:f>IF(F137&gt;G137,"Win",IF(F137&lt;G137,"Loss","Draw"))</x:f>
        <x:v>Loss</x:v>
      </x:c>
      <x:c r="I137" s="7" t="n">
        <x:f>IF(H137="Win",1,0)</x:f>
        <x:v>0</x:v>
      </x:c>
      <x:c r="J137" s="7" t="n">
        <x:f>F137-G137</x:f>
        <x:v>-8</x:v>
      </x:c>
      <x:c r="K137" s="7" t="n">
        <x:f>F137+G137</x:f>
        <x:v>18</x:v>
      </x:c>
      <x:c r="L137" s="7" t="n">
        <x:v>18</x:v>
      </x:c>
      <x:c r="M137" s="7" t="n">
        <x:v>16</x:v>
      </x:c>
      <x:c r="N137" s="7" t="n">
        <x:v>1</x:v>
      </x:c>
      <x:c r="O137" s="9" t="n">
        <x:f>IF(M137=0,"n.a.",L137/M137)</x:f>
        <x:v>1.125</x:v>
      </x:c>
      <x:c r="P137" s="9" t="n">
        <x:f>IF(K137=0,"n.a.",L137/K137)</x:f>
        <x:v>1</x:v>
      </x:c>
      <x:c r="Q137" s="9" t="n">
        <x:f>IF(K137=0,"n.a.",M137/K137)</x:f>
        <x:v>0.8888888888888888</x:v>
      </x:c>
      <x:c r="R137" s="9" t="n">
        <x:f>IF(K137=0,"n.a.",N137/K137)</x:f>
        <x:v>0.05555555555555555</x:v>
      </x:c>
      <x:c r="S137" s="7" t="n">
        <x:v>14</x:v>
      </x:c>
      <x:c r="T137" s="10" t="n">
        <x:v>0.35</x:v>
      </x:c>
      <x:c r="U137" s="7" t="n">
        <x:v>299</x:v>
      </x:c>
      <x:c r="V137" s="7" t="n">
        <x:v>507</x:v>
      </x:c>
    </x:row>
    <x:row r="138" ht="16" customHeight="1">
      <x:c r="A138" s="7" t="n">
        <x:v>135</x:v>
      </x:c>
      <x:c r="B138" s="8" t="n">
        <x:v>45878</x:v>
      </x:c>
      <x:c r="C138" s="7" t="str">
        <x:v>Lotus</x:v>
      </x:c>
      <x:c r="D138" s="7" t="str">
        <x:v>8th</x:v>
      </x:c>
      <x:c r="E138" s="7" t="str">
        <x:v>Brimstone</x:v>
      </x:c>
      <x:c r="F138" s="7" t="n">
        <x:v>6</x:v>
      </x:c>
      <x:c r="G138" s="7" t="n">
        <x:v>13</x:v>
      </x:c>
      <x:c r="H138" s="7" t="str">
        <x:f>IF(F138&gt;G138,"Win",IF(F138&lt;G138,"Loss","Draw"))</x:f>
        <x:v>Loss</x:v>
      </x:c>
      <x:c r="I138" s="7" t="n">
        <x:f>IF(H138="Win",1,0)</x:f>
        <x:v>0</x:v>
      </x:c>
      <x:c r="J138" s="7" t="n">
        <x:f>F138-G138</x:f>
        <x:v>-7</x:v>
      </x:c>
      <x:c r="K138" s="7" t="n">
        <x:f>F138+G138</x:f>
        <x:v>19</x:v>
      </x:c>
      <x:c r="L138" s="7" t="n">
        <x:v>14</x:v>
      </x:c>
      <x:c r="M138" s="7" t="n">
        <x:v>18</x:v>
      </x:c>
      <x:c r="N138" s="7" t="n">
        <x:v>3</x:v>
      </x:c>
      <x:c r="O138" s="9" t="n">
        <x:f>IF(M138=0,"n.a.",L138/M138)</x:f>
        <x:v>0.7777777777777778</x:v>
      </x:c>
      <x:c r="P138" s="9" t="n">
        <x:f>IF(K138=0,"n.a.",L138/K138)</x:f>
        <x:v>0.7368421052631579</x:v>
      </x:c>
      <x:c r="Q138" s="9" t="n">
        <x:f>IF(K138=0,"n.a.",M138/K138)</x:f>
        <x:v>0.9473684210526315</x:v>
      </x:c>
      <x:c r="R138" s="9" t="n">
        <x:f>IF(K138=0,"n.a.",N138/K138)</x:f>
        <x:v>0.15789473684210525</x:v>
      </x:c>
      <x:c r="S138" s="7" t="n">
        <x:v>-57</x:v>
      </x:c>
      <x:c r="T138" s="10" t="n">
        <x:v>0.13</x:v>
      </x:c>
      <x:c r="U138" s="7" t="n">
        <x:v>201</x:v>
      </x:c>
      <x:c r="V138" s="7" t="n">
        <x:v>339</x:v>
      </x:c>
    </x:row>
    <x:row r="139" ht="16" customHeight="1">
      <x:c r="A139" s="7" t="n">
        <x:v>136</x:v>
      </x:c>
      <x:c r="B139" s="8" t="n">
        <x:v>45879</x:v>
      </x:c>
      <x:c r="C139" s="7" t="str">
        <x:v>Icebox</x:v>
      </x:c>
      <x:c r="D139" s="7" t="str">
        <x:v>3rd</x:v>
      </x:c>
      <x:c r="E139" s="7" t="str">
        <x:v>Neon</x:v>
      </x:c>
      <x:c r="F139" s="7" t="n">
        <x:v>13</x:v>
      </x:c>
      <x:c r="G139" s="7" t="n">
        <x:v>11</x:v>
      </x:c>
      <x:c r="H139" s="7" t="str">
        <x:f>IF(F139&gt;G139,"Win",IF(F139&lt;G139,"Loss","Draw"))</x:f>
        <x:v>Win</x:v>
      </x:c>
      <x:c r="I139" s="7" t="n">
        <x:f>IF(H139="Win",1,0)</x:f>
        <x:v>1</x:v>
      </x:c>
      <x:c r="J139" s="7" t="n">
        <x:f>F139-G139</x:f>
        <x:v>2</x:v>
      </x:c>
      <x:c r="K139" s="7" t="n">
        <x:f>F139+G139</x:f>
        <x:v>24</x:v>
      </x:c>
      <x:c r="L139" s="7" t="n">
        <x:v>22</x:v>
      </x:c>
      <x:c r="M139" s="7" t="n">
        <x:v>21</x:v>
      </x:c>
      <x:c r="N139" s="7" t="n">
        <x:v>3</x:v>
      </x:c>
      <x:c r="O139" s="9" t="n">
        <x:f>IF(M139=0,"n.a.",L139/M139)</x:f>
        <x:v>1.0476190476190477</x:v>
      </x:c>
      <x:c r="P139" s="9" t="n">
        <x:f>IF(K139=0,"n.a.",L139/K139)</x:f>
        <x:v>0.9166666666666666</x:v>
      </x:c>
      <x:c r="Q139" s="9" t="n">
        <x:f>IF(K139=0,"n.a.",M139/K139)</x:f>
        <x:v>0.875</x:v>
      </x:c>
      <x:c r="R139" s="9" t="n">
        <x:f>IF(K139=0,"n.a.",N139/K139)</x:f>
        <x:v>0.125</x:v>
      </x:c>
      <x:c r="S139" s="7" t="n">
        <x:v>12</x:v>
      </x:c>
      <x:c r="T139" s="10" t="n">
        <x:v>0.2</x:v>
      </x:c>
      <x:c r="U139" s="7" t="n">
        <x:v>261</x:v>
      </x:c>
      <x:c r="V139" s="7" t="n">
        <x:v>672</x:v>
      </x:c>
    </x:row>
    <x:row r="140" ht="16" customHeight="1">
      <x:c r="A140" s="7" t="n">
        <x:v>137</x:v>
      </x:c>
      <x:c r="B140" s="8" t="n">
        <x:v>45879</x:v>
      </x:c>
      <x:c r="C140" s="7" t="str">
        <x:v>Sunset</x:v>
      </x:c>
      <x:c r="D140" s="7" t="str">
        <x:v>8th</x:v>
      </x:c>
      <x:c r="E140" s="7" t="str">
        <x:v>Neon</x:v>
      </x:c>
      <x:c r="F140" s="7" t="n">
        <x:v>13</x:v>
      </x:c>
      <x:c r="G140" s="7" t="n">
        <x:v>10</x:v>
      </x:c>
      <x:c r="H140" s="7" t="str">
        <x:f>IF(F140&gt;G140,"Win",IF(F140&lt;G140,"Loss","Draw"))</x:f>
        <x:v>Win</x:v>
      </x:c>
      <x:c r="I140" s="7" t="n">
        <x:f>IF(H140="Win",1,0)</x:f>
        <x:v>1</x:v>
      </x:c>
      <x:c r="J140" s="7" t="n">
        <x:f>F140-G140</x:f>
        <x:v>3</x:v>
      </x:c>
      <x:c r="K140" s="7" t="n">
        <x:f>F140+G140</x:f>
        <x:v>23</x:v>
      </x:c>
      <x:c r="L140" s="7" t="n">
        <x:v>14</x:v>
      </x:c>
      <x:c r="M140" s="7" t="n">
        <x:v>20</x:v>
      </x:c>
      <x:c r="N140" s="7" t="n">
        <x:v>3</x:v>
      </x:c>
      <x:c r="O140" s="9" t="n">
        <x:f>IF(M140=0,"n.a.",L140/M140)</x:f>
        <x:v>0.7</x:v>
      </x:c>
      <x:c r="P140" s="9" t="n">
        <x:f>IF(K140=0,"n.a.",L140/K140)</x:f>
        <x:v>0.6086956521739131</x:v>
      </x:c>
      <x:c r="Q140" s="9" t="n">
        <x:f>IF(K140=0,"n.a.",M140/K140)</x:f>
        <x:v>0.8695652173913043</x:v>
      </x:c>
      <x:c r="R140" s="9" t="n">
        <x:f>IF(K140=0,"n.a.",N140/K140)</x:f>
        <x:v>0.13043478260869565</x:v>
      </x:c>
      <x:c r="S140" s="7" t="n">
        <x:v>-57</x:v>
      </x:c>
      <x:c r="T140" s="10" t="n">
        <x:v>0.18</x:v>
      </x:c>
      <x:c r="U140" s="7" t="n">
        <x:v>170</x:v>
      </x:c>
      <x:c r="V140" s="7" t="n">
        <x:v>337</x:v>
      </x:c>
    </x:row>
    <x:row r="141" ht="16" customHeight="1">
      <x:c r="A141" s="7" t="n">
        <x:v>138</x:v>
      </x:c>
      <x:c r="B141" s="8" t="n">
        <x:v>45879</x:v>
      </x:c>
      <x:c r="C141" s="7" t="str">
        <x:v>Haven</x:v>
      </x:c>
      <x:c r="D141" s="7" t="str">
        <x:v>2nd</x:v>
      </x:c>
      <x:c r="E141" s="7" t="str">
        <x:v>Neon</x:v>
      </x:c>
      <x:c r="F141" s="7" t="n">
        <x:v>7</x:v>
      </x:c>
      <x:c r="G141" s="7" t="n">
        <x:v>13</x:v>
      </x:c>
      <x:c r="H141" s="7" t="str">
        <x:f>IF(F141&gt;G141,"Win",IF(F141&lt;G141,"Loss","Draw"))</x:f>
        <x:v>Loss</x:v>
      </x:c>
      <x:c r="I141" s="7" t="n">
        <x:f>IF(H141="Win",1,0)</x:f>
        <x:v>0</x:v>
      </x:c>
      <x:c r="J141" s="7" t="n">
        <x:f>F141-G141</x:f>
        <x:v>-6</x:v>
      </x:c>
      <x:c r="K141" s="7" t="n">
        <x:f>F141+G141</x:f>
        <x:v>20</x:v>
      </x:c>
      <x:c r="L141" s="7" t="n">
        <x:v>26</x:v>
      </x:c>
      <x:c r="M141" s="7" t="n">
        <x:v>16</x:v>
      </x:c>
      <x:c r="N141" s="7" t="n">
        <x:v>4</x:v>
      </x:c>
      <x:c r="O141" s="9" t="n">
        <x:f>IF(M141=0,"n.a.",L141/M141)</x:f>
        <x:v>1.625</x:v>
      </x:c>
      <x:c r="P141" s="9" t="n">
        <x:f>IF(K141=0,"n.a.",L141/K141)</x:f>
        <x:v>1.3</x:v>
      </x:c>
      <x:c r="Q141" s="9" t="n">
        <x:f>IF(K141=0,"n.a.",M141/K141)</x:f>
        <x:v>0.8</x:v>
      </x:c>
      <x:c r="R141" s="9" t="n">
        <x:f>IF(K141=0,"n.a.",N141/K141)</x:f>
        <x:v>0.2</x:v>
      </x:c>
      <x:c r="S141" s="7" t="n">
        <x:v>79</x:v>
      </x:c>
      <x:c r="T141" s="10" t="n">
        <x:v>0.15</x:v>
      </x:c>
      <x:c r="U141" s="7" t="n">
        <x:v>378</x:v>
      </x:c>
      <x:c r="V141" s="7" t="n">
        <x:v>854</x:v>
      </x:c>
    </x:row>
    <x:row r="142" ht="16" customHeight="1">
      <x:c r="A142" s="7" t="n">
        <x:v>139</x:v>
      </x:c>
      <x:c r="B142" s="8" t="n">
        <x:v>45879</x:v>
      </x:c>
      <x:c r="C142" s="7" t="str">
        <x:v>Icebox</x:v>
      </x:c>
      <x:c r="D142" s="7" t="str">
        <x:v>2nd</x:v>
      </x:c>
      <x:c r="E142" s="7" t="str">
        <x:v>Neon</x:v>
      </x:c>
      <x:c r="F142" s="7" t="n">
        <x:v>13</x:v>
      </x:c>
      <x:c r="G142" s="7" t="n">
        <x:v>10</x:v>
      </x:c>
      <x:c r="H142" s="7" t="str">
        <x:f>IF(F142&gt;G142,"Win",IF(F142&lt;G142,"Loss","Draw"))</x:f>
        <x:v>Win</x:v>
      </x:c>
      <x:c r="I142" s="7" t="n">
        <x:f>IF(H142="Win",1,0)</x:f>
        <x:v>1</x:v>
      </x:c>
      <x:c r="J142" s="7" t="n">
        <x:f>F142-G142</x:f>
        <x:v>3</x:v>
      </x:c>
      <x:c r="K142" s="7" t="n">
        <x:f>F142+G142</x:f>
        <x:v>23</x:v>
      </x:c>
      <x:c r="L142" s="7" t="n">
        <x:v>22</x:v>
      </x:c>
      <x:c r="M142" s="7" t="n">
        <x:v>17</x:v>
      </x:c>
      <x:c r="N142" s="7" t="n">
        <x:v>3</x:v>
      </x:c>
      <x:c r="O142" s="9" t="n">
        <x:f>IF(M142=0,"n.a.",L142/M142)</x:f>
        <x:v>1.2941176470588236</x:v>
      </x:c>
      <x:c r="P142" s="9" t="n">
        <x:f>IF(K142=0,"n.a.",L142/K142)</x:f>
        <x:v>0.9565217391304348</x:v>
      </x:c>
      <x:c r="Q142" s="9" t="n">
        <x:f>IF(K142=0,"n.a.",M142/K142)</x:f>
        <x:v>0.7391304347826086</x:v>
      </x:c>
      <x:c r="R142" s="9" t="n">
        <x:f>IF(K142=0,"n.a.",N142/K142)</x:f>
        <x:v>0.13043478260869565</x:v>
      </x:c>
      <x:c r="S142" s="7" t="n">
        <x:v>41</x:v>
      </x:c>
      <x:c r="T142" s="10" t="n">
        <x:v>0.26</x:v>
      </x:c>
      <x:c r="U142" s="7" t="n">
        <x:v>290</x:v>
      </x:c>
      <x:c r="V142" s="7" t="n">
        <x:v>753</x:v>
      </x:c>
    </x:row>
    <x:row r="143" ht="16" customHeight="1">
      <x:c r="A143" s="7" t="n">
        <x:v>140</x:v>
      </x:c>
      <x:c r="B143" s="8" t="n">
        <x:v>45879</x:v>
      </x:c>
      <x:c r="C143" s="7" t="str">
        <x:v>Haven</x:v>
      </x:c>
      <x:c r="D143" s="7" t="str">
        <x:v>MVP</x:v>
      </x:c>
      <x:c r="E143" s="7" t="str">
        <x:v>Neon</x:v>
      </x:c>
      <x:c r="F143" s="7" t="n">
        <x:v>13</x:v>
      </x:c>
      <x:c r="G143" s="7" t="n">
        <x:v>2</x:v>
      </x:c>
      <x:c r="H143" s="7" t="str">
        <x:f>IF(F143&gt;G143,"Win",IF(F143&lt;G143,"Loss","Draw"))</x:f>
        <x:v>Win</x:v>
      </x:c>
      <x:c r="I143" s="7" t="n">
        <x:f>IF(H143="Win",1,0)</x:f>
        <x:v>1</x:v>
      </x:c>
      <x:c r="J143" s="7" t="n">
        <x:f>F143-G143</x:f>
        <x:v>11</x:v>
      </x:c>
      <x:c r="K143" s="7" t="n">
        <x:f>F143+G143</x:f>
        <x:v>15</x:v>
      </x:c>
      <x:c r="L143" s="7" t="n">
        <x:v>19</x:v>
      </x:c>
      <x:c r="M143" s="7" t="n">
        <x:v>11</x:v>
      </x:c>
      <x:c r="N143" s="7" t="n">
        <x:v>1</x:v>
      </x:c>
      <x:c r="O143" s="9" t="n">
        <x:f>IF(M143=0,"n.a.",L143/M143)</x:f>
        <x:v>1.7272727272727273</x:v>
      </x:c>
      <x:c r="P143" s="9" t="n">
        <x:f>IF(K143=0,"n.a.",L143/K143)</x:f>
        <x:v>1.2666666666666666</x:v>
      </x:c>
      <x:c r="Q143" s="9" t="n">
        <x:f>IF(K143=0,"n.a.",M143/K143)</x:f>
        <x:v>0.7333333333333333</x:v>
      </x:c>
      <x:c r="R143" s="9" t="n">
        <x:f>IF(K143=0,"n.a.",N143/K143)</x:f>
        <x:v>0.06666666666666667</x:v>
      </x:c>
      <x:c r="S143" s="7" t="n">
        <x:v>51</x:v>
      </x:c>
      <x:c r="T143" s="10" t="n">
        <x:v>0.2</x:v>
      </x:c>
      <x:c r="U143" s="7" t="n">
        <x:v>335</x:v>
      </x:c>
      <x:c r="V143" s="7" t="n">
        <x:v>831</x:v>
      </x:c>
    </x:row>
    <x:row r="144" ht="16" customHeight="1">
      <x:c r="A144" s="7" t="n">
        <x:v>141</x:v>
      </x:c>
      <x:c r="B144" s="8" t="n">
        <x:v>45879</x:v>
      </x:c>
      <x:c r="C144" s="7" t="str">
        <x:v>Lotus</x:v>
      </x:c>
      <x:c r="D144" s="7" t="str">
        <x:v>2nd</x:v>
      </x:c>
      <x:c r="E144" s="7" t="str">
        <x:v>Neon</x:v>
      </x:c>
      <x:c r="F144" s="7" t="n">
        <x:v>7</x:v>
      </x:c>
      <x:c r="G144" s="7" t="n">
        <x:v>13</x:v>
      </x:c>
      <x:c r="H144" s="7" t="str">
        <x:f>IF(F144&gt;G144,"Win",IF(F144&lt;G144,"Loss","Draw"))</x:f>
        <x:v>Loss</x:v>
      </x:c>
      <x:c r="I144" s="7" t="n">
        <x:f>IF(H144="Win",1,0)</x:f>
        <x:v>0</x:v>
      </x:c>
      <x:c r="J144" s="7" t="n">
        <x:f>F144-G144</x:f>
        <x:v>-6</x:v>
      </x:c>
      <x:c r="K144" s="7" t="n">
        <x:f>F144+G144</x:f>
        <x:v>20</x:v>
      </x:c>
      <x:c r="L144" s="7" t="n">
        <x:v>18</x:v>
      </x:c>
      <x:c r="M144" s="7" t="n">
        <x:v>16</x:v>
      </x:c>
      <x:c r="N144" s="7" t="n">
        <x:v>1</x:v>
      </x:c>
      <x:c r="O144" s="9" t="n">
        <x:f>IF(M144=0,"n.a.",L144/M144)</x:f>
        <x:v>1.125</x:v>
      </x:c>
      <x:c r="P144" s="9" t="n">
        <x:f>IF(K144=0,"n.a.",L144/K144)</x:f>
        <x:v>0.9</x:v>
      </x:c>
      <x:c r="Q144" s="9" t="n">
        <x:f>IF(K144=0,"n.a.",M144/K144)</x:f>
        <x:v>0.8</x:v>
      </x:c>
      <x:c r="R144" s="9" t="n">
        <x:f>IF(K144=0,"n.a.",N144/K144)</x:f>
        <x:v>0.05</x:v>
      </x:c>
      <x:c r="S144" s="7" t="n">
        <x:v>10</x:v>
      </x:c>
      <x:c r="T144" s="10" t="n">
        <x:v>0.14</x:v>
      </x:c>
      <x:c r="U144" s="7" t="n">
        <x:v>254</x:v>
      </x:c>
      <x:c r="V144" s="7" t="n">
        <x:v>670</x:v>
      </x:c>
    </x:row>
    <x:row r="145" ht="16" customHeight="1">
      <x:c r="A145" s="7" t="n">
        <x:v>142</x:v>
      </x:c>
      <x:c r="B145" s="8" t="n">
        <x:v>45879</x:v>
      </x:c>
      <x:c r="C145" s="7" t="str">
        <x:v>Lotus</x:v>
      </x:c>
      <x:c r="D145" s="7" t="str">
        <x:v>2nd</x:v>
      </x:c>
      <x:c r="E145" s="7" t="str">
        <x:v>Neon</x:v>
      </x:c>
      <x:c r="F145" s="7" t="n">
        <x:v>13</x:v>
      </x:c>
      <x:c r="G145" s="7" t="n">
        <x:v>7</x:v>
      </x:c>
      <x:c r="H145" s="7" t="str">
        <x:f>IF(F145&gt;G145,"Win",IF(F145&lt;G145,"Loss","Draw"))</x:f>
        <x:v>Win</x:v>
      </x:c>
      <x:c r="I145" s="7" t="n">
        <x:f>IF(H145="Win",1,0)</x:f>
        <x:v>1</x:v>
      </x:c>
      <x:c r="J145" s="7" t="n">
        <x:f>F145-G145</x:f>
        <x:v>6</x:v>
      </x:c>
      <x:c r="K145" s="7" t="n">
        <x:f>F145+G145</x:f>
        <x:v>20</x:v>
      </x:c>
      <x:c r="L145" s="7" t="n">
        <x:v>20</x:v>
      </x:c>
      <x:c r="M145" s="7" t="n">
        <x:v>15</x:v>
      </x:c>
      <x:c r="N145" s="7" t="n">
        <x:v>4</x:v>
      </x:c>
      <x:c r="O145" s="9" t="n">
        <x:f>IF(M145=0,"n.a.",L145/M145)</x:f>
        <x:v>1.3333333333333333</x:v>
      </x:c>
      <x:c r="P145" s="9" t="n">
        <x:f>IF(K145=0,"n.a.",L145/K145)</x:f>
        <x:v>1</x:v>
      </x:c>
      <x:c r="Q145" s="9" t="n">
        <x:f>IF(K145=0,"n.a.",M145/K145)</x:f>
        <x:v>0.75</x:v>
      </x:c>
      <x:c r="R145" s="9" t="n">
        <x:f>IF(K145=0,"n.a.",N145/K145)</x:f>
        <x:v>0.2</x:v>
      </x:c>
      <x:c r="S145" s="7" t="n">
        <x:v>32</x:v>
      </x:c>
      <x:c r="T145" s="10" t="n">
        <x:v>0.28</x:v>
      </x:c>
      <x:c r="U145" s="7" t="n">
        <x:v>263</x:v>
      </x:c>
      <x:c r="V145" s="7" t="n">
        <x:v>776</x:v>
      </x:c>
    </x:row>
    <x:row r="146" ht="16" customHeight="1">
      <x:c r="A146" s="7" t="n">
        <x:v>143</x:v>
      </x:c>
      <x:c r="B146" s="8" t="n">
        <x:v>45879</x:v>
      </x:c>
      <x:c r="C146" s="7" t="str">
        <x:v>Icebox</x:v>
      </x:c>
      <x:c r="D146" s="7" t="str">
        <x:v>4th</x:v>
      </x:c>
      <x:c r="E146" s="7" t="str">
        <x:v>Neon</x:v>
      </x:c>
      <x:c r="F146" s="7" t="n">
        <x:v>13</x:v>
      </x:c>
      <x:c r="G146" s="7" t="n">
        <x:v>2</x:v>
      </x:c>
      <x:c r="H146" s="7" t="str">
        <x:f>IF(F146&gt;G146,"Win",IF(F146&lt;G146,"Loss","Draw"))</x:f>
        <x:v>Win</x:v>
      </x:c>
      <x:c r="I146" s="7" t="n">
        <x:f>IF(H146="Win",1,0)</x:f>
        <x:v>1</x:v>
      </x:c>
      <x:c r="J146" s="7" t="n">
        <x:f>F146-G146</x:f>
        <x:v>11</x:v>
      </x:c>
      <x:c r="K146" s="7" t="n">
        <x:f>F146+G146</x:f>
        <x:v>15</x:v>
      </x:c>
      <x:c r="L146" s="7" t="n">
        <x:v>11</x:v>
      </x:c>
      <x:c r="M146" s="7" t="n">
        <x:v>12</x:v>
      </x:c>
      <x:c r="N146" s="7" t="n">
        <x:v>2</x:v>
      </x:c>
      <x:c r="O146" s="9" t="n">
        <x:f>IF(M146=0,"n.a.",L146/M146)</x:f>
        <x:v>0.9166666666666666</x:v>
      </x:c>
      <x:c r="P146" s="9" t="n">
        <x:f>IF(K146=0,"n.a.",L146/K146)</x:f>
        <x:v>0.7333333333333333</x:v>
      </x:c>
      <x:c r="Q146" s="9" t="n">
        <x:f>IF(K146=0,"n.a.",M146/K146)</x:f>
        <x:v>0.8</x:v>
      </x:c>
      <x:c r="R146" s="9" t="n">
        <x:f>IF(K146=0,"n.a.",N146/K146)</x:f>
        <x:v>0.13333333333333333</x:v>
      </x:c>
      <x:c r="S146" s="7" t="n">
        <x:v>-29</x:v>
      </x:c>
      <x:c r="T146" s="10" t="n">
        <x:v>0.25</x:v>
      </x:c>
      <x:c r="U146" s="7" t="n">
        <x:v>197</x:v>
      </x:c>
      <x:c r="V146" s="7" t="n">
        <x:v>543</x:v>
      </x:c>
    </x:row>
    <x:row r="147" ht="16" customHeight="1">
      <x:c r="A147" s="7" t="n">
        <x:v>144</x:v>
      </x:c>
      <x:c r="B147" s="8" t="n">
        <x:v>45880</x:v>
      </x:c>
      <x:c r="C147" s="7" t="str">
        <x:v>Ascent</x:v>
      </x:c>
      <x:c r="D147" s="7" t="str">
        <x:v>4th</x:v>
      </x:c>
      <x:c r="E147" s="7" t="str">
        <x:v>Neon</x:v>
      </x:c>
      <x:c r="F147" s="7" t="n">
        <x:v>13</x:v>
      </x:c>
      <x:c r="G147" s="7" t="n">
        <x:v>7</x:v>
      </x:c>
      <x:c r="H147" s="7" t="str">
        <x:f>IF(F147&gt;G147,"Win",IF(F147&lt;G147,"Loss","Draw"))</x:f>
        <x:v>Win</x:v>
      </x:c>
      <x:c r="I147" s="7" t="n">
        <x:f>IF(H147="Win",1,0)</x:f>
        <x:v>1</x:v>
      </x:c>
      <x:c r="J147" s="7" t="n">
        <x:f>F147-G147</x:f>
        <x:v>6</x:v>
      </x:c>
      <x:c r="K147" s="7" t="n">
        <x:f>F147+G147</x:f>
        <x:v>20</x:v>
      </x:c>
      <x:c r="L147" s="7" t="n">
        <x:v>17</x:v>
      </x:c>
      <x:c r="M147" s="7" t="n">
        <x:v>14</x:v>
      </x:c>
      <x:c r="N147" s="7" t="n">
        <x:v>3</x:v>
      </x:c>
      <x:c r="O147" s="9" t="n">
        <x:f>IF(M147=0,"n.a.",L147/M147)</x:f>
        <x:v>1.2142857142857142</x:v>
      </x:c>
      <x:c r="P147" s="9" t="n">
        <x:f>IF(K147=0,"n.a.",L147/K147)</x:f>
        <x:v>0.85</x:v>
      </x:c>
      <x:c r="Q147" s="9" t="n">
        <x:f>IF(K147=0,"n.a.",M147/K147)</x:f>
        <x:v>0.7</x:v>
      </x:c>
      <x:c r="R147" s="9" t="n">
        <x:f>IF(K147=0,"n.a.",N147/K147)</x:f>
        <x:v>0.15</x:v>
      </x:c>
      <x:c r="S147" s="7" t="n">
        <x:v>9</x:v>
      </x:c>
      <x:c r="T147" s="10" t="n">
        <x:v>0.11</x:v>
      </x:c>
      <x:c r="U147" s="7" t="n">
        <x:v>231</x:v>
      </x:c>
      <x:c r="V147" s="7" t="n">
        <x:v>640</x:v>
      </x:c>
    </x:row>
    <x:row r="148" ht="16" customHeight="1">
      <x:c r="A148" s="7" t="n">
        <x:v>145</x:v>
      </x:c>
      <x:c r="B148" s="8" t="n">
        <x:v>45880</x:v>
      </x:c>
      <x:c r="C148" s="7" t="str">
        <x:v>Lotus</x:v>
      </x:c>
      <x:c r="D148" s="7" t="str">
        <x:v>3rd</x:v>
      </x:c>
      <x:c r="E148" s="7" t="str">
        <x:v>Neon</x:v>
      </x:c>
      <x:c r="F148" s="7" t="n">
        <x:v>5</x:v>
      </x:c>
      <x:c r="G148" s="7" t="n">
        <x:v>13</x:v>
      </x:c>
      <x:c r="H148" s="7" t="str">
        <x:f>IF(F148&gt;G148,"Win",IF(F148&lt;G148,"Loss","Draw"))</x:f>
        <x:v>Loss</x:v>
      </x:c>
      <x:c r="I148" s="7" t="n">
        <x:f>IF(H148="Win",1,0)</x:f>
        <x:v>0</x:v>
      </x:c>
      <x:c r="J148" s="7" t="n">
        <x:f>F148-G148</x:f>
        <x:v>-8</x:v>
      </x:c>
      <x:c r="K148" s="7" t="n">
        <x:f>F148+G148</x:f>
        <x:v>18</x:v>
      </x:c>
      <x:c r="L148" s="7" t="n">
        <x:v>19</x:v>
      </x:c>
      <x:c r="M148" s="7" t="n">
        <x:v>14</x:v>
      </x:c>
      <x:c r="N148" s="7" t="n">
        <x:v>1</x:v>
      </x:c>
      <x:c r="O148" s="9" t="n">
        <x:f>IF(M148=0,"n.a.",L148/M148)</x:f>
        <x:v>1.3571428571428572</x:v>
      </x:c>
      <x:c r="P148" s="9" t="n">
        <x:f>IF(K148=0,"n.a.",L148/K148)</x:f>
        <x:v>1.0555555555555556</x:v>
      </x:c>
      <x:c r="Q148" s="9" t="n">
        <x:f>IF(K148=0,"n.a.",M148/K148)</x:f>
        <x:v>0.7777777777777778</x:v>
      </x:c>
      <x:c r="R148" s="9" t="n">
        <x:f>IF(K148=0,"n.a.",N148/K148)</x:f>
        <x:v>0.05555555555555555</x:v>
      </x:c>
      <x:c r="S148" s="7" t="n">
        <x:v>40</x:v>
      </x:c>
      <x:c r="T148" s="10" t="n">
        <x:v>0.22</x:v>
      </x:c>
      <x:c r="U148" s="7" t="n">
        <x:v>294</x:v>
      </x:c>
      <x:c r="V148" s="7" t="n">
        <x:v>542</x:v>
      </x:c>
    </x:row>
    <x:row r="149" ht="16" customHeight="1">
      <x:c r="A149" s="7" t="n">
        <x:v>146</x:v>
      </x:c>
      <x:c r="B149" s="8" t="n">
        <x:v>45880</x:v>
      </x:c>
      <x:c r="C149" s="7" t="str">
        <x:v>Corrode</x:v>
      </x:c>
      <x:c r="D149" s="7" t="str">
        <x:v>MVP</x:v>
      </x:c>
      <x:c r="E149" s="7" t="str">
        <x:v>Neon</x:v>
      </x:c>
      <x:c r="F149" s="7" t="n">
        <x:v>13</x:v>
      </x:c>
      <x:c r="G149" s="7" t="n">
        <x:v>9</x:v>
      </x:c>
      <x:c r="H149" s="7" t="str">
        <x:f>IF(F149&gt;G149,"Win",IF(F149&lt;G149,"Loss","Draw"))</x:f>
        <x:v>Win</x:v>
      </x:c>
      <x:c r="I149" s="7" t="n">
        <x:f>IF(H149="Win",1,0)</x:f>
        <x:v>1</x:v>
      </x:c>
      <x:c r="J149" s="7" t="n">
        <x:f>F149-G149</x:f>
        <x:v>4</x:v>
      </x:c>
      <x:c r="K149" s="7" t="n">
        <x:f>F149+G149</x:f>
        <x:v>22</x:v>
      </x:c>
      <x:c r="L149" s="7" t="n">
        <x:v>24</x:v>
      </x:c>
      <x:c r="M149" s="7" t="n">
        <x:v>15</x:v>
      </x:c>
      <x:c r="N149" s="7" t="n">
        <x:v>4</x:v>
      </x:c>
      <x:c r="O149" s="9" t="n">
        <x:f>IF(M149=0,"n.a.",L149/M149)</x:f>
        <x:v>1.6</x:v>
      </x:c>
      <x:c r="P149" s="9" t="n">
        <x:f>IF(K149=0,"n.a.",L149/K149)</x:f>
        <x:v>1.0909090909090908</x:v>
      </x:c>
      <x:c r="Q149" s="9" t="n">
        <x:f>IF(K149=0,"n.a.",M149/K149)</x:f>
        <x:v>0.6818181818181818</x:v>
      </x:c>
      <x:c r="R149" s="9" t="n">
        <x:f>IF(K149=0,"n.a.",N149/K149)</x:f>
        <x:v>0.18181818181818182</x:v>
      </x:c>
      <x:c r="S149" s="7" t="n">
        <x:v>66</x:v>
      </x:c>
      <x:c r="T149" s="10" t="n">
        <x:v>0.27</x:v>
      </x:c>
      <x:c r="U149" s="7" t="n">
        <x:v>306</x:v>
      </x:c>
      <x:c r="V149" s="7" t="n">
        <x:v>916</x:v>
      </x:c>
    </x:row>
    <x:row r="150" ht="16" customHeight="1">
      <x:c r="A150" s="7" t="n">
        <x:v>147</x:v>
      </x:c>
      <x:c r="B150" s="8" t="n">
        <x:v>45881</x:v>
      </x:c>
      <x:c r="C150" s="7" t="str">
        <x:v>Sunset</x:v>
      </x:c>
      <x:c r="D150" s="7" t="str">
        <x:v>7th</x:v>
      </x:c>
      <x:c r="E150" s="7" t="str">
        <x:v>Neon</x:v>
      </x:c>
      <x:c r="F150" s="7" t="n">
        <x:v>12</x:v>
      </x:c>
      <x:c r="G150" s="7" t="n">
        <x:v>14</x:v>
      </x:c>
      <x:c r="H150" s="7" t="str">
        <x:f>IF(F150&gt;G150,"Win",IF(F150&lt;G150,"Loss","Draw"))</x:f>
        <x:v>Loss</x:v>
      </x:c>
      <x:c r="I150" s="7" t="n">
        <x:f>IF(H150="Win",1,0)</x:f>
        <x:v>0</x:v>
      </x:c>
      <x:c r="J150" s="7" t="n">
        <x:f>F150-G150</x:f>
        <x:v>-2</x:v>
      </x:c>
      <x:c r="K150" s="7" t="n">
        <x:f>F150+G150</x:f>
        <x:v>26</x:v>
      </x:c>
      <x:c r="L150" s="7" t="n">
        <x:v>17</x:v>
      </x:c>
      <x:c r="M150" s="7" t="n">
        <x:v>22</x:v>
      </x:c>
      <x:c r="N150" s="7" t="n">
        <x:v>5</x:v>
      </x:c>
      <x:c r="O150" s="9" t="n">
        <x:f>IF(M150=0,"n.a.",L150/M150)</x:f>
        <x:v>0.7727272727272727</x:v>
      </x:c>
      <x:c r="P150" s="9" t="n">
        <x:f>IF(K150=0,"n.a.",L150/K150)</x:f>
        <x:v>0.6538461538461539</x:v>
      </x:c>
      <x:c r="Q150" s="9" t="n">
        <x:f>IF(K150=0,"n.a.",M150/K150)</x:f>
        <x:v>0.8461538461538461</x:v>
      </x:c>
      <x:c r="R150" s="9" t="n">
        <x:f>IF(K150=0,"n.a.",N150/K150)</x:f>
        <x:v>0.19230769230769232</x:v>
      </x:c>
      <x:c r="S150" s="7" t="n">
        <x:v>-2</x:v>
      </x:c>
      <x:c r="T150" s="10" t="n">
        <x:v>0.27</x:v>
      </x:c>
      <x:c r="U150" s="7" t="n">
        <x:v>200</x:v>
      </x:c>
      <x:c r="V150" s="7" t="n">
        <x:v>504</x:v>
      </x:c>
    </x:row>
    <x:row r="151" ht="16" customHeight="1">
      <x:c r="A151" s="7" t="n">
        <x:v>148</x:v>
      </x:c>
      <x:c r="B151" s="8" t="n">
        <x:v>45881</x:v>
      </x:c>
      <x:c r="C151" s="7" t="str">
        <x:v>Corrode</x:v>
      </x:c>
      <x:c r="D151" s="7" t="str">
        <x:v>MVP</x:v>
      </x:c>
      <x:c r="E151" s="7" t="str">
        <x:v>Neon</x:v>
      </x:c>
      <x:c r="F151" s="7" t="n">
        <x:v>8</x:v>
      </x:c>
      <x:c r="G151" s="7" t="n">
        <x:v>4</x:v>
      </x:c>
      <x:c r="H151" s="7" t="str">
        <x:f>IF(F151&gt;G151,"Win",IF(F151&lt;G151,"Loss","Draw"))</x:f>
        <x:v>Win</x:v>
      </x:c>
      <x:c r="I151" s="7" t="n">
        <x:f>IF(H151="Win",1,0)</x:f>
        <x:v>1</x:v>
      </x:c>
      <x:c r="J151" s="7" t="n">
        <x:f>F151-G151</x:f>
        <x:v>4</x:v>
      </x:c>
      <x:c r="K151" s="7" t="n">
        <x:f>F151+G151</x:f>
        <x:v>12</x:v>
      </x:c>
      <x:c r="L151" s="7" t="n">
        <x:v>16</x:v>
      </x:c>
      <x:c r="M151" s="7" t="n">
        <x:v>8</x:v>
      </x:c>
      <x:c r="N151" s="7" t="n">
        <x:v>1</x:v>
      </x:c>
      <x:c r="O151" s="9" t="n">
        <x:f>IF(M151=0,"n.a.",L151/M151)</x:f>
        <x:v>2</x:v>
      </x:c>
      <x:c r="P151" s="9" t="n">
        <x:f>IF(K151=0,"n.a.",L151/K151)</x:f>
        <x:v>1.3333333333333333</x:v>
      </x:c>
      <x:c r="Q151" s="9" t="n">
        <x:f>IF(K151=0,"n.a.",M151/K151)</x:f>
        <x:v>0.6666666666666666</x:v>
      </x:c>
      <x:c r="R151" s="9" t="n">
        <x:f>IF(K151=0,"n.a.",N151/K151)</x:f>
        <x:v>0.08333333333333333</x:v>
      </x:c>
      <x:c r="S151" s="7" t="n">
        <x:v>66</x:v>
      </x:c>
      <x:c r="T151" s="10" t="n">
        <x:v>0.22</x:v>
      </x:c>
      <x:c r="U151" s="7" t="n">
        <x:v>374</x:v>
      </x:c>
      <x:c r="V151" s="7" t="n">
        <x:v>943</x:v>
      </x:c>
    </x:row>
    <x:row r="152" ht="16" customHeight="1">
      <x:c r="A152" s="7" t="n">
        <x:v>149</x:v>
      </x:c>
      <x:c r="B152" s="8" t="n">
        <x:v>45881</x:v>
      </x:c>
      <x:c r="C152" s="7" t="str">
        <x:v>Lotus</x:v>
      </x:c>
      <x:c r="D152" s="7" t="str">
        <x:v>3rd</x:v>
      </x:c>
      <x:c r="E152" s="7" t="str">
        <x:v>Neon</x:v>
      </x:c>
      <x:c r="F152" s="7" t="n">
        <x:v>13</x:v>
      </x:c>
      <x:c r="G152" s="7" t="n">
        <x:v>3</x:v>
      </x:c>
      <x:c r="H152" s="7" t="str">
        <x:f>IF(F152&gt;G152,"Win",IF(F152&lt;G152,"Loss","Draw"))</x:f>
        <x:v>Win</x:v>
      </x:c>
      <x:c r="I152" s="7" t="n">
        <x:f>IF(H152="Win",1,0)</x:f>
        <x:v>1</x:v>
      </x:c>
      <x:c r="J152" s="7" t="n">
        <x:f>F152-G152</x:f>
        <x:v>10</x:v>
      </x:c>
      <x:c r="K152" s="7" t="n">
        <x:f>F152+G152</x:f>
        <x:v>16</x:v>
      </x:c>
      <x:c r="L152" s="7" t="n">
        <x:v>15</x:v>
      </x:c>
      <x:c r="M152" s="7" t="n">
        <x:v>11</x:v>
      </x:c>
      <x:c r="N152" s="7" t="n">
        <x:v>3</x:v>
      </x:c>
      <x:c r="O152" s="9" t="n">
        <x:f>IF(M152=0,"n.a.",L152/M152)</x:f>
        <x:v>1.3636363636363635</x:v>
      </x:c>
      <x:c r="P152" s="9" t="n">
        <x:f>IF(K152=0,"n.a.",L152/K152)</x:f>
        <x:v>0.9375</x:v>
      </x:c>
      <x:c r="Q152" s="9" t="n">
        <x:f>IF(K152=0,"n.a.",M152/K152)</x:f>
        <x:v>0.6875</x:v>
      </x:c>
      <x:c r="R152" s="9" t="n">
        <x:f>IF(K152=0,"n.a.",N152/K152)</x:f>
        <x:v>0.1875</x:v>
      </x:c>
      <x:c r="S152" s="7" t="n">
        <x:v>30</x:v>
      </x:c>
      <x:c r="T152" s="10" t="n">
        <x:v>0.16</x:v>
      </x:c>
      <x:c r="U152" s="7" t="n">
        <x:v>264</x:v>
      </x:c>
      <x:c r="V152" s="7" t="n">
        <x:v>873</x:v>
      </x:c>
    </x:row>
    <x:row r="153" ht="16" customHeight="1">
      <x:c r="A153" s="7" t="n">
        <x:v>150</x:v>
      </x:c>
      <x:c r="B153" s="8" t="n">
        <x:v>45882</x:v>
      </x:c>
      <x:c r="C153" s="7" t="str">
        <x:v>Ascent</x:v>
      </x:c>
      <x:c r="D153" s="7" t="str">
        <x:v>3rd</x:v>
      </x:c>
      <x:c r="E153" s="7" t="str">
        <x:v>Neon</x:v>
      </x:c>
      <x:c r="F153" s="7" t="n">
        <x:v>10</x:v>
      </x:c>
      <x:c r="G153" s="7" t="n">
        <x:v>13</x:v>
      </x:c>
      <x:c r="H153" s="7" t="str">
        <x:f>IF(F153&gt;G153,"Win",IF(F153&lt;G153,"Loss","Draw"))</x:f>
        <x:v>Loss</x:v>
      </x:c>
      <x:c r="I153" s="7" t="n">
        <x:f>IF(H153="Win",1,0)</x:f>
        <x:v>0</x:v>
      </x:c>
      <x:c r="J153" s="7" t="n">
        <x:f>F153-G153</x:f>
        <x:v>-3</x:v>
      </x:c>
      <x:c r="K153" s="7" t="n">
        <x:f>F153+G153</x:f>
        <x:v>23</x:v>
      </x:c>
      <x:c r="L153" s="7" t="n">
        <x:v>20</x:v>
      </x:c>
      <x:c r="M153" s="7" t="n">
        <x:v>18</x:v>
      </x:c>
      <x:c r="N153" s="7" t="n">
        <x:v>4</x:v>
      </x:c>
      <x:c r="O153" s="9" t="n">
        <x:f>IF(M153=0,"n.a.",L153/M153)</x:f>
        <x:v>1.1111111111111112</x:v>
      </x:c>
      <x:c r="P153" s="9" t="n">
        <x:f>IF(K153=0,"n.a.",L153/K153)</x:f>
        <x:v>0.8695652173913043</x:v>
      </x:c>
      <x:c r="Q153" s="9" t="n">
        <x:f>IF(K153=0,"n.a.",M153/K153)</x:f>
        <x:v>0.782608695652174</x:v>
      </x:c>
      <x:c r="R153" s="9" t="n">
        <x:f>IF(K153=0,"n.a.",N153/K153)</x:f>
        <x:v>0.17391304347826086</x:v>
      </x:c>
      <x:c r="S153" s="7" t="n">
        <x:v>16</x:v>
      </x:c>
      <x:c r="T153" s="10" t="n">
        <x:v>0.41</x:v>
      </x:c>
      <x:c r="U153" s="7" t="n">
        <x:v>249</x:v>
      </x:c>
      <x:c r="V153" s="7" t="n">
        <x:v>730</x:v>
      </x:c>
    </x:row>
    <x:row r="154" ht="16" customHeight="1">
      <x:c r="A154" s="7" t="n">
        <x:v>151</x:v>
      </x:c>
      <x:c r="B154" s="8" t="n">
        <x:v>45883</x:v>
      </x:c>
      <x:c r="C154" s="7" t="str">
        <x:v>Bind</x:v>
      </x:c>
      <x:c r="D154" s="7" t="str">
        <x:v>MVP</x:v>
      </x:c>
      <x:c r="E154" s="7" t="str">
        <x:v>Neon</x:v>
      </x:c>
      <x:c r="F154" s="7" t="n">
        <x:v>7</x:v>
      </x:c>
      <x:c r="G154" s="7" t="n">
        <x:v>13</x:v>
      </x:c>
      <x:c r="H154" s="7" t="str">
        <x:f>IF(F154&gt;G154,"Win",IF(F154&lt;G154,"Loss","Draw"))</x:f>
        <x:v>Loss</x:v>
      </x:c>
      <x:c r="I154" s="7" t="n">
        <x:f>IF(H154="Win",1,0)</x:f>
        <x:v>0</x:v>
      </x:c>
      <x:c r="J154" s="7" t="n">
        <x:f>F154-G154</x:f>
        <x:v>-6</x:v>
      </x:c>
      <x:c r="K154" s="7" t="n">
        <x:f>F154+G154</x:f>
        <x:v>20</x:v>
      </x:c>
      <x:c r="L154" s="7" t="n">
        <x:v>25</x:v>
      </x:c>
      <x:c r="M154" s="7" t="n">
        <x:v>15</x:v>
      </x:c>
      <x:c r="N154" s="7" t="n">
        <x:v>5</x:v>
      </x:c>
      <x:c r="O154" s="9" t="n">
        <x:f>IF(M154=0,"n.a.",L154/M154)</x:f>
        <x:v>1.6666666666666667</x:v>
      </x:c>
      <x:c r="P154" s="9" t="n">
        <x:f>IF(K154=0,"n.a.",L154/K154)</x:f>
        <x:v>1.25</x:v>
      </x:c>
      <x:c r="Q154" s="9" t="n">
        <x:f>IF(K154=0,"n.a.",M154/K154)</x:f>
        <x:v>0.75</x:v>
      </x:c>
      <x:c r="R154" s="9" t="n">
        <x:f>IF(K154=0,"n.a.",N154/K154)</x:f>
        <x:v>0.25</x:v>
      </x:c>
      <x:c r="S154" s="7" t="n">
        <x:v>86</x:v>
      </x:c>
      <x:c r="T154" s="10" t="n">
        <x:v>0.25</x:v>
      </x:c>
      <x:c r="U154" s="7" t="n">
        <x:v>354</x:v>
      </x:c>
      <x:c r="V154" s="7" t="n">
        <x:v>856</x:v>
      </x:c>
    </x:row>
    <x:row r="155" ht="16" customHeight="1">
      <x:c r="A155" s="7" t="n">
        <x:v>152</x:v>
      </x:c>
      <x:c r="B155" s="8" t="n">
        <x:v>45884</x:v>
      </x:c>
      <x:c r="C155" s="7" t="str">
        <x:v>Corrode</x:v>
      </x:c>
      <x:c r="D155" s="7" t="str">
        <x:v>8th</x:v>
      </x:c>
      <x:c r="E155" s="7" t="str">
        <x:v>Jett</x:v>
      </x:c>
      <x:c r="F155" s="7" t="n">
        <x:v>10</x:v>
      </x:c>
      <x:c r="G155" s="7" t="n">
        <x:v>13</x:v>
      </x:c>
      <x:c r="H155" s="7" t="str">
        <x:f>IF(F155&gt;G155,"Win",IF(F155&lt;G155,"Loss","Draw"))</x:f>
        <x:v>Loss</x:v>
      </x:c>
      <x:c r="I155" s="7" t="n">
        <x:f>IF(H155="Win",1,0)</x:f>
        <x:v>0</x:v>
      </x:c>
      <x:c r="J155" s="7" t="n">
        <x:f>F155-G155</x:f>
        <x:v>-3</x:v>
      </x:c>
      <x:c r="K155" s="7" t="n">
        <x:f>F155+G155</x:f>
        <x:v>23</x:v>
      </x:c>
      <x:c r="L155" s="7" t="n">
        <x:v>14</x:v>
      </x:c>
      <x:c r="M155" s="7" t="n">
        <x:v>17</x:v>
      </x:c>
      <x:c r="N155" s="7" t="n">
        <x:v>3</x:v>
      </x:c>
      <x:c r="O155" s="9" t="n">
        <x:f>IF(M155=0,"n.a.",L155/M155)</x:f>
        <x:v>0.8235294117647058</x:v>
      </x:c>
      <x:c r="P155" s="9" t="n">
        <x:f>IF(K155=0,"n.a.",L155/K155)</x:f>
        <x:v>0.6086956521739131</x:v>
      </x:c>
      <x:c r="Q155" s="9" t="n">
        <x:f>IF(K155=0,"n.a.",M155/K155)</x:f>
        <x:v>0.7391304347826086</x:v>
      </x:c>
      <x:c r="R155" s="9" t="n">
        <x:f>IF(K155=0,"n.a.",N155/K155)</x:f>
        <x:v>0.13043478260869565</x:v>
      </x:c>
      <x:c r="S155" s="7" t="n">
        <x:v>-14</x:v>
      </x:c>
      <x:c r="T155" s="10" t="n">
        <x:v>0.35</x:v>
      </x:c>
      <x:c r="U155" s="7" t="n">
        <x:v>178</x:v>
      </x:c>
      <x:c r="V155" s="7" t="n">
        <x:v>386</x:v>
      </x:c>
    </x:row>
    <x:row r="156" ht="16" customHeight="1">
      <x:c r="A156" s="7" t="n">
        <x:v>153</x:v>
      </x:c>
      <x:c r="B156" s="8" t="n">
        <x:v>45884</x:v>
      </x:c>
      <x:c r="C156" s="7" t="str">
        <x:v>Ascent</x:v>
      </x:c>
      <x:c r="D156" s="7" t="str">
        <x:v>6th</x:v>
      </x:c>
      <x:c r="E156" s="7" t="str">
        <x:v>Neon</x:v>
      </x:c>
      <x:c r="F156" s="7" t="n">
        <x:v>8</x:v>
      </x:c>
      <x:c r="G156" s="7" t="n">
        <x:v>13</x:v>
      </x:c>
      <x:c r="H156" s="7" t="str">
        <x:f>IF(F156&gt;G156,"Win",IF(F156&lt;G156,"Loss","Draw"))</x:f>
        <x:v>Loss</x:v>
      </x:c>
      <x:c r="I156" s="7" t="n">
        <x:f>IF(H156="Win",1,0)</x:f>
        <x:v>0</x:v>
      </x:c>
      <x:c r="J156" s="7" t="n">
        <x:f>F156-G156</x:f>
        <x:v>-5</x:v>
      </x:c>
      <x:c r="K156" s="7" t="n">
        <x:f>F156+G156</x:f>
        <x:v>21</x:v>
      </x:c>
      <x:c r="L156" s="7" t="n">
        <x:v>14</x:v>
      </x:c>
      <x:c r="M156" s="7" t="n">
        <x:v>18</x:v>
      </x:c>
      <x:c r="N156" s="7" t="n">
        <x:v>5</x:v>
      </x:c>
      <x:c r="O156" s="9" t="n">
        <x:f>IF(M156=0,"n.a.",L156/M156)</x:f>
        <x:v>0.7777777777777778</x:v>
      </x:c>
      <x:c r="P156" s="9" t="n">
        <x:f>IF(K156=0,"n.a.",L156/K156)</x:f>
        <x:v>0.6666666666666666</x:v>
      </x:c>
      <x:c r="Q156" s="9" t="n">
        <x:f>IF(K156=0,"n.a.",M156/K156)</x:f>
        <x:v>0.8571428571428571</x:v>
      </x:c>
      <x:c r="R156" s="9" t="n">
        <x:f>IF(K156=0,"n.a.",N156/K156)</x:f>
        <x:v>0.23809523809523808</x:v>
      </x:c>
      <x:c r="S156" s="7" t="n">
        <x:v>-29</x:v>
      </x:c>
      <x:c r="T156" s="10" t="n">
        <x:v>0.17</x:v>
      </x:c>
      <x:c r="U156" s="7" t="n">
        <x:v>198</x:v>
      </x:c>
      <x:c r="V156" s="7" t="n">
        <x:v>347</x:v>
      </x:c>
    </x:row>
    <x:row r="157" ht="16" customHeight="1">
      <x:c r="A157" s="7" t="n">
        <x:v>154</x:v>
      </x:c>
      <x:c r="B157" s="8" t="n">
        <x:v>45884</x:v>
      </x:c>
      <x:c r="C157" s="7" t="str">
        <x:v>Icebox</x:v>
      </x:c>
      <x:c r="D157" s="7" t="str">
        <x:v>4th</x:v>
      </x:c>
      <x:c r="E157" s="7" t="str">
        <x:v>Neon</x:v>
      </x:c>
      <x:c r="F157" s="7" t="n">
        <x:v>13</x:v>
      </x:c>
      <x:c r="G157" s="7" t="n">
        <x:v>8</x:v>
      </x:c>
      <x:c r="H157" s="7" t="str">
        <x:f>IF(F157&gt;G157,"Win",IF(F157&lt;G157,"Loss","Draw"))</x:f>
        <x:v>Win</x:v>
      </x:c>
      <x:c r="I157" s="7" t="n">
        <x:f>IF(H157="Win",1,0)</x:f>
        <x:v>1</x:v>
      </x:c>
      <x:c r="J157" s="7" t="n">
        <x:f>F157-G157</x:f>
        <x:v>5</x:v>
      </x:c>
      <x:c r="K157" s="7" t="n">
        <x:f>F157+G157</x:f>
        <x:v>21</x:v>
      </x:c>
      <x:c r="L157" s="7" t="n">
        <x:v>19</x:v>
      </x:c>
      <x:c r="M157" s="7" t="n">
        <x:v>13</x:v>
      </x:c>
      <x:c r="N157" s="7" t="n">
        <x:v>0</x:v>
      </x:c>
      <x:c r="O157" s="9" t="n">
        <x:f>IF(M157=0,"n.a.",L157/M157)</x:f>
        <x:v>1.4615384615384615</x:v>
      </x:c>
      <x:c r="P157" s="9" t="n">
        <x:f>IF(K157=0,"n.a.",L157/K157)</x:f>
        <x:v>0.9047619047619048</x:v>
      </x:c>
      <x:c r="Q157" s="9" t="n">
        <x:f>IF(K157=0,"n.a.",M157/K157)</x:f>
        <x:v>0.6190476190476191</x:v>
      </x:c>
      <x:c r="R157" s="9" t="n">
        <x:f>IF(K157=0,"n.a.",N157/K157)</x:f>
        <x:v>0</x:v>
      </x:c>
      <x:c r="S157" s="7" t="n">
        <x:v>49</x:v>
      </x:c>
      <x:c r="T157" s="10" t="n">
        <x:v>0.2</x:v>
      </x:c>
      <x:c r="U157" s="7" t="n">
        <x:v>246</x:v>
      </x:c>
      <x:c r="V157" s="7" t="n">
        <x:v>634</x:v>
      </x:c>
    </x:row>
    <x:row r="158" ht="16" customHeight="1">
      <x:c r="A158" s="7" t="n">
        <x:v>155</x:v>
      </x:c>
      <x:c r="B158" s="8" t="n">
        <x:v>45884</x:v>
      </x:c>
      <x:c r="C158" s="7" t="str">
        <x:v>Icebox</x:v>
      </x:c>
      <x:c r="D158" s="7" t="str">
        <x:v>4th</x:v>
      </x:c>
      <x:c r="E158" s="7" t="str">
        <x:v>Neon</x:v>
      </x:c>
      <x:c r="F158" s="7" t="n">
        <x:v>13</x:v>
      </x:c>
      <x:c r="G158" s="7" t="n">
        <x:v>5</x:v>
      </x:c>
      <x:c r="H158" s="7" t="str">
        <x:f>IF(F158&gt;G158,"Win",IF(F158&lt;G158,"Loss","Draw"))</x:f>
        <x:v>Win</x:v>
      </x:c>
      <x:c r="I158" s="7" t="n">
        <x:f>IF(H158="Win",1,0)</x:f>
        <x:v>1</x:v>
      </x:c>
      <x:c r="J158" s="7" t="n">
        <x:f>F158-G158</x:f>
        <x:v>8</x:v>
      </x:c>
      <x:c r="K158" s="7" t="n">
        <x:f>F158+G158</x:f>
        <x:v>18</x:v>
      </x:c>
      <x:c r="L158" s="7" t="n">
        <x:v>15</x:v>
      </x:c>
      <x:c r="M158" s="7" t="n">
        <x:v>11</x:v>
      </x:c>
      <x:c r="N158" s="7" t="n">
        <x:v>5</x:v>
      </x:c>
      <x:c r="O158" s="9" t="n">
        <x:f>IF(M158=0,"n.a.",L158/M158)</x:f>
        <x:v>1.3636363636363635</x:v>
      </x:c>
      <x:c r="P158" s="9" t="n">
        <x:f>IF(K158=0,"n.a.",L158/K158)</x:f>
        <x:v>0.8333333333333334</x:v>
      </x:c>
      <x:c r="Q158" s="9" t="n">
        <x:f>IF(K158=0,"n.a.",M158/K158)</x:f>
        <x:v>0.6111111111111112</x:v>
      </x:c>
      <x:c r="R158" s="9" t="n">
        <x:f>IF(K158=0,"n.a.",N158/K158)</x:f>
        <x:v>0.2777777777777778</x:v>
      </x:c>
      <x:c r="S158" s="7" t="n">
        <x:v>55</x:v>
      </x:c>
      <x:c r="T158" s="10" t="n">
        <x:v>0.25</x:v>
      </x:c>
      <x:c r="U158" s="7" t="n">
        <x:v>241</x:v>
      </x:c>
      <x:c r="V158" s="7" t="n">
        <x:v>695</x:v>
      </x:c>
    </x:row>
    <x:row r="159" ht="16" customHeight="1">
      <x:c r="A159" s="7" t="n">
        <x:v>156</x:v>
      </x:c>
      <x:c r="B159" s="8" t="n">
        <x:v>45884</x:v>
      </x:c>
      <x:c r="C159" s="7" t="str">
        <x:v>Sunset</x:v>
      </x:c>
      <x:c r="D159" s="7" t="str">
        <x:v>8th</x:v>
      </x:c>
      <x:c r="E159" s="7" t="str">
        <x:v>Astra</x:v>
      </x:c>
      <x:c r="F159" s="7" t="n">
        <x:v>8</x:v>
      </x:c>
      <x:c r="G159" s="7" t="n">
        <x:v>13</x:v>
      </x:c>
      <x:c r="H159" s="7" t="str">
        <x:f>IF(F159&gt;G159,"Win",IF(F159&lt;G159,"Loss","Draw"))</x:f>
        <x:v>Loss</x:v>
      </x:c>
      <x:c r="I159" s="7" t="n">
        <x:f>IF(H159="Win",1,0)</x:f>
        <x:v>0</x:v>
      </x:c>
      <x:c r="J159" s="7" t="n">
        <x:f>F159-G159</x:f>
        <x:v>-5</x:v>
      </x:c>
      <x:c r="K159" s="7" t="n">
        <x:f>F159+G159</x:f>
        <x:v>21</x:v>
      </x:c>
      <x:c r="L159" s="7" t="n">
        <x:v>12</x:v>
      </x:c>
      <x:c r="M159" s="7" t="n">
        <x:v>15</x:v>
      </x:c>
      <x:c r="N159" s="7" t="n">
        <x:v>5</x:v>
      </x:c>
      <x:c r="O159" s="9" t="n">
        <x:f>IF(M159=0,"n.a.",L159/M159)</x:f>
        <x:v>0.8</x:v>
      </x:c>
      <x:c r="P159" s="9" t="n">
        <x:f>IF(K159=0,"n.a.",L159/K159)</x:f>
        <x:v>0.5714285714285714</x:v>
      </x:c>
      <x:c r="Q159" s="9" t="n">
        <x:f>IF(K159=0,"n.a.",M159/K159)</x:f>
        <x:v>0.7142857142857143</x:v>
      </x:c>
      <x:c r="R159" s="9" t="n">
        <x:f>IF(K159=0,"n.a.",N159/K159)</x:f>
        <x:v>0.23809523809523808</x:v>
      </x:c>
      <x:c r="S159" s="7" t="n">
        <x:v>-18</x:v>
      </x:c>
      <x:c r="T159" s="10" t="n">
        <x:v>0.2</x:v>
      </x:c>
      <x:c r="U159" s="7" t="n">
        <x:v>176</x:v>
      </x:c>
      <x:c r="V159" s="7" t="n">
        <x:v>362</x:v>
      </x:c>
    </x:row>
    <x:row r="160" ht="16" customHeight="1">
      <x:c r="A160" s="7" t="n">
        <x:v>157</x:v>
      </x:c>
      <x:c r="B160" s="8" t="n">
        <x:v>45884</x:v>
      </x:c>
      <x:c r="C160" s="7" t="str">
        <x:v>Corrode</x:v>
      </x:c>
      <x:c r="D160" s="7" t="str">
        <x:v>9th</x:v>
      </x:c>
      <x:c r="E160" s="7" t="str">
        <x:v>Neon</x:v>
      </x:c>
      <x:c r="F160" s="7" t="n">
        <x:v>6</x:v>
      </x:c>
      <x:c r="G160" s="7" t="n">
        <x:v>13</x:v>
      </x:c>
      <x:c r="H160" s="7" t="str">
        <x:f>IF(F160&gt;G160,"Win",IF(F160&lt;G160,"Loss","Draw"))</x:f>
        <x:v>Loss</x:v>
      </x:c>
      <x:c r="I160" s="7" t="n">
        <x:f>IF(H160="Win",1,0)</x:f>
        <x:v>0</x:v>
      </x:c>
      <x:c r="J160" s="7" t="n">
        <x:f>F160-G160</x:f>
        <x:v>-7</x:v>
      </x:c>
      <x:c r="K160" s="7" t="n">
        <x:f>F160+G160</x:f>
        <x:v>19</x:v>
      </x:c>
      <x:c r="L160" s="7" t="n">
        <x:v>12</x:v>
      </x:c>
      <x:c r="M160" s="7" t="n">
        <x:v>17</x:v>
      </x:c>
      <x:c r="N160" s="7" t="n">
        <x:v>3</x:v>
      </x:c>
      <x:c r="O160" s="9" t="n">
        <x:f>IF(M160=0,"n.a.",L160/M160)</x:f>
        <x:v>0.7058823529411765</x:v>
      </x:c>
      <x:c r="P160" s="9" t="n">
        <x:f>IF(K160=0,"n.a.",L160/K160)</x:f>
        <x:v>0.631578947368421</x:v>
      </x:c>
      <x:c r="Q160" s="9" t="n">
        <x:f>IF(K160=0,"n.a.",M160/K160)</x:f>
        <x:v>0.8947368421052632</x:v>
      </x:c>
      <x:c r="R160" s="9" t="n">
        <x:f>IF(K160=0,"n.a.",N160/K160)</x:f>
        <x:v>0.15789473684210525</x:v>
      </x:c>
      <x:c r="S160" s="7" t="n">
        <x:v>-43</x:v>
      </x:c>
      <x:c r="T160" s="10" t="n">
        <x:v>0.18</x:v>
      </x:c>
      <x:c r="U160" s="7" t="n">
        <x:v>182</x:v>
      </x:c>
      <x:c r="V160" s="7" t="n">
        <x:v>251</x:v>
      </x:c>
    </x:row>
    <x:row r="161" ht="16" customHeight="1">
      <x:c r="A161" s="7" t="n">
        <x:v>158</x:v>
      </x:c>
      <x:c r="B161" s="8" t="n">
        <x:v>45887</x:v>
      </x:c>
      <x:c r="C161" s="7" t="str">
        <x:v>Corrode</x:v>
      </x:c>
      <x:c r="D161" s="7" t="str">
        <x:v>7th</x:v>
      </x:c>
      <x:c r="E161" s="7" t="str">
        <x:v>Neon</x:v>
      </x:c>
      <x:c r="F161" s="7" t="n">
        <x:v>10</x:v>
      </x:c>
      <x:c r="G161" s="7" t="n">
        <x:v>13</x:v>
      </x:c>
      <x:c r="H161" s="7" t="str">
        <x:f>IF(F161&gt;G161,"Win",IF(F161&lt;G161,"Loss","Draw"))</x:f>
        <x:v>Loss</x:v>
      </x:c>
      <x:c r="I161" s="7" t="n">
        <x:f>IF(H161="Win",1,0)</x:f>
        <x:v>0</x:v>
      </x:c>
      <x:c r="J161" s="7" t="n">
        <x:f>F161-G161</x:f>
        <x:v>-3</x:v>
      </x:c>
      <x:c r="K161" s="7" t="n">
        <x:f>F161+G161</x:f>
        <x:v>23</x:v>
      </x:c>
      <x:c r="L161" s="7" t="n">
        <x:v>15</x:v>
      </x:c>
      <x:c r="M161" s="7" t="n">
        <x:v>18</x:v>
      </x:c>
      <x:c r="N161" s="7" t="n">
        <x:v>6</x:v>
      </x:c>
      <x:c r="O161" s="9" t="n">
        <x:f>IF(M161=0,"n.a.",L161/M161)</x:f>
        <x:v>0.8333333333333334</x:v>
      </x:c>
      <x:c r="P161" s="9" t="n">
        <x:f>IF(K161=0,"n.a.",L161/K161)</x:f>
        <x:v>0.6521739130434783</x:v>
      </x:c>
      <x:c r="Q161" s="9" t="n">
        <x:f>IF(K161=0,"n.a.",M161/K161)</x:f>
        <x:v>0.782608695652174</x:v>
      </x:c>
      <x:c r="R161" s="9" t="n">
        <x:f>IF(K161=0,"n.a.",N161/K161)</x:f>
        <x:v>0.2608695652173913</x:v>
      </x:c>
      <x:c r="S161" s="7" t="n">
        <x:v>-15</x:v>
      </x:c>
      <x:c r="T161" s="10" t="n">
        <x:v>0.17</x:v>
      </x:c>
      <x:c r="U161" s="7" t="n">
        <x:v>201</x:v>
      </x:c>
      <x:c r="V161" s="7" t="n">
        <x:v>592</x:v>
      </x:c>
    </x:row>
    <x:row r="162" ht="16" customHeight="1">
      <x:c r="A162" s="7" t="n">
        <x:v>159</x:v>
      </x:c>
      <x:c r="B162" s="8" t="n">
        <x:v>45889</x:v>
      </x:c>
      <x:c r="C162" s="7" t="str">
        <x:v>Lotus</x:v>
      </x:c>
      <x:c r="D162" s="7" t="str">
        <x:v>7th</x:v>
      </x:c>
      <x:c r="E162" s="7" t="str">
        <x:v>Omen</x:v>
      </x:c>
      <x:c r="F162" s="7" t="n">
        <x:v>14</x:v>
      </x:c>
      <x:c r="G162" s="7" t="n">
        <x:v>16</x:v>
      </x:c>
      <x:c r="H162" s="7" t="str">
        <x:f>IF(F162&gt;G162,"Win",IF(F162&lt;G162,"Loss","Draw"))</x:f>
        <x:v>Loss</x:v>
      </x:c>
      <x:c r="I162" s="7" t="n">
        <x:f>IF(H162="Win",1,0)</x:f>
        <x:v>0</x:v>
      </x:c>
      <x:c r="J162" s="7" t="n">
        <x:f>F162-G162</x:f>
        <x:v>-2</x:v>
      </x:c>
      <x:c r="K162" s="7" t="n">
        <x:f>F162+G162</x:f>
        <x:v>30</x:v>
      </x:c>
      <x:c r="L162" s="7" t="n">
        <x:v>23</x:v>
      </x:c>
      <x:c r="M162" s="7" t="n">
        <x:v>24</x:v>
      </x:c>
      <x:c r="N162" s="7" t="n">
        <x:v>4</x:v>
      </x:c>
      <x:c r="O162" s="9" t="n">
        <x:f>IF(M162=0,"n.a.",L162/M162)</x:f>
        <x:v>0.9583333333333334</x:v>
      </x:c>
      <x:c r="P162" s="9" t="n">
        <x:f>IF(K162=0,"n.a.",L162/K162)</x:f>
        <x:v>0.7666666666666667</x:v>
      </x:c>
      <x:c r="Q162" s="9" t="n">
        <x:f>IF(K162=0,"n.a.",M162/K162)</x:f>
        <x:v>0.8</x:v>
      </x:c>
      <x:c r="R162" s="9" t="n">
        <x:f>IF(K162=0,"n.a.",N162/K162)</x:f>
        <x:v>0.13333333333333333</x:v>
      </x:c>
      <x:c r="S162" s="7" t="n">
        <x:v>-28</x:v>
      </x:c>
      <x:c r="T162" s="10" t="n">
        <x:v>0.17</x:v>
      </x:c>
      <x:c r="U162" s="7" t="n">
        <x:v>210</x:v>
      </x:c>
      <x:c r="V162" s="7" t="n">
        <x:v>401</x:v>
      </x:c>
    </x:row>
    <x:row r="163" ht="16" customHeight="1">
      <x:c r="A163" s="7" t="n">
        <x:v>160</x:v>
      </x:c>
      <x:c r="B163" s="8" t="n">
        <x:v>45890</x:v>
      </x:c>
      <x:c r="C163" s="7" t="str">
        <x:v>Abyss</x:v>
      </x:c>
      <x:c r="D163" s="7" t="str">
        <x:v>6th</x:v>
      </x:c>
      <x:c r="E163" s="7" t="str">
        <x:v>Neon</x:v>
      </x:c>
      <x:c r="F163" s="7" t="n">
        <x:v>13</x:v>
      </x:c>
      <x:c r="G163" s="7" t="n">
        <x:v>6</x:v>
      </x:c>
      <x:c r="H163" s="7" t="str">
        <x:f>IF(F163&gt;G163,"Win",IF(F163&lt;G163,"Loss","Draw"))</x:f>
        <x:v>Win</x:v>
      </x:c>
      <x:c r="I163" s="7" t="n">
        <x:f>IF(H163="Win",1,0)</x:f>
        <x:v>1</x:v>
      </x:c>
      <x:c r="J163" s="7" t="n">
        <x:f>F163-G163</x:f>
        <x:v>7</x:v>
      </x:c>
      <x:c r="K163" s="7" t="n">
        <x:f>F163+G163</x:f>
        <x:v>19</x:v>
      </x:c>
      <x:c r="L163" s="7" t="n">
        <x:v>13</x:v>
      </x:c>
      <x:c r="M163" s="7" t="n">
        <x:v>14</x:v>
      </x:c>
      <x:c r="N163" s="7" t="n">
        <x:v>0</x:v>
      </x:c>
      <x:c r="O163" s="9" t="n">
        <x:f>IF(M163=0,"n.a.",L163/M163)</x:f>
        <x:v>0.9285714285714286</x:v>
      </x:c>
      <x:c r="P163" s="9" t="n">
        <x:f>IF(K163=0,"n.a.",L163/K163)</x:f>
        <x:v>0.6842105263157895</x:v>
      </x:c>
      <x:c r="Q163" s="9" t="n">
        <x:f>IF(K163=0,"n.a.",M163/K163)</x:f>
        <x:v>0.7368421052631579</x:v>
      </x:c>
      <x:c r="R163" s="9" t="n">
        <x:f>IF(K163=0,"n.a.",N163/K163)</x:f>
        <x:v>0</x:v>
      </x:c>
      <x:c r="S163" s="7" t="n">
        <x:v>-35</x:v>
      </x:c>
      <x:c r="T163" s="10" t="n">
        <x:v>0.31</x:v>
      </x:c>
      <x:c r="U163" s="7" t="n">
        <x:v>175</x:v>
      </x:c>
      <x:c r="V163" s="7" t="n">
        <x:v>407</x:v>
      </x:c>
    </x:row>
    <x:row r="164" ht="16" customHeight="1">
      <x:c r="A164" s="7" t="n">
        <x:v>161</x:v>
      </x:c>
      <x:c r="B164" s="8" t="n">
        <x:v>45891</x:v>
      </x:c>
      <x:c r="C164" s="7" t="str">
        <x:v>Haven</x:v>
      </x:c>
      <x:c r="D164" s="7" t="str">
        <x:v>MVP</x:v>
      </x:c>
      <x:c r="E164" s="7" t="str">
        <x:v>Neon</x:v>
      </x:c>
      <x:c r="F164" s="7" t="n">
        <x:v>13</x:v>
      </x:c>
      <x:c r="G164" s="7" t="n">
        <x:v>8</x:v>
      </x:c>
      <x:c r="H164" s="7" t="str">
        <x:f>IF(F164&gt;G164,"Win",IF(F164&lt;G164,"Loss","Draw"))</x:f>
        <x:v>Win</x:v>
      </x:c>
      <x:c r="I164" s="7" t="n">
        <x:f>IF(H164="Win",1,0)</x:f>
        <x:v>1</x:v>
      </x:c>
      <x:c r="J164" s="7" t="n">
        <x:f>F164-G164</x:f>
        <x:v>5</x:v>
      </x:c>
      <x:c r="K164" s="7" t="n">
        <x:f>F164+G164</x:f>
        <x:v>21</x:v>
      </x:c>
      <x:c r="L164" s="7" t="n">
        <x:v>27</x:v>
      </x:c>
      <x:c r="M164" s="7" t="n">
        <x:v>17</x:v>
      </x:c>
      <x:c r="N164" s="7" t="n">
        <x:v>2</x:v>
      </x:c>
      <x:c r="O164" s="9" t="n">
        <x:f>IF(M164=0,"n.a.",L164/M164)</x:f>
        <x:v>1.588235294117647</x:v>
      </x:c>
      <x:c r="P164" s="9" t="n">
        <x:f>IF(K164=0,"n.a.",L164/K164)</x:f>
        <x:v>1.2857142857142858</x:v>
      </x:c>
      <x:c r="Q164" s="9" t="n">
        <x:f>IF(K164=0,"n.a.",M164/K164)</x:f>
        <x:v>0.8095238095238095</x:v>
      </x:c>
      <x:c r="R164" s="9" t="n">
        <x:f>IF(K164=0,"n.a.",N164/K164)</x:f>
        <x:v>0.09523809523809523</x:v>
      </x:c>
      <x:c r="S164" s="7" t="n">
        <x:v>45</x:v>
      </x:c>
      <x:c r="T164" s="10" t="n">
        <x:v>0.17</x:v>
      </x:c>
      <x:c r="U164" s="7" t="n">
        <x:v>328</x:v>
      </x:c>
      <x:c r="V164" s="7" t="n">
        <x:v>935</x:v>
      </x:c>
    </x:row>
    <x:row r="165" ht="16" customHeight="1">
      <x:c r="A165" s="7" t="n">
        <x:v>162</x:v>
      </x:c>
      <x:c r="B165" s="8" t="n">
        <x:v>45891</x:v>
      </x:c>
      <x:c r="C165" s="7" t="str">
        <x:v>Sunset</x:v>
      </x:c>
      <x:c r="D165" s="7" t="str">
        <x:v>4th</x:v>
      </x:c>
      <x:c r="E165" s="7" t="str">
        <x:v>Neon</x:v>
      </x:c>
      <x:c r="F165" s="7" t="n">
        <x:v>13</x:v>
      </x:c>
      <x:c r="G165" s="7" t="n">
        <x:v>6</x:v>
      </x:c>
      <x:c r="H165" s="7" t="str">
        <x:f>IF(F165&gt;G165,"Win",IF(F165&lt;G165,"Loss","Draw"))</x:f>
        <x:v>Win</x:v>
      </x:c>
      <x:c r="I165" s="7" t="n">
        <x:f>IF(H165="Win",1,0)</x:f>
        <x:v>1</x:v>
      </x:c>
      <x:c r="J165" s="7" t="n">
        <x:f>F165-G165</x:f>
        <x:v>7</x:v>
      </x:c>
      <x:c r="K165" s="7" t="n">
        <x:f>F165+G165</x:f>
        <x:v>19</x:v>
      </x:c>
      <x:c r="L165" s="7" t="n">
        <x:v>21</x:v>
      </x:c>
      <x:c r="M165" s="7" t="n">
        <x:v>15</x:v>
      </x:c>
      <x:c r="N165" s="7" t="n">
        <x:v>2</x:v>
      </x:c>
      <x:c r="O165" s="9" t="n">
        <x:f>IF(M165=0,"n.a.",L165/M165)</x:f>
        <x:v>1.4</x:v>
      </x:c>
      <x:c r="P165" s="9" t="n">
        <x:f>IF(K165=0,"n.a.",L165/K165)</x:f>
        <x:v>1.105263157894737</x:v>
      </x:c>
      <x:c r="Q165" s="9" t="n">
        <x:f>IF(K165=0,"n.a.",M165/K165)</x:f>
        <x:v>0.7894736842105263</x:v>
      </x:c>
      <x:c r="R165" s="9" t="n">
        <x:f>IF(K165=0,"n.a.",N165/K165)</x:f>
        <x:v>0.10526315789473684</x:v>
      </x:c>
      <x:c r="S165" s="7" t="n">
        <x:v>27</x:v>
      </x:c>
      <x:c r="T165" s="10" t="n">
        <x:v>0.15</x:v>
      </x:c>
      <x:c r="U165" s="7" t="n">
        <x:v>285</x:v>
      </x:c>
      <x:c r="V165" s="7" t="n">
        <x:v>871</x:v>
      </x:c>
    </x:row>
    <x:row r="166" ht="16" customHeight="1">
      <x:c r="A166" s="7" t="n">
        <x:v>163</x:v>
      </x:c>
      <x:c r="B166" s="8" t="n">
        <x:v>45891</x:v>
      </x:c>
      <x:c r="C166" s="7" t="str">
        <x:v>Abyss</x:v>
      </x:c>
      <x:c r="D166" s="7" t="str">
        <x:v>9th</x:v>
      </x:c>
      <x:c r="E166" s="7" t="str">
        <x:v>Neon</x:v>
      </x:c>
      <x:c r="F166" s="7" t="n">
        <x:v>4</x:v>
      </x:c>
      <x:c r="G166" s="7" t="n">
        <x:v>13</x:v>
      </x:c>
      <x:c r="H166" s="7" t="str">
        <x:f>IF(F166&gt;G166,"Win",IF(F166&lt;G166,"Loss","Draw"))</x:f>
        <x:v>Loss</x:v>
      </x:c>
      <x:c r="I166" s="7" t="n">
        <x:f>IF(H166="Win",1,0)</x:f>
        <x:v>0</x:v>
      </x:c>
      <x:c r="J166" s="7" t="n">
        <x:f>F166-G166</x:f>
        <x:v>-9</x:v>
      </x:c>
      <x:c r="K166" s="7" t="n">
        <x:f>F166+G166</x:f>
        <x:v>17</x:v>
      </x:c>
      <x:c r="L166" s="7" t="n">
        <x:v>7</x:v>
      </x:c>
      <x:c r="M166" s="7" t="n">
        <x:v>15</x:v>
      </x:c>
      <x:c r="N166" s="7" t="n">
        <x:v>3</x:v>
      </x:c>
      <x:c r="O166" s="9" t="n">
        <x:f>IF(M166=0,"n.a.",L166/M166)</x:f>
        <x:v>0.4666666666666667</x:v>
      </x:c>
      <x:c r="P166" s="9" t="n">
        <x:f>IF(K166=0,"n.a.",L166/K166)</x:f>
        <x:v>0.4117647058823529</x:v>
      </x:c>
      <x:c r="Q166" s="9" t="n">
        <x:f>IF(K166=0,"n.a.",M166/K166)</x:f>
        <x:v>0.8823529411764706</x:v>
      </x:c>
      <x:c r="R166" s="9" t="n">
        <x:f>IF(K166=0,"n.a.",N166/K166)</x:f>
        <x:v>0.17647058823529413</x:v>
      </x:c>
      <x:c r="S166" s="7" t="n">
        <x:v>-44</x:v>
      </x:c>
      <x:c r="T166" s="10" t="n">
        <x:v>0.17</x:v>
      </x:c>
      <x:c r="U166" s="7" t="n">
        <x:v>129</x:v>
      </x:c>
      <x:c r="V166" s="7" t="n">
        <x:v>122</x:v>
      </x:c>
    </x:row>
    <x:row r="167" ht="16" customHeight="1">
      <x:c r="A167" s="7" t="n">
        <x:v>164</x:v>
      </x:c>
      <x:c r="B167" s="8" t="n">
        <x:v>45892</x:v>
      </x:c>
      <x:c r="C167" s="7" t="str">
        <x:v>Corrode</x:v>
      </x:c>
      <x:c r="D167" s="7" t="str">
        <x:v>MVP</x:v>
      </x:c>
      <x:c r="E167" s="7" t="str">
        <x:v>Neon</x:v>
      </x:c>
      <x:c r="F167" s="7" t="n">
        <x:v>13</x:v>
      </x:c>
      <x:c r="G167" s="7" t="n">
        <x:v>9</x:v>
      </x:c>
      <x:c r="H167" s="7" t="str">
        <x:f>IF(F167&gt;G167,"Win",IF(F167&lt;G167,"Loss","Draw"))</x:f>
        <x:v>Win</x:v>
      </x:c>
      <x:c r="I167" s="7" t="n">
        <x:f>IF(H167="Win",1,0)</x:f>
        <x:v>1</x:v>
      </x:c>
      <x:c r="J167" s="7" t="n">
        <x:f>F167-G167</x:f>
        <x:v>4</x:v>
      </x:c>
      <x:c r="K167" s="7" t="n">
        <x:f>F167+G167</x:f>
        <x:v>22</x:v>
      </x:c>
      <x:c r="L167" s="7" t="n">
        <x:v>21</x:v>
      </x:c>
      <x:c r="M167" s="7" t="n">
        <x:v>17</x:v>
      </x:c>
      <x:c r="N167" s="7" t="n">
        <x:v>5</x:v>
      </x:c>
      <x:c r="O167" s="9" t="n">
        <x:f>IF(M167=0,"n.a.",L167/M167)</x:f>
        <x:v>1.2352941176470589</x:v>
      </x:c>
      <x:c r="P167" s="9" t="n">
        <x:f>IF(K167=0,"n.a.",L167/K167)</x:f>
        <x:v>0.9545454545454546</x:v>
      </x:c>
      <x:c r="Q167" s="9" t="n">
        <x:f>IF(K167=0,"n.a.",M167/K167)</x:f>
        <x:v>0.7727272727272727</x:v>
      </x:c>
      <x:c r="R167" s="9" t="n">
        <x:f>IF(K167=0,"n.a.",N167/K167)</x:f>
        <x:v>0.22727272727272727</x:v>
      </x:c>
      <x:c r="S167" s="7" t="n">
        <x:v>39</x:v>
      </x:c>
      <x:c r="T167" s="10" t="n">
        <x:v>0.15</x:v>
      </x:c>
      <x:c r="U167" s="7" t="n">
        <x:v>289</x:v>
      </x:c>
      <x:c r="V167" s="7" t="n">
        <x:v>902</x:v>
      </x:c>
    </x:row>
    <x:row r="168" ht="16" customHeight="1">
      <x:c r="A168" s="7" t="n">
        <x:v>165</x:v>
      </x:c>
      <x:c r="B168" s="8" t="n">
        <x:v>45892</x:v>
      </x:c>
      <x:c r="C168" s="7" t="str">
        <x:v>Sunset</x:v>
      </x:c>
      <x:c r="D168" s="7" t="str">
        <x:v>MVP</x:v>
      </x:c>
      <x:c r="E168" s="7" t="str">
        <x:v>Neon</x:v>
      </x:c>
      <x:c r="F168" s="7" t="n">
        <x:v>13</x:v>
      </x:c>
      <x:c r="G168" s="7" t="n">
        <x:v>4</x:v>
      </x:c>
      <x:c r="H168" s="7" t="str">
        <x:f>IF(F168&gt;G168,"Win",IF(F168&lt;G168,"Loss","Draw"))</x:f>
        <x:v>Win</x:v>
      </x:c>
      <x:c r="I168" s="7" t="n">
        <x:f>IF(H168="Win",1,0)</x:f>
        <x:v>1</x:v>
      </x:c>
      <x:c r="J168" s="7" t="n">
        <x:f>F168-G168</x:f>
        <x:v>9</x:v>
      </x:c>
      <x:c r="K168" s="7" t="n">
        <x:f>F168+G168</x:f>
        <x:v>17</x:v>
      </x:c>
      <x:c r="L168" s="7" t="n">
        <x:v>26</x:v>
      </x:c>
      <x:c r="M168" s="7" t="n">
        <x:v>9</x:v>
      </x:c>
      <x:c r="N168" s="7" t="n">
        <x:v>4</x:v>
      </x:c>
      <x:c r="O168" s="9" t="n">
        <x:f>IF(M168=0,"n.a.",L168/M168)</x:f>
        <x:v>2.888888888888889</x:v>
      </x:c>
      <x:c r="P168" s="9" t="n">
        <x:f>IF(K168=0,"n.a.",L168/K168)</x:f>
        <x:v>1.5294117647058822</x:v>
      </x:c>
      <x:c r="Q168" s="9" t="n">
        <x:f>IF(K168=0,"n.a.",M168/K168)</x:f>
        <x:v>0.5294117647058824</x:v>
      </x:c>
      <x:c r="R168" s="9" t="n">
        <x:f>IF(K168=0,"n.a.",N168/K168)</x:f>
        <x:v>0.23529411764705882</x:v>
      </x:c>
      <x:c r="S168" s="7" t="n">
        <x:v>146</x:v>
      </x:c>
      <x:c r="T168" s="10" t="n">
        <x:v>0.19</x:v>
      </x:c>
      <x:c r="U168" s="7" t="n">
        <x:v>427</x:v>
      </x:c>
      <x:c r="V168" s="7" t="n">
        <x:v>1000</x:v>
      </x:c>
    </x:row>
    <x:row r="169" ht="16" customHeight="1">
      <x:c r="A169" s="7" t="n">
        <x:v>166</x:v>
      </x:c>
      <x:c r="B169" s="8" t="n">
        <x:v>45892</x:v>
      </x:c>
      <x:c r="C169" s="7" t="str">
        <x:v>Ascent</x:v>
      </x:c>
      <x:c r="D169" s="7" t="str">
        <x:v>9th</x:v>
      </x:c>
      <x:c r="E169" s="7" t="str">
        <x:v>Neon</x:v>
      </x:c>
      <x:c r="F169" s="7" t="n">
        <x:v>7</x:v>
      </x:c>
      <x:c r="G169" s="7" t="n">
        <x:v>13</x:v>
      </x:c>
      <x:c r="H169" s="7" t="str">
        <x:f>IF(F169&gt;G169,"Win",IF(F169&lt;G169,"Loss","Draw"))</x:f>
        <x:v>Loss</x:v>
      </x:c>
      <x:c r="I169" s="7" t="n">
        <x:f>IF(H169="Win",1,0)</x:f>
        <x:v>0</x:v>
      </x:c>
      <x:c r="J169" s="7" t="n">
        <x:f>F169-G169</x:f>
        <x:v>-6</x:v>
      </x:c>
      <x:c r="K169" s="7" t="n">
        <x:f>F169+G169</x:f>
        <x:v>20</x:v>
      </x:c>
      <x:c r="L169" s="7" t="n">
        <x:v>9</x:v>
      </x:c>
      <x:c r="M169" s="7" t="n">
        <x:v>17</x:v>
      </x:c>
      <x:c r="N169" s="7" t="n">
        <x:v>5</x:v>
      </x:c>
      <x:c r="O169" s="9" t="n">
        <x:f>IF(M169=0,"n.a.",L169/M169)</x:f>
        <x:v>0.5294117647058824</x:v>
      </x:c>
      <x:c r="P169" s="9" t="n">
        <x:f>IF(K169=0,"n.a.",L169/K169)</x:f>
        <x:v>0.45</x:v>
      </x:c>
      <x:c r="Q169" s="9" t="n">
        <x:f>IF(K169=0,"n.a.",M169/K169)</x:f>
        <x:v>0.85</x:v>
      </x:c>
      <x:c r="R169" s="9" t="n">
        <x:f>IF(K169=0,"n.a.",N169/K169)</x:f>
        <x:v>0.25</x:v>
      </x:c>
      <x:c r="S169" s="7" t="n">
        <x:v>-58</x:v>
      </x:c>
      <x:c r="T169" s="10" t="n">
        <x:v>0.25</x:v>
      </x:c>
      <x:c r="U169" s="7" t="n">
        <x:v>161</x:v>
      </x:c>
      <x:c r="V169" s="7" t="n">
        <x:v>214</x:v>
      </x:c>
    </x:row>
    <x:row r="170" ht="16" customHeight="1">
      <x:c r="A170" s="7" t="n">
        <x:v>167</x:v>
      </x:c>
      <x:c r="B170" s="8" t="n">
        <x:v>45892</x:v>
      </x:c>
      <x:c r="C170" s="7" t="str">
        <x:v>Ascent</x:v>
      </x:c>
      <x:c r="D170" s="7" t="str">
        <x:v>3rd</x:v>
      </x:c>
      <x:c r="E170" s="7" t="str">
        <x:v>Neon</x:v>
      </x:c>
      <x:c r="F170" s="7" t="n">
        <x:v>13</x:v>
      </x:c>
      <x:c r="G170" s="7" t="n">
        <x:v>11</x:v>
      </x:c>
      <x:c r="H170" s="7" t="str">
        <x:f>IF(F170&gt;G170,"Win",IF(F170&lt;G170,"Loss","Draw"))</x:f>
        <x:v>Win</x:v>
      </x:c>
      <x:c r="I170" s="7" t="n">
        <x:f>IF(H170="Win",1,0)</x:f>
        <x:v>1</x:v>
      </x:c>
      <x:c r="J170" s="7" t="n">
        <x:f>F170-G170</x:f>
        <x:v>2</x:v>
      </x:c>
      <x:c r="K170" s="7" t="n">
        <x:f>F170+G170</x:f>
        <x:v>24</x:v>
      </x:c>
      <x:c r="L170" s="7" t="n">
        <x:v>24</x:v>
      </x:c>
      <x:c r="M170" s="7" t="n">
        <x:v>18</x:v>
      </x:c>
      <x:c r="N170" s="7" t="n">
        <x:v>3</x:v>
      </x:c>
      <x:c r="O170" s="9" t="n">
        <x:f>IF(M170=0,"n.a.",L170/M170)</x:f>
        <x:v>1.3333333333333333</x:v>
      </x:c>
      <x:c r="P170" s="9" t="n">
        <x:f>IF(K170=0,"n.a.",L170/K170)</x:f>
        <x:v>1</x:v>
      </x:c>
      <x:c r="Q170" s="9" t="n">
        <x:f>IF(K170=0,"n.a.",M170/K170)</x:f>
        <x:v>0.75</x:v>
      </x:c>
      <x:c r="R170" s="9" t="n">
        <x:f>IF(K170=0,"n.a.",N170/K170)</x:f>
        <x:v>0.125</x:v>
      </x:c>
      <x:c r="S170" s="7" t="n">
        <x:v>16</x:v>
      </x:c>
      <x:c r="T170" s="10" t="n">
        <x:v>0.24</x:v>
      </x:c>
      <x:c r="U170" s="7" t="n">
        <x:v>260</x:v>
      </x:c>
      <x:c r="V170" s="7" t="n">
        <x:v>677</x:v>
      </x:c>
    </x:row>
    <x:row r="171" ht="16" customHeight="1">
      <x:c r="A171" s="7" t="n">
        <x:v>168</x:v>
      </x:c>
      <x:c r="B171" s="8" t="n">
        <x:v>45892</x:v>
      </x:c>
      <x:c r="C171" s="7" t="str">
        <x:v>Corrode</x:v>
      </x:c>
      <x:c r="D171" s="7" t="str">
        <x:v>8th</x:v>
      </x:c>
      <x:c r="E171" s="7" t="str">
        <x:v>Neon</x:v>
      </x:c>
      <x:c r="F171" s="7" t="n">
        <x:v>7</x:v>
      </x:c>
      <x:c r="G171" s="7" t="n">
        <x:v>13</x:v>
      </x:c>
      <x:c r="H171" s="7" t="str">
        <x:f>IF(F171&gt;G171,"Win",IF(F171&lt;G171,"Loss","Draw"))</x:f>
        <x:v>Loss</x:v>
      </x:c>
      <x:c r="I171" s="7" t="n">
        <x:f>IF(H171="Win",1,0)</x:f>
        <x:v>0</x:v>
      </x:c>
      <x:c r="J171" s="7" t="n">
        <x:f>F171-G171</x:f>
        <x:v>-6</x:v>
      </x:c>
      <x:c r="K171" s="7" t="n">
        <x:f>F171+G171</x:f>
        <x:v>20</x:v>
      </x:c>
      <x:c r="L171" s="7" t="n">
        <x:v>15</x:v>
      </x:c>
      <x:c r="M171" s="7" t="n">
        <x:v>19</x:v>
      </x:c>
      <x:c r="N171" s="7" t="n">
        <x:v>1</x:v>
      </x:c>
      <x:c r="O171" s="9" t="n">
        <x:f>IF(M171=0,"n.a.",L171/M171)</x:f>
        <x:v>0.7894736842105263</x:v>
      </x:c>
      <x:c r="P171" s="9" t="n">
        <x:f>IF(K171=0,"n.a.",L171/K171)</x:f>
        <x:v>0.75</x:v>
      </x:c>
      <x:c r="Q171" s="9" t="n">
        <x:f>IF(K171=0,"n.a.",M171/K171)</x:f>
        <x:v>0.95</x:v>
      </x:c>
      <x:c r="R171" s="9" t="n">
        <x:f>IF(K171=0,"n.a.",N171/K171)</x:f>
        <x:v>0.05</x:v>
      </x:c>
      <x:c r="S171" s="7" t="n">
        <x:v>-53</x:v>
      </x:c>
      <x:c r="T171" s="10" t="n">
        <x:v>0.23</x:v>
      </x:c>
      <x:c r="U171" s="7" t="n">
        <x:v>214</x:v>
      </x:c>
      <x:c r="V171" s="7" t="n">
        <x:v>272</x:v>
      </x:c>
    </x:row>
    <x:row r="172" ht="16" customHeight="1">
      <x:c r="A172" s="7" t="n">
        <x:v>169</x:v>
      </x:c>
      <x:c r="B172" s="8" t="n">
        <x:v>45893</x:v>
      </x:c>
      <x:c r="C172" s="7" t="str">
        <x:v>Sunset</x:v>
      </x:c>
      <x:c r="D172" s="7" t="str">
        <x:v>9th</x:v>
      </x:c>
      <x:c r="E172" s="7" t="str">
        <x:v>Neon</x:v>
      </x:c>
      <x:c r="F172" s="7" t="n">
        <x:v>13</x:v>
      </x:c>
      <x:c r="G172" s="7" t="n">
        <x:v>15</x:v>
      </x:c>
      <x:c r="H172" s="7" t="str">
        <x:f>IF(F172&gt;G172,"Win",IF(F172&lt;G172,"Loss","Draw"))</x:f>
        <x:v>Loss</x:v>
      </x:c>
      <x:c r="I172" s="7" t="n">
        <x:f>IF(H172="Win",1,0)</x:f>
        <x:v>0</x:v>
      </x:c>
      <x:c r="J172" s="7" t="n">
        <x:f>F172-G172</x:f>
        <x:v>-2</x:v>
      </x:c>
      <x:c r="K172" s="7" t="n">
        <x:f>F172+G172</x:f>
        <x:v>28</x:v>
      </x:c>
      <x:c r="L172" s="7" t="n">
        <x:v>14</x:v>
      </x:c>
      <x:c r="M172" s="7" t="n">
        <x:v>25</x:v>
      </x:c>
      <x:c r="N172" s="7" t="n">
        <x:v>4</x:v>
      </x:c>
      <x:c r="O172" s="9" t="n">
        <x:f>IF(M172=0,"n.a.",L172/M172)</x:f>
        <x:v>0.56</x:v>
      </x:c>
      <x:c r="P172" s="9" t="n">
        <x:f>IF(K172=0,"n.a.",L172/K172)</x:f>
        <x:v>0.5</x:v>
      </x:c>
      <x:c r="Q172" s="9" t="n">
        <x:f>IF(K172=0,"n.a.",M172/K172)</x:f>
        <x:v>0.8928571428571429</x:v>
      </x:c>
      <x:c r="R172" s="9" t="n">
        <x:f>IF(K172=0,"n.a.",N172/K172)</x:f>
        <x:v>0.14285714285714285</x:v>
      </x:c>
      <x:c r="S172" s="7" t="n">
        <x:v>-46</x:v>
      </x:c>
      <x:c r="T172" s="10" t="n">
        <x:v>0.18</x:v>
      </x:c>
      <x:c r="U172" s="7" t="n">
        <x:v>155</x:v>
      </x:c>
      <x:c r="V172" s="7" t="n">
        <x:v>344</x:v>
      </x:c>
    </x:row>
    <x:row r="173" ht="16" customHeight="1">
      <x:c r="A173" s="7" t="n">
        <x:v>170</x:v>
      </x:c>
      <x:c r="B173" s="8" t="n">
        <x:v>45896</x:v>
      </x:c>
      <x:c r="C173" s="7" t="str">
        <x:v>Lotus</x:v>
      </x:c>
      <x:c r="D173" s="7" t="str">
        <x:v>8th</x:v>
      </x:c>
      <x:c r="E173" s="7" t="str">
        <x:v>Neon</x:v>
      </x:c>
      <x:c r="F173" s="7" t="n">
        <x:v>9</x:v>
      </x:c>
      <x:c r="G173" s="7" t="n">
        <x:v>13</x:v>
      </x:c>
      <x:c r="H173" s="7" t="str">
        <x:f>IF(F173&gt;G173,"Win",IF(F173&lt;G173,"Loss","Draw"))</x:f>
        <x:v>Loss</x:v>
      </x:c>
      <x:c r="I173" s="7" t="n">
        <x:f>IF(H173="Win",1,0)</x:f>
        <x:v>0</x:v>
      </x:c>
      <x:c r="J173" s="7" t="n">
        <x:f>F173-G173</x:f>
        <x:v>-4</x:v>
      </x:c>
      <x:c r="K173" s="7" t="n">
        <x:f>F173+G173</x:f>
        <x:v>22</x:v>
      </x:c>
      <x:c r="L173" s="7" t="n">
        <x:v>12</x:v>
      </x:c>
      <x:c r="M173" s="7" t="n">
        <x:v>18</x:v>
      </x:c>
      <x:c r="N173" s="7" t="n">
        <x:v>3</x:v>
      </x:c>
      <x:c r="O173" s="9" t="n">
        <x:f>IF(M173=0,"n.a.",L173/M173)</x:f>
        <x:v>0.6666666666666666</x:v>
      </x:c>
      <x:c r="P173" s="9" t="n">
        <x:f>IF(K173=0,"n.a.",L173/K173)</x:f>
        <x:v>0.5454545454545454</x:v>
      </x:c>
      <x:c r="Q173" s="9" t="n">
        <x:f>IF(K173=0,"n.a.",M173/K173)</x:f>
        <x:v>0.8181818181818182</x:v>
      </x:c>
      <x:c r="R173" s="9" t="n">
        <x:f>IF(K173=0,"n.a.",N173/K173)</x:f>
        <x:v>0.13636363636363635</x:v>
      </x:c>
      <x:c r="S173" s="7" t="n">
        <x:v>-51</x:v>
      </x:c>
      <x:c r="T173" s="10" t="n">
        <x:v>0.21</x:v>
      </x:c>
      <x:c r="U173" s="7" t="n">
        <x:v>146</x:v>
      </x:c>
      <x:c r="V173" s="7" t="n">
        <x:v>254</x:v>
      </x:c>
    </x:row>
    <x:row r="174" ht="16" customHeight="1">
      <x:c r="A174" s="7" t="n">
        <x:v>171</x:v>
      </x:c>
      <x:c r="B174" s="8" t="n">
        <x:v>45896</x:v>
      </x:c>
      <x:c r="C174" s="7" t="str">
        <x:v>Corrode</x:v>
      </x:c>
      <x:c r="D174" s="7" t="str">
        <x:v>MVP</x:v>
      </x:c>
      <x:c r="E174" s="7" t="str">
        <x:v>Neon</x:v>
      </x:c>
      <x:c r="F174" s="7" t="n">
        <x:v>13</x:v>
      </x:c>
      <x:c r="G174" s="7" t="n">
        <x:v>5</x:v>
      </x:c>
      <x:c r="H174" s="7" t="str">
        <x:f>IF(F174&gt;G174,"Win",IF(F174&lt;G174,"Loss","Draw"))</x:f>
        <x:v>Win</x:v>
      </x:c>
      <x:c r="I174" s="7" t="n">
        <x:f>IF(H174="Win",1,0)</x:f>
        <x:v>1</x:v>
      </x:c>
      <x:c r="J174" s="7" t="n">
        <x:f>F174-G174</x:f>
        <x:v>8</x:v>
      </x:c>
      <x:c r="K174" s="7" t="n">
        <x:f>F174+G174</x:f>
        <x:v>18</x:v>
      </x:c>
      <x:c r="L174" s="7" t="n">
        <x:v>22</x:v>
      </x:c>
      <x:c r="M174" s="7" t="n">
        <x:v>11</x:v>
      </x:c>
      <x:c r="N174" s="7" t="n">
        <x:v>2</x:v>
      </x:c>
      <x:c r="O174" s="9" t="n">
        <x:f>IF(M174=0,"n.a.",L174/M174)</x:f>
        <x:v>2</x:v>
      </x:c>
      <x:c r="P174" s="9" t="n">
        <x:f>IF(K174=0,"n.a.",L174/K174)</x:f>
        <x:v>1.2222222222222223</x:v>
      </x:c>
      <x:c r="Q174" s="9" t="n">
        <x:f>IF(K174=0,"n.a.",M174/K174)</x:f>
        <x:v>0.6111111111111112</x:v>
      </x:c>
      <x:c r="R174" s="9" t="n">
        <x:f>IF(K174=0,"n.a.",N174/K174)</x:f>
        <x:v>0.1111111111111111</x:v>
      </x:c>
      <x:c r="S174" s="7" t="n">
        <x:v>76</x:v>
      </x:c>
      <x:c r="T174" s="10" t="n">
        <x:v>0.34</x:v>
      </x:c>
      <x:c r="U174" s="7" t="n">
        <x:v>316</x:v>
      </x:c>
      <x:c r="V174" s="7" t="n">
        <x:v>895</x:v>
      </x:c>
    </x:row>
    <x:row r="175" ht="16" customHeight="1">
      <x:c r="A175" s="7" t="n">
        <x:v>172</x:v>
      </x:c>
      <x:c r="B175" s="8" t="n">
        <x:v>45897</x:v>
      </x:c>
      <x:c r="C175" s="7" t="str">
        <x:v>Sunset</x:v>
      </x:c>
      <x:c r="D175" s="7" t="str">
        <x:v>7th</x:v>
      </x:c>
      <x:c r="E175" s="7" t="str">
        <x:v>Neon</x:v>
      </x:c>
      <x:c r="F175" s="7" t="n">
        <x:v>14</x:v>
      </x:c>
      <x:c r="G175" s="7" t="n">
        <x:v>14</x:v>
      </x:c>
      <x:c r="H175" s="7" t="str">
        <x:f>IF(F175&gt;G175,"Win",IF(F175&lt;G175,"Loss","Draw"))</x:f>
        <x:v>Draw</x:v>
      </x:c>
      <x:c r="I175" s="7" t="n">
        <x:f>IF(H175="Win",1,0)</x:f>
        <x:v>0</x:v>
      </x:c>
      <x:c r="J175" s="7" t="n">
        <x:f>F175-G175</x:f>
        <x:v>0</x:v>
      </x:c>
      <x:c r="K175" s="7" t="n">
        <x:f>F175+G175</x:f>
        <x:v>28</x:v>
      </x:c>
      <x:c r="L175" s="7" t="n">
        <x:v>20</x:v>
      </x:c>
      <x:c r="M175" s="7" t="n">
        <x:v>20</x:v>
      </x:c>
      <x:c r="N175" s="7" t="n">
        <x:v>2</x:v>
      </x:c>
      <x:c r="O175" s="9" t="n">
        <x:f>IF(M175=0,"n.a.",L175/M175)</x:f>
        <x:v>1</x:v>
      </x:c>
      <x:c r="P175" s="9" t="n">
        <x:f>IF(K175=0,"n.a.",L175/K175)</x:f>
        <x:v>0.7142857142857143</x:v>
      </x:c>
      <x:c r="Q175" s="9" t="n">
        <x:f>IF(K175=0,"n.a.",M175/K175)</x:f>
        <x:v>0.7142857142857143</x:v>
      </x:c>
      <x:c r="R175" s="9" t="n">
        <x:f>IF(K175=0,"n.a.",N175/K175)</x:f>
        <x:v>0.07142857142857142</x:v>
      </x:c>
      <x:c r="S175" s="7" t="n">
        <x:v>-15</x:v>
      </x:c>
      <x:c r="T175" s="10" t="n">
        <x:v>0.32</x:v>
      </x:c>
      <x:c r="U175" s="7" t="n">
        <x:v>202</x:v>
      </x:c>
      <x:c r="V175" s="7" t="n">
        <x:v>525</x:v>
      </x:c>
    </x:row>
    <x:row r="176" ht="16" customHeight="1">
      <x:c r="A176" s="7" t="n">
        <x:v>173</x:v>
      </x:c>
      <x:c r="B176" s="8" t="n">
        <x:v>45897</x:v>
      </x:c>
      <x:c r="C176" s="7" t="str">
        <x:v>Lotus</x:v>
      </x:c>
      <x:c r="D176" s="7" t="str">
        <x:v>8th</x:v>
      </x:c>
      <x:c r="E176" s="7" t="str">
        <x:v>Neon</x:v>
      </x:c>
      <x:c r="F176" s="7" t="n">
        <x:v>13</x:v>
      </x:c>
      <x:c r="G176" s="7" t="n">
        <x:v>9</x:v>
      </x:c>
      <x:c r="H176" s="7" t="str">
        <x:f>IF(F176&gt;G176,"Win",IF(F176&lt;G176,"Loss","Draw"))</x:f>
        <x:v>Win</x:v>
      </x:c>
      <x:c r="I176" s="7" t="n">
        <x:f>IF(H176="Win",1,0)</x:f>
        <x:v>1</x:v>
      </x:c>
      <x:c r="J176" s="7" t="n">
        <x:f>F176-G176</x:f>
        <x:v>4</x:v>
      </x:c>
      <x:c r="K176" s="7" t="n">
        <x:f>F176+G176</x:f>
        <x:v>22</x:v>
      </x:c>
      <x:c r="L176" s="7" t="n">
        <x:v>13</x:v>
      </x:c>
      <x:c r="M176" s="7" t="n">
        <x:v>18</x:v>
      </x:c>
      <x:c r="N176" s="7" t="n">
        <x:v>4</x:v>
      </x:c>
      <x:c r="O176" s="9" t="n">
        <x:f>IF(M176=0,"n.a.",L176/M176)</x:f>
        <x:v>0.7222222222222222</x:v>
      </x:c>
      <x:c r="P176" s="9" t="n">
        <x:f>IF(K176=0,"n.a.",L176/K176)</x:f>
        <x:v>0.5909090909090909</x:v>
      </x:c>
      <x:c r="Q176" s="9" t="n">
        <x:f>IF(K176=0,"n.a.",M176/K176)</x:f>
        <x:v>0.8181818181818182</x:v>
      </x:c>
      <x:c r="R176" s="9" t="n">
        <x:f>IF(K176=0,"n.a.",N176/K176)</x:f>
        <x:v>0.18181818181818182</x:v>
      </x:c>
      <x:c r="S176" s="7" t="n">
        <x:v>-37</x:v>
      </x:c>
      <x:c r="T176" s="10" t="n">
        <x:v>0.16</x:v>
      </x:c>
      <x:c r="U176" s="7" t="n">
        <x:v>160</x:v>
      </x:c>
      <x:c r="V176" s="7" t="n">
        <x:v>380</x:v>
      </x:c>
    </x:row>
    <x:row r="177" ht="16" customHeight="1">
      <x:c r="A177" s="7" t="n">
        <x:v>174</x:v>
      </x:c>
      <x:c r="B177" s="8" t="n">
        <x:v>45898</x:v>
      </x:c>
      <x:c r="C177" s="7" t="str">
        <x:v>Abyss</x:v>
      </x:c>
      <x:c r="D177" s="7" t="str">
        <x:v>9th</x:v>
      </x:c>
      <x:c r="E177" s="7" t="str">
        <x:v>Gekko</x:v>
      </x:c>
      <x:c r="F177" s="7" t="n">
        <x:v>9</x:v>
      </x:c>
      <x:c r="G177" s="7" t="n">
        <x:v>13</x:v>
      </x:c>
      <x:c r="H177" s="7" t="str">
        <x:f>IF(F177&gt;G177,"Win",IF(F177&lt;G177,"Loss","Draw"))</x:f>
        <x:v>Loss</x:v>
      </x:c>
      <x:c r="I177" s="7" t="n">
        <x:f>IF(H177="Win",1,0)</x:f>
        <x:v>0</x:v>
      </x:c>
      <x:c r="J177" s="7" t="n">
        <x:f>F177-G177</x:f>
        <x:v>-4</x:v>
      </x:c>
      <x:c r="K177" s="7" t="n">
        <x:f>F177+G177</x:f>
        <x:v>22</x:v>
      </x:c>
      <x:c r="L177" s="7" t="n">
        <x:v>10</x:v>
      </x:c>
      <x:c r="M177" s="7" t="n">
        <x:v>19</x:v>
      </x:c>
      <x:c r="N177" s="7" t="n">
        <x:v>5</x:v>
      </x:c>
      <x:c r="O177" s="9" t="n">
        <x:f>IF(M177=0,"n.a.",L177/M177)</x:f>
        <x:v>0.5263157894736842</x:v>
      </x:c>
      <x:c r="P177" s="9" t="n">
        <x:f>IF(K177=0,"n.a.",L177/K177)</x:f>
        <x:v>0.45454545454545453</x:v>
      </x:c>
      <x:c r="Q177" s="9" t="n">
        <x:f>IF(K177=0,"n.a.",M177/K177)</x:f>
        <x:v>0.8636363636363636</x:v>
      </x:c>
      <x:c r="R177" s="9" t="n">
        <x:f>IF(K177=0,"n.a.",N177/K177)</x:f>
        <x:v>0.22727272727272727</x:v>
      </x:c>
      <x:c r="S177" s="7" t="n">
        <x:v>-63</x:v>
      </x:c>
      <x:c r="T177" s="10" t="n">
        <x:v>0.36</x:v>
      </x:c>
      <x:c r="U177" s="7" t="n">
        <x:v>136</x:v>
      </x:c>
      <x:c r="V177" s="7" t="n">
        <x:v>157</x:v>
      </x:c>
    </x:row>
    <x:row r="178" ht="16" customHeight="1">
      <x:c r="A178" s="7" t="n">
        <x:v>175</x:v>
      </x:c>
      <x:c r="B178" s="8" t="n">
        <x:v>45898</x:v>
      </x:c>
      <x:c r="C178" s="7" t="str">
        <x:v>Bind</x:v>
      </x:c>
      <x:c r="D178" s="7" t="str">
        <x:v>6th</x:v>
      </x:c>
      <x:c r="E178" s="7" t="str">
        <x:v>Neon</x:v>
      </x:c>
      <x:c r="F178" s="7" t="n">
        <x:v>4</x:v>
      </x:c>
      <x:c r="G178" s="7" t="n">
        <x:v>13</x:v>
      </x:c>
      <x:c r="H178" s="7" t="str">
        <x:f>IF(F178&gt;G178,"Win",IF(F178&lt;G178,"Loss","Draw"))</x:f>
        <x:v>Loss</x:v>
      </x:c>
      <x:c r="I178" s="7" t="n">
        <x:f>IF(H178="Win",1,0)</x:f>
        <x:v>0</x:v>
      </x:c>
      <x:c r="J178" s="7" t="n">
        <x:f>F178-G178</x:f>
        <x:v>-9</x:v>
      </x:c>
      <x:c r="K178" s="7" t="n">
        <x:f>F178+G178</x:f>
        <x:v>17</x:v>
      </x:c>
      <x:c r="L178" s="7" t="n">
        <x:v>9</x:v>
      </x:c>
      <x:c r="M178" s="7" t="n">
        <x:v>16</x:v>
      </x:c>
      <x:c r="N178" s="7" t="n">
        <x:v>4</x:v>
      </x:c>
      <x:c r="O178" s="9" t="n">
        <x:f>IF(M178=0,"n.a.",L178/M178)</x:f>
        <x:v>0.5625</x:v>
      </x:c>
      <x:c r="P178" s="9" t="n">
        <x:f>IF(K178=0,"n.a.",L178/K178)</x:f>
        <x:v>0.5294117647058824</x:v>
      </x:c>
      <x:c r="Q178" s="9" t="n">
        <x:f>IF(K178=0,"n.a.",M178/K178)</x:f>
        <x:v>0.9411764705882353</x:v>
      </x:c>
      <x:c r="R178" s="9" t="n">
        <x:f>IF(K178=0,"n.a.",N178/K178)</x:f>
        <x:v>0.23529411764705882</x:v>
      </x:c>
      <x:c r="S178" s="7" t="n">
        <x:v>-44</x:v>
      </x:c>
      <x:c r="T178" s="10" t="n">
        <x:v>0.08</x:v>
      </x:c>
      <x:c r="U178" s="7" t="n">
        <x:v>178</x:v>
      </x:c>
      <x:c r="V178" s="7" t="n">
        <x:v>207</x:v>
      </x:c>
    </x:row>
    <x:row r="179" ht="16" customHeight="1">
      <x:c r="A179" s="7" t="n">
        <x:v>176</x:v>
      </x:c>
      <x:c r="B179" s="8" t="n">
        <x:v>45898</x:v>
      </x:c>
      <x:c r="C179" s="7" t="str">
        <x:v>Haven</x:v>
      </x:c>
      <x:c r="D179" s="7" t="str">
        <x:v>3rd</x:v>
      </x:c>
      <x:c r="E179" s="7" t="str">
        <x:v>Neon</x:v>
      </x:c>
      <x:c r="F179" s="7" t="n">
        <x:v>12</x:v>
      </x:c>
      <x:c r="G179" s="7" t="n">
        <x:v>14</x:v>
      </x:c>
      <x:c r="H179" s="7" t="str">
        <x:f>IF(F179&gt;G179,"Win",IF(F179&lt;G179,"Loss","Draw"))</x:f>
        <x:v>Loss</x:v>
      </x:c>
      <x:c r="I179" s="7" t="n">
        <x:f>IF(H179="Win",1,0)</x:f>
        <x:v>0</x:v>
      </x:c>
      <x:c r="J179" s="7" t="n">
        <x:f>F179-G179</x:f>
        <x:v>-2</x:v>
      </x:c>
      <x:c r="K179" s="7" t="n">
        <x:f>F179+G179</x:f>
        <x:v>26</x:v>
      </x:c>
      <x:c r="L179" s="7" t="n">
        <x:v>22</x:v>
      </x:c>
      <x:c r="M179" s="7" t="n">
        <x:v>21</x:v>
      </x:c>
      <x:c r="N179" s="7" t="n">
        <x:v>4</x:v>
      </x:c>
      <x:c r="O179" s="9" t="n">
        <x:f>IF(M179=0,"n.a.",L179/M179)</x:f>
        <x:v>1.0476190476190477</x:v>
      </x:c>
      <x:c r="P179" s="9" t="n">
        <x:f>IF(K179=0,"n.a.",L179/K179)</x:f>
        <x:v>0.8461538461538461</x:v>
      </x:c>
      <x:c r="Q179" s="9" t="n">
        <x:f>IF(K179=0,"n.a.",M179/K179)</x:f>
        <x:v>0.8076923076923077</x:v>
      </x:c>
      <x:c r="R179" s="9" t="n">
        <x:f>IF(K179=0,"n.a.",N179/K179)</x:f>
        <x:v>0.15384615384615385</x:v>
      </x:c>
      <x:c r="S179" s="7" t="n">
        <x:v>17</x:v>
      </x:c>
      <x:c r="T179" s="10" t="n">
        <x:v>0.25</x:v>
      </x:c>
      <x:c r="U179" s="7" t="n">
        <x:v>253</x:v>
      </x:c>
      <x:c r="V179" s="7" t="n">
        <x:v>507</x:v>
      </x:c>
    </x:row>
    <x:row r="180" ht="16" customHeight="1">
      <x:c r="A180" s="7" t="n">
        <x:v>177</x:v>
      </x:c>
      <x:c r="B180" s="8" t="n">
        <x:v>45899</x:v>
      </x:c>
      <x:c r="C180" s="7" t="str">
        <x:v>Bind</x:v>
      </x:c>
      <x:c r="D180" s="7" t="str">
        <x:v>MVP</x:v>
      </x:c>
      <x:c r="E180" s="7" t="str">
        <x:v>Neon</x:v>
      </x:c>
      <x:c r="F180" s="7" t="n">
        <x:v>11</x:v>
      </x:c>
      <x:c r="G180" s="7" t="n">
        <x:v>13</x:v>
      </x:c>
      <x:c r="H180" s="7" t="str">
        <x:f>IF(F180&gt;G180,"Win",IF(F180&lt;G180,"Loss","Draw"))</x:f>
        <x:v>Loss</x:v>
      </x:c>
      <x:c r="I180" s="7" t="n">
        <x:f>IF(H180="Win",1,0)</x:f>
        <x:v>0</x:v>
      </x:c>
      <x:c r="J180" s="7" t="n">
        <x:f>F180-G180</x:f>
        <x:v>-2</x:v>
      </x:c>
      <x:c r="K180" s="7" t="n">
        <x:f>F180+G180</x:f>
        <x:v>24</x:v>
      </x:c>
      <x:c r="L180" s="7" t="n">
        <x:v>28</x:v>
      </x:c>
      <x:c r="M180" s="7" t="n">
        <x:v>19</x:v>
      </x:c>
      <x:c r="N180" s="7" t="n">
        <x:v>1</x:v>
      </x:c>
      <x:c r="O180" s="9" t="n">
        <x:f>IF(M180=0,"n.a.",L180/M180)</x:f>
        <x:v>1.4736842105263157</x:v>
      </x:c>
      <x:c r="P180" s="9" t="n">
        <x:f>IF(K180=0,"n.a.",L180/K180)</x:f>
        <x:v>1.1666666666666667</x:v>
      </x:c>
      <x:c r="Q180" s="9" t="n">
        <x:f>IF(K180=0,"n.a.",M180/K180)</x:f>
        <x:v>0.7916666666666666</x:v>
      </x:c>
      <x:c r="R180" s="9" t="n">
        <x:f>IF(K180=0,"n.a.",N180/K180)</x:f>
        <x:v>0.041666666666666664</x:v>
      </x:c>
      <x:c r="S180" s="7" t="n">
        <x:v>50</x:v>
      </x:c>
      <x:c r="T180" s="10" t="n">
        <x:v>0.18</x:v>
      </x:c>
      <x:c r="U180" s="7" t="n">
        <x:v>323</x:v>
      </x:c>
      <x:c r="V180" s="7" t="n">
        <x:v>747</x:v>
      </x:c>
    </x:row>
    <x:row r="181" ht="16" customHeight="1">
      <x:c r="A181" s="7" t="n">
        <x:v>178</x:v>
      </x:c>
      <x:c r="B181" s="8" t="n">
        <x:v>45899</x:v>
      </x:c>
      <x:c r="C181" s="7" t="str">
        <x:v>Haven</x:v>
      </x:c>
      <x:c r="D181" s="7" t="str">
        <x:v>3rd</x:v>
      </x:c>
      <x:c r="E181" s="7" t="str">
        <x:v>Omen</x:v>
      </x:c>
      <x:c r="F181" s="7" t="n">
        <x:v>8</x:v>
      </x:c>
      <x:c r="G181" s="7" t="n">
        <x:v>13</x:v>
      </x:c>
      <x:c r="H181" s="7" t="str">
        <x:f>IF(F181&gt;G181,"Win",IF(F181&lt;G181,"Loss","Draw"))</x:f>
        <x:v>Loss</x:v>
      </x:c>
      <x:c r="I181" s="7" t="n">
        <x:f>IF(H181="Win",1,0)</x:f>
        <x:v>0</x:v>
      </x:c>
      <x:c r="J181" s="7" t="n">
        <x:f>F181-G181</x:f>
        <x:v>-5</x:v>
      </x:c>
      <x:c r="K181" s="7" t="n">
        <x:f>F181+G181</x:f>
        <x:v>21</x:v>
      </x:c>
      <x:c r="L181" s="7" t="n">
        <x:v>21</x:v>
      </x:c>
      <x:c r="M181" s="7" t="n">
        <x:v>19</x:v>
      </x:c>
      <x:c r="N181" s="7" t="n">
        <x:v>8</x:v>
      </x:c>
      <x:c r="O181" s="9" t="n">
        <x:f>IF(M181=0,"n.a.",L181/M181)</x:f>
        <x:v>1.105263157894737</x:v>
      </x:c>
      <x:c r="P181" s="9" t="n">
        <x:f>IF(K181=0,"n.a.",L181/K181)</x:f>
        <x:v>1</x:v>
      </x:c>
      <x:c r="Q181" s="9" t="n">
        <x:f>IF(K181=0,"n.a.",M181/K181)</x:f>
        <x:v>0.9047619047619048</x:v>
      </x:c>
      <x:c r="R181" s="9" t="n">
        <x:f>IF(K181=0,"n.a.",N181/K181)</x:f>
        <x:v>0.38095238095238093</x:v>
      </x:c>
      <x:c r="S181" s="7" t="n">
        <x:v>-11</x:v>
      </x:c>
      <x:c r="T181" s="10" t="n">
        <x:v>0.31</x:v>
      </x:c>
      <x:c r="U181" s="7" t="n">
        <x:v>274</x:v>
      </x:c>
      <x:c r="V181" s="7" t="n">
        <x:v>628</x:v>
      </x:c>
    </x:row>
    <x:row r="182" ht="16" customHeight="1">
      <x:c r="A182" s="7" t="n">
        <x:v>179</x:v>
      </x:c>
      <x:c r="B182" s="8" t="n">
        <x:v>45899</x:v>
      </x:c>
      <x:c r="C182" s="7" t="str">
        <x:v>Bind</x:v>
      </x:c>
      <x:c r="D182" s="7" t="str">
        <x:v>3rd</x:v>
      </x:c>
      <x:c r="E182" s="7" t="str">
        <x:v>Omen</x:v>
      </x:c>
      <x:c r="F182" s="7" t="n">
        <x:v>13</x:v>
      </x:c>
      <x:c r="G182" s="7" t="n">
        <x:v>6</x:v>
      </x:c>
      <x:c r="H182" s="7" t="str">
        <x:f>IF(F182&gt;G182,"Win",IF(F182&lt;G182,"Loss","Draw"))</x:f>
        <x:v>Win</x:v>
      </x:c>
      <x:c r="I182" s="7" t="n">
        <x:f>IF(H182="Win",1,0)</x:f>
        <x:v>1</x:v>
      </x:c>
      <x:c r="J182" s="7" t="n">
        <x:f>F182-G182</x:f>
        <x:v>7</x:v>
      </x:c>
      <x:c r="K182" s="7" t="n">
        <x:f>F182+G182</x:f>
        <x:v>19</x:v>
      </x:c>
      <x:c r="L182" s="7" t="n">
        <x:v>18</x:v>
      </x:c>
      <x:c r="M182" s="7" t="n">
        <x:v>10</x:v>
      </x:c>
      <x:c r="N182" s="7" t="n">
        <x:v>5</x:v>
      </x:c>
      <x:c r="O182" s="9" t="n">
        <x:f>IF(M182=0,"n.a.",L182/M182)</x:f>
        <x:v>1.8</x:v>
      </x:c>
      <x:c r="P182" s="9" t="n">
        <x:f>IF(K182=0,"n.a.",L182/K182)</x:f>
        <x:v>0.9473684210526315</x:v>
      </x:c>
      <x:c r="Q182" s="9" t="n">
        <x:f>IF(K182=0,"n.a.",M182/K182)</x:f>
        <x:v>0.5263157894736842</x:v>
      </x:c>
      <x:c r="R182" s="9" t="n">
        <x:f>IF(K182=0,"n.a.",N182/K182)</x:f>
        <x:v>0.2631578947368421</x:v>
      </x:c>
      <x:c r="S182" s="7" t="n">
        <x:v>49</x:v>
      </x:c>
      <x:c r="T182" s="10" t="n">
        <x:v>0.14</x:v>
      </x:c>
      <x:c r="U182" s="7" t="n">
        <x:v>240</x:v>
      </x:c>
      <x:c r="V182" s="7" t="n">
        <x:v>703</x:v>
      </x:c>
    </x:row>
    <x:row r="183" ht="16" customHeight="1">
      <x:c r="A183" s="7" t="n">
        <x:v>180</x:v>
      </x:c>
      <x:c r="B183" s="8" t="n">
        <x:v>45899</x:v>
      </x:c>
      <x:c r="C183" s="7" t="str">
        <x:v>Corrode</x:v>
      </x:c>
      <x:c r="D183" s="7" t="str">
        <x:v>2nd</x:v>
      </x:c>
      <x:c r="E183" s="7" t="str">
        <x:v>Sage</x:v>
      </x:c>
      <x:c r="F183" s="7" t="n">
        <x:v>6</x:v>
      </x:c>
      <x:c r="G183" s="7" t="n">
        <x:v>13</x:v>
      </x:c>
      <x:c r="H183" s="7" t="str">
        <x:f>IF(F183&gt;G183,"Win",IF(F183&lt;G183,"Loss","Draw"))</x:f>
        <x:v>Loss</x:v>
      </x:c>
      <x:c r="I183" s="7" t="n">
        <x:f>IF(H183="Win",1,0)</x:f>
        <x:v>0</x:v>
      </x:c>
      <x:c r="J183" s="7" t="n">
        <x:f>F183-G183</x:f>
        <x:v>-7</x:v>
      </x:c>
      <x:c r="K183" s="7" t="n">
        <x:f>F183+G183</x:f>
        <x:v>19</x:v>
      </x:c>
      <x:c r="L183" s="7" t="n">
        <x:v>20</x:v>
      </x:c>
      <x:c r="M183" s="7" t="n">
        <x:v>14</x:v>
      </x:c>
      <x:c r="N183" s="7" t="n">
        <x:v>3</x:v>
      </x:c>
      <x:c r="O183" s="9" t="n">
        <x:f>IF(M183=0,"n.a.",L183/M183)</x:f>
        <x:v>1.4285714285714286</x:v>
      </x:c>
      <x:c r="P183" s="9" t="n">
        <x:f>IF(K183=0,"n.a.",L183/K183)</x:f>
        <x:v>1.0526315789473684</x:v>
      </x:c>
      <x:c r="Q183" s="9" t="n">
        <x:f>IF(K183=0,"n.a.",M183/K183)</x:f>
        <x:v>0.7368421052631579</x:v>
      </x:c>
      <x:c r="R183" s="9" t="n">
        <x:f>IF(K183=0,"n.a.",N183/K183)</x:f>
        <x:v>0.15789473684210525</x:v>
      </x:c>
      <x:c r="S183" s="7" t="n">
        <x:v>48</x:v>
      </x:c>
      <x:c r="T183" s="10" t="n">
        <x:v>0.46</x:v>
      </x:c>
      <x:c r="U183" s="7" t="n">
        <x:v>297</x:v>
      </x:c>
      <x:c r="V183" s="7" t="n">
        <x:v>606</x:v>
      </x:c>
    </x:row>
    <x:row r="184" ht="16" customHeight="1">
      <x:c r="A184" s="7" t="n">
        <x:v>181</x:v>
      </x:c>
      <x:c r="B184" s="8" t="n">
        <x:v>45899</x:v>
      </x:c>
      <x:c r="C184" s="7" t="str">
        <x:v>Sunset</x:v>
      </x:c>
      <x:c r="D184" s="7" t="str">
        <x:v>5th</x:v>
      </x:c>
      <x:c r="E184" s="7" t="str">
        <x:v>Chamber</x:v>
      </x:c>
      <x:c r="F184" s="7" t="n">
        <x:v>13</x:v>
      </x:c>
      <x:c r="G184" s="7" t="n">
        <x:v>7</x:v>
      </x:c>
      <x:c r="H184" s="7" t="str">
        <x:f>IF(F184&gt;G184,"Win",IF(F184&lt;G184,"Loss","Draw"))</x:f>
        <x:v>Win</x:v>
      </x:c>
      <x:c r="I184" s="7" t="n">
        <x:f>IF(H184="Win",1,0)</x:f>
        <x:v>1</x:v>
      </x:c>
      <x:c r="J184" s="7" t="n">
        <x:f>F184-G184</x:f>
        <x:v>6</x:v>
      </x:c>
      <x:c r="K184" s="7" t="n">
        <x:f>F184+G184</x:f>
        <x:v>20</x:v>
      </x:c>
      <x:c r="L184" s="7" t="n">
        <x:v>14</x:v>
      </x:c>
      <x:c r="M184" s="7" t="n">
        <x:v>16</x:v>
      </x:c>
      <x:c r="N184" s="7" t="n">
        <x:v>3</x:v>
      </x:c>
      <x:c r="O184" s="9" t="n">
        <x:f>IF(M184=0,"n.a.",L184/M184)</x:f>
        <x:v>0.875</x:v>
      </x:c>
      <x:c r="P184" s="9" t="n">
        <x:f>IF(K184=0,"n.a.",L184/K184)</x:f>
        <x:v>0.7</x:v>
      </x:c>
      <x:c r="Q184" s="9" t="n">
        <x:f>IF(K184=0,"n.a.",M184/K184)</x:f>
        <x:v>0.8</x:v>
      </x:c>
      <x:c r="R184" s="9" t="n">
        <x:f>IF(K184=0,"n.a.",N184/K184)</x:f>
        <x:v>0.15</x:v>
      </x:c>
      <x:c r="S184" s="7" t="n">
        <x:v>-15</x:v>
      </x:c>
      <x:c r="T184" s="10" t="n">
        <x:v>0.36</x:v>
      </x:c>
      <x:c r="U184" s="7" t="n">
        <x:v>198</x:v>
      </x:c>
      <x:c r="V184" s="7" t="n">
        <x:v>496</x:v>
      </x:c>
    </x:row>
    <x:row r="185" ht="16" customHeight="1">
      <x:c r="A185" s="7" t="n">
        <x:v>182</x:v>
      </x:c>
      <x:c r="B185" s="8" t="n">
        <x:v>45899</x:v>
      </x:c>
      <x:c r="C185" s="7" t="str">
        <x:v>Corrode</x:v>
      </x:c>
      <x:c r="D185" s="7" t="str">
        <x:v>7th</x:v>
      </x:c>
      <x:c r="E185" s="7" t="str">
        <x:v>Neon</x:v>
      </x:c>
      <x:c r="F185" s="7" t="n">
        <x:v>3</x:v>
      </x:c>
      <x:c r="G185" s="7" t="n">
        <x:v>13</x:v>
      </x:c>
      <x:c r="H185" s="7" t="str">
        <x:f>IF(F185&gt;G185,"Win",IF(F185&lt;G185,"Loss","Draw"))</x:f>
        <x:v>Loss</x:v>
      </x:c>
      <x:c r="I185" s="7" t="n">
        <x:f>IF(H185="Win",1,0)</x:f>
        <x:v>0</x:v>
      </x:c>
      <x:c r="J185" s="7" t="n">
        <x:f>F185-G185</x:f>
        <x:v>-10</x:v>
      </x:c>
      <x:c r="K185" s="7" t="n">
        <x:f>F185+G185</x:f>
        <x:v>16</x:v>
      </x:c>
      <x:c r="L185" s="7" t="n">
        <x:v>10</x:v>
      </x:c>
      <x:c r="M185" s="7" t="n">
        <x:v>15</x:v>
      </x:c>
      <x:c r="N185" s="7" t="n">
        <x:v>2</x:v>
      </x:c>
      <x:c r="O185" s="9" t="n">
        <x:f>IF(M185=0,"n.a.",L185/M185)</x:f>
        <x:v>0.6666666666666666</x:v>
      </x:c>
      <x:c r="P185" s="9" t="n">
        <x:f>IF(K185=0,"n.a.",L185/K185)</x:f>
        <x:v>0.625</x:v>
      </x:c>
      <x:c r="Q185" s="9" t="n">
        <x:f>IF(K185=0,"n.a.",M185/K185)</x:f>
        <x:v>0.9375</x:v>
      </x:c>
      <x:c r="R185" s="9" t="n">
        <x:f>IF(K185=0,"n.a.",N185/K185)</x:f>
        <x:v>0.125</x:v>
      </x:c>
      <x:c r="S185" s="7" t="n">
        <x:v>-41</x:v>
      </x:c>
      <x:c r="T185" s="10" t="n">
        <x:v>0.14</x:v>
      </x:c>
      <x:c r="U185" s="7" t="n">
        <x:v>196</x:v>
      </x:c>
      <x:c r="V185" s="7" t="n">
        <x:v>224</x:v>
      </x:c>
    </x:row>
    <x:row r="186" ht="16" customHeight="1">
      <x:c r="A186" s="7" t="n">
        <x:v>183</x:v>
      </x:c>
      <x:c r="B186" s="8" t="n">
        <x:v>45899</x:v>
      </x:c>
      <x:c r="C186" s="7" t="str">
        <x:v>Bind</x:v>
      </x:c>
      <x:c r="D186" s="7" t="str">
        <x:v>MVP</x:v>
      </x:c>
      <x:c r="E186" s="7" t="str">
        <x:v>Neon</x:v>
      </x:c>
      <x:c r="F186" s="7" t="n">
        <x:v>7</x:v>
      </x:c>
      <x:c r="G186" s="7" t="n">
        <x:v>13</x:v>
      </x:c>
      <x:c r="H186" s="7" t="str">
        <x:f>IF(F186&gt;G186,"Win",IF(F186&lt;G186,"Loss","Draw"))</x:f>
        <x:v>Loss</x:v>
      </x:c>
      <x:c r="I186" s="7" t="n">
        <x:f>IF(H186="Win",1,0)</x:f>
        <x:v>0</x:v>
      </x:c>
      <x:c r="J186" s="7" t="n">
        <x:f>F186-G186</x:f>
        <x:v>-6</x:v>
      </x:c>
      <x:c r="K186" s="7" t="n">
        <x:f>F186+G186</x:f>
        <x:v>20</x:v>
      </x:c>
      <x:c r="L186" s="7" t="n">
        <x:v>22</x:v>
      </x:c>
      <x:c r="M186" s="7" t="n">
        <x:v>16</x:v>
      </x:c>
      <x:c r="N186" s="7" t="n">
        <x:v>3</x:v>
      </x:c>
      <x:c r="O186" s="9" t="n">
        <x:f>IF(M186=0,"n.a.",L186/M186)</x:f>
        <x:v>1.375</x:v>
      </x:c>
      <x:c r="P186" s="9" t="n">
        <x:f>IF(K186=0,"n.a.",L186/K186)</x:f>
        <x:v>1.1</x:v>
      </x:c>
      <x:c r="Q186" s="9" t="n">
        <x:f>IF(K186=0,"n.a.",M186/K186)</x:f>
        <x:v>0.8</x:v>
      </x:c>
      <x:c r="R186" s="9" t="n">
        <x:f>IF(K186=0,"n.a.",N186/K186)</x:f>
        <x:v>0.15</x:v>
      </x:c>
      <x:c r="S186" s="7" t="n">
        <x:v>35</x:v>
      </x:c>
      <x:c r="T186" s="10" t="n">
        <x:v>0.25</x:v>
      </x:c>
      <x:c r="U186" s="7" t="n">
        <x:v>309</x:v>
      </x:c>
      <x:c r="V186" s="7" t="n">
        <x:v>613</x:v>
      </x:c>
    </x:row>
    <x:row r="187" ht="16" customHeight="1">
      <x:c r="A187" s="7" t="n">
        <x:v>184</x:v>
      </x:c>
      <x:c r="B187" s="8" t="n">
        <x:v>45899</x:v>
      </x:c>
      <x:c r="C187" s="7" t="str">
        <x:v>Abyss</x:v>
      </x:c>
      <x:c r="D187" s="7" t="str">
        <x:v>7th</x:v>
      </x:c>
      <x:c r="E187" s="7" t="str">
        <x:v>Neon</x:v>
      </x:c>
      <x:c r="F187" s="7" t="n">
        <x:v>13</x:v>
      </x:c>
      <x:c r="G187" s="7" t="n">
        <x:v>8</x:v>
      </x:c>
      <x:c r="H187" s="7" t="str">
        <x:f>IF(F187&gt;G187,"Win",IF(F187&lt;G187,"Loss","Draw"))</x:f>
        <x:v>Win</x:v>
      </x:c>
      <x:c r="I187" s="7" t="n">
        <x:f>IF(H187="Win",1,0)</x:f>
        <x:v>1</x:v>
      </x:c>
      <x:c r="J187" s="7" t="n">
        <x:f>F187-G187</x:f>
        <x:v>5</x:v>
      </x:c>
      <x:c r="K187" s="7" t="n">
        <x:f>F187+G187</x:f>
        <x:v>21</x:v>
      </x:c>
      <x:c r="L187" s="7" t="n">
        <x:v>14</x:v>
      </x:c>
      <x:c r="M187" s="7" t="n">
        <x:v>17</x:v>
      </x:c>
      <x:c r="N187" s="7" t="n">
        <x:v>5</x:v>
      </x:c>
      <x:c r="O187" s="9" t="n">
        <x:f>IF(M187=0,"n.a.",L187/M187)</x:f>
        <x:v>0.8235294117647058</x:v>
      </x:c>
      <x:c r="P187" s="9" t="n">
        <x:f>IF(K187=0,"n.a.",L187/K187)</x:f>
        <x:v>0.6666666666666666</x:v>
      </x:c>
      <x:c r="Q187" s="9" t="n">
        <x:f>IF(K187=0,"n.a.",M187/K187)</x:f>
        <x:v>0.8095238095238095</x:v>
      </x:c>
      <x:c r="R187" s="9" t="n">
        <x:f>IF(K187=0,"n.a.",N187/K187)</x:f>
        <x:v>0.23809523809523808</x:v>
      </x:c>
      <x:c r="S187" s="7" t="n">
        <x:v>-23</x:v>
      </x:c>
      <x:c r="T187" s="10" t="n">
        <x:v>0.23</x:v>
      </x:c>
      <x:c r="U187" s="7" t="n">
        <x:v>200</x:v>
      </x:c>
      <x:c r="V187" s="7" t="n">
        <x:v>496</x:v>
      </x:c>
    </x:row>
    <x:row r="188" ht="16" customHeight="1">
      <x:c r="A188" s="7" t="n">
        <x:v>185</x:v>
      </x:c>
      <x:c r="B188" s="8" t="n">
        <x:v>45899</x:v>
      </x:c>
      <x:c r="C188" s="7" t="str">
        <x:v>Sunset</x:v>
      </x:c>
      <x:c r="D188" s="7" t="str">
        <x:v>10th</x:v>
      </x:c>
      <x:c r="E188" s="7" t="str">
        <x:v>Reyna</x:v>
      </x:c>
      <x:c r="F188" s="7" t="n">
        <x:v>3</x:v>
      </x:c>
      <x:c r="G188" s="7" t="n">
        <x:v>13</x:v>
      </x:c>
      <x:c r="H188" s="7" t="str">
        <x:f>IF(F188&gt;G188,"Win",IF(F188&lt;G188,"Loss","Draw"))</x:f>
        <x:v>Loss</x:v>
      </x:c>
      <x:c r="I188" s="7" t="n">
        <x:f>IF(H188="Win",1,0)</x:f>
        <x:v>0</x:v>
      </x:c>
      <x:c r="J188" s="7" t="n">
        <x:f>F188-G188</x:f>
        <x:v>-10</x:v>
      </x:c>
      <x:c r="K188" s="7" t="n">
        <x:f>F188+G188</x:f>
        <x:v>16</x:v>
      </x:c>
      <x:c r="L188" s="7" t="n">
        <x:v>5</x:v>
      </x:c>
      <x:c r="M188" s="7" t="n">
        <x:v>15</x:v>
      </x:c>
      <x:c r="N188" s="7" t="n">
        <x:v>2</x:v>
      </x:c>
      <x:c r="O188" s="9" t="n">
        <x:f>IF(M188=0,"n.a.",L188/M188)</x:f>
        <x:v>0.3333333333333333</x:v>
      </x:c>
      <x:c r="P188" s="9" t="n">
        <x:f>IF(K188=0,"n.a.",L188/K188)</x:f>
        <x:v>0.3125</x:v>
      </x:c>
      <x:c r="Q188" s="9" t="n">
        <x:f>IF(K188=0,"n.a.",M188/K188)</x:f>
        <x:v>0.9375</x:v>
      </x:c>
      <x:c r="R188" s="9" t="n">
        <x:f>IF(K188=0,"n.a.",N188/K188)</x:f>
        <x:v>0.125</x:v>
      </x:c>
      <x:c r="S188" s="7" t="n">
        <x:v>-91</x:v>
      </x:c>
      <x:c r="T188" s="10" t="n">
        <x:v>0.29</x:v>
      </x:c>
      <x:c r="U188" s="7" t="n">
        <x:v>88</x:v>
      </x:c>
      <x:c r="V188" s="7" t="n">
        <x:v>100</x:v>
      </x:c>
    </x:row>
    <x:row r="189" ht="16" customHeight="1">
      <x:c r="A189" s="7" t="n">
        <x:v>186</x:v>
      </x:c>
      <x:c r="B189" s="8" t="n">
        <x:v>45899</x:v>
      </x:c>
      <x:c r="C189" s="7" t="str">
        <x:v>Lotus</x:v>
      </x:c>
      <x:c r="D189" s="7" t="str">
        <x:v>4th</x:v>
      </x:c>
      <x:c r="E189" s="7" t="str">
        <x:v>Waylay</x:v>
      </x:c>
      <x:c r="F189" s="7" t="n">
        <x:v>9</x:v>
      </x:c>
      <x:c r="G189" s="7" t="n">
        <x:v>13</x:v>
      </x:c>
      <x:c r="H189" s="7" t="str">
        <x:f>IF(F189&gt;G189,"Win",IF(F189&lt;G189,"Loss","Draw"))</x:f>
        <x:v>Loss</x:v>
      </x:c>
      <x:c r="I189" s="7" t="n">
        <x:f>IF(H189="Win",1,0)</x:f>
        <x:v>0</x:v>
      </x:c>
      <x:c r="J189" s="7" t="n">
        <x:f>F189-G189</x:f>
        <x:v>-4</x:v>
      </x:c>
      <x:c r="K189" s="7" t="n">
        <x:f>F189+G189</x:f>
        <x:v>22</x:v>
      </x:c>
      <x:c r="L189" s="7" t="n">
        <x:v>18</x:v>
      </x:c>
      <x:c r="M189" s="7" t="n">
        <x:v>19</x:v>
      </x:c>
      <x:c r="N189" s="7" t="n">
        <x:v>0</x:v>
      </x:c>
      <x:c r="O189" s="9" t="n">
        <x:f>IF(M189=0,"n.a.",L189/M189)</x:f>
        <x:v>0.9473684210526315</x:v>
      </x:c>
      <x:c r="P189" s="9" t="n">
        <x:f>IF(K189=0,"n.a.",L189/K189)</x:f>
        <x:v>0.8181818181818182</x:v>
      </x:c>
      <x:c r="Q189" s="9" t="n">
        <x:f>IF(K189=0,"n.a.",M189/K189)</x:f>
        <x:v>0.8636363636363636</x:v>
      </x:c>
      <x:c r="R189" s="9" t="n">
        <x:f>IF(K189=0,"n.a.",N189/K189)</x:f>
        <x:v>0</x:v>
      </x:c>
      <x:c r="S189" s="7" t="n">
        <x:v>14</x:v>
      </x:c>
      <x:c r="T189" s="10" t="n">
        <x:v>0.22</x:v>
      </x:c>
      <x:c r="U189" s="7" t="n">
        <x:v>253</x:v>
      </x:c>
      <x:c r="V189" s="7" t="n">
        <x:v>517</x:v>
      </x:c>
    </x:row>
    <x:row r="190" ht="16" customHeight="1">
      <x:c r="A190" s="7" t="n">
        <x:v>187</x:v>
      </x:c>
      <x:c r="B190" s="8" t="n">
        <x:v>45900</x:v>
      </x:c>
      <x:c r="C190" s="7" t="str">
        <x:v>Bind</x:v>
      </x:c>
      <x:c r="D190" s="7" t="str">
        <x:v>MVP</x:v>
      </x:c>
      <x:c r="E190" s="7" t="str">
        <x:v>Neon</x:v>
      </x:c>
      <x:c r="F190" s="7" t="n">
        <x:v>13</x:v>
      </x:c>
      <x:c r="G190" s="7" t="n">
        <x:v>9</x:v>
      </x:c>
      <x:c r="H190" s="7" t="str">
        <x:f>IF(F190&gt;G190,"Win",IF(F190&lt;G190,"Loss","Draw"))</x:f>
        <x:v>Win</x:v>
      </x:c>
      <x:c r="I190" s="7" t="n">
        <x:f>IF(H190="Win",1,0)</x:f>
        <x:v>1</x:v>
      </x:c>
      <x:c r="J190" s="7" t="n">
        <x:f>F190-G190</x:f>
        <x:v>4</x:v>
      </x:c>
      <x:c r="K190" s="7" t="n">
        <x:f>F190+G190</x:f>
        <x:v>22</x:v>
      </x:c>
      <x:c r="L190" s="7" t="n">
        <x:v>22</x:v>
      </x:c>
      <x:c r="M190" s="7" t="n">
        <x:v>20</x:v>
      </x:c>
      <x:c r="N190" s="7" t="n">
        <x:v>8</x:v>
      </x:c>
      <x:c r="O190" s="9" t="n">
        <x:f>IF(M190=0,"n.a.",L190/M190)</x:f>
        <x:v>1.1</x:v>
      </x:c>
      <x:c r="P190" s="9" t="n">
        <x:f>IF(K190=0,"n.a.",L190/K190)</x:f>
        <x:v>1</x:v>
      </x:c>
      <x:c r="Q190" s="9" t="n">
        <x:f>IF(K190=0,"n.a.",M190/K190)</x:f>
        <x:v>0.9090909090909091</x:v>
      </x:c>
      <x:c r="R190" s="9" t="n">
        <x:f>IF(K190=0,"n.a.",N190/K190)</x:f>
        <x:v>0.36363636363636365</x:v>
      </x:c>
      <x:c r="S190" s="7" t="n">
        <x:v>36</x:v>
      </x:c>
      <x:c r="T190" s="10" t="n">
        <x:v>0.25</x:v>
      </x:c>
      <x:c r="U190" s="7" t="n">
        <x:v>290</x:v>
      </x:c>
      <x:c r="V190" s="7" t="n">
        <x:v>897</x:v>
      </x:c>
    </x:row>
    <x:row r="191" ht="16" customHeight="1">
      <x:c r="A191" s="7" t="n">
        <x:v>188</x:v>
      </x:c>
      <x:c r="B191" s="8" t="n">
        <x:v>45900</x:v>
      </x:c>
      <x:c r="C191" s="7" t="str">
        <x:v>Lotus</x:v>
      </x:c>
      <x:c r="D191" s="7" t="str">
        <x:v>MVP</x:v>
      </x:c>
      <x:c r="E191" s="7" t="str">
        <x:v>Neon</x:v>
      </x:c>
      <x:c r="F191" s="7" t="n">
        <x:v>13</x:v>
      </x:c>
      <x:c r="G191" s="7" t="n">
        <x:v>8</x:v>
      </x:c>
      <x:c r="H191" s="7" t="str">
        <x:f>IF(F191&gt;G191,"Win",IF(F191&lt;G191,"Loss","Draw"))</x:f>
        <x:v>Win</x:v>
      </x:c>
      <x:c r="I191" s="7" t="n">
        <x:f>IF(H191="Win",1,0)</x:f>
        <x:v>1</x:v>
      </x:c>
      <x:c r="J191" s="7" t="n">
        <x:f>F191-G191</x:f>
        <x:v>5</x:v>
      </x:c>
      <x:c r="K191" s="7" t="n">
        <x:f>F191+G191</x:f>
        <x:v>21</x:v>
      </x:c>
      <x:c r="L191" s="7" t="n">
        <x:v>17</x:v>
      </x:c>
      <x:c r="M191" s="7" t="n">
        <x:v>16</x:v>
      </x:c>
      <x:c r="N191" s="7" t="n">
        <x:v>5</x:v>
      </x:c>
      <x:c r="O191" s="9" t="n">
        <x:f>IF(M191=0,"n.a.",L191/M191)</x:f>
        <x:v>1.0625</x:v>
      </x:c>
      <x:c r="P191" s="9" t="n">
        <x:f>IF(K191=0,"n.a.",L191/K191)</x:f>
        <x:v>0.8095238095238095</x:v>
      </x:c>
      <x:c r="Q191" s="9" t="n">
        <x:f>IF(K191=0,"n.a.",M191/K191)</x:f>
        <x:v>0.7619047619047619</x:v>
      </x:c>
      <x:c r="R191" s="9" t="n">
        <x:f>IF(K191=0,"n.a.",N191/K191)</x:f>
        <x:v>0.23809523809523808</x:v>
      </x:c>
      <x:c r="S191" s="7" t="n">
        <x:v>21</x:v>
      </x:c>
      <x:c r="T191" s="10" t="n">
        <x:v>0.21</x:v>
      </x:c>
      <x:c r="U191" s="7" t="n">
        <x:v>254</x:v>
      </x:c>
      <x:c r="V191" s="7" t="n">
        <x:v>708</x:v>
      </x:c>
    </x:row>
    <x:row r="192" ht="16" customHeight="1">
      <x:c r="A192" s="7" t="n">
        <x:v>189</x:v>
      </x:c>
      <x:c r="B192" s="8" t="n">
        <x:v>45900</x:v>
      </x:c>
      <x:c r="C192" s="7" t="str">
        <x:v>Ascent</x:v>
      </x:c>
      <x:c r="D192" s="7" t="str">
        <x:v>6th</x:v>
      </x:c>
      <x:c r="E192" s="7" t="str">
        <x:v>Raze</x:v>
      </x:c>
      <x:c r="F192" s="7" t="n">
        <x:v>9</x:v>
      </x:c>
      <x:c r="G192" s="7" t="n">
        <x:v>13</x:v>
      </x:c>
      <x:c r="H192" s="7" t="str">
        <x:f>IF(F192&gt;G192,"Win",IF(F192&lt;G192,"Loss","Draw"))</x:f>
        <x:v>Loss</x:v>
      </x:c>
      <x:c r="I192" s="7" t="n">
        <x:f>IF(H192="Win",1,0)</x:f>
        <x:v>0</x:v>
      </x:c>
      <x:c r="J192" s="7" t="n">
        <x:f>F192-G192</x:f>
        <x:v>-4</x:v>
      </x:c>
      <x:c r="K192" s="7" t="n">
        <x:f>F192+G192</x:f>
        <x:v>22</x:v>
      </x:c>
      <x:c r="L192" s="7" t="n">
        <x:v>12</x:v>
      </x:c>
      <x:c r="M192" s="7" t="n">
        <x:v>17</x:v>
      </x:c>
      <x:c r="N192" s="7" t="n">
        <x:v>7</x:v>
      </x:c>
      <x:c r="O192" s="9" t="n">
        <x:f>IF(M192=0,"n.a.",L192/M192)</x:f>
        <x:v>0.7058823529411765</x:v>
      </x:c>
      <x:c r="P192" s="9" t="n">
        <x:f>IF(K192=0,"n.a.",L192/K192)</x:f>
        <x:v>0.5454545454545454</x:v>
      </x:c>
      <x:c r="Q192" s="9" t="n">
        <x:f>IF(K192=0,"n.a.",M192/K192)</x:f>
        <x:v>0.7727272727272727</x:v>
      </x:c>
      <x:c r="R192" s="9" t="n">
        <x:f>IF(K192=0,"n.a.",N192/K192)</x:f>
        <x:v>0.3181818181818182</x:v>
      </x:c>
      <x:c r="S192" s="7" t="n">
        <x:v>-22</x:v>
      </x:c>
      <x:c r="T192" s="10" t="n">
        <x:v>0.17</x:v>
      </x:c>
      <x:c r="U192" s="7" t="n">
        <x:v>179</x:v>
      </x:c>
      <x:c r="V192" s="7" t="n">
        <x:v>393</x:v>
      </x:c>
    </x:row>
    <x:row r="193" ht="16" customHeight="1">
      <x:c r="A193" s="7" t="n">
        <x:v>190</x:v>
      </x:c>
      <x:c r="B193" s="8" t="n">
        <x:v>45900</x:v>
      </x:c>
      <x:c r="C193" s="7" t="str">
        <x:v>Lotus</x:v>
      </x:c>
      <x:c r="D193" s="7" t="str">
        <x:v>3rd</x:v>
      </x:c>
      <x:c r="E193" s="7" t="str">
        <x:v>Astra</x:v>
      </x:c>
      <x:c r="F193" s="7" t="n">
        <x:v>13</x:v>
      </x:c>
      <x:c r="G193" s="7" t="n">
        <x:v>8</x:v>
      </x:c>
      <x:c r="H193" s="7" t="str">
        <x:f>IF(F193&gt;G193,"Win",IF(F193&lt;G193,"Loss","Draw"))</x:f>
        <x:v>Win</x:v>
      </x:c>
      <x:c r="I193" s="7" t="n">
        <x:f>IF(H193="Win",1,0)</x:f>
        <x:v>1</x:v>
      </x:c>
      <x:c r="J193" s="7" t="n">
        <x:f>F193-G193</x:f>
        <x:v>5</x:v>
      </x:c>
      <x:c r="K193" s="7" t="n">
        <x:f>F193+G193</x:f>
        <x:v>21</x:v>
      </x:c>
      <x:c r="L193" s="7" t="n">
        <x:v>19</x:v>
      </x:c>
      <x:c r="M193" s="7" t="n">
        <x:v>12</x:v>
      </x:c>
      <x:c r="N193" s="7" t="n">
        <x:v>3</x:v>
      </x:c>
      <x:c r="O193" s="9" t="n">
        <x:f>IF(M193=0,"n.a.",L193/M193)</x:f>
        <x:v>1.5833333333333333</x:v>
      </x:c>
      <x:c r="P193" s="9" t="n">
        <x:f>IF(K193=0,"n.a.",L193/K193)</x:f>
        <x:v>0.9047619047619048</x:v>
      </x:c>
      <x:c r="Q193" s="9" t="n">
        <x:f>IF(K193=0,"n.a.",M193/K193)</x:f>
        <x:v>0.5714285714285714</x:v>
      </x:c>
      <x:c r="R193" s="9" t="n">
        <x:f>IF(K193=0,"n.a.",N193/K193)</x:f>
        <x:v>0.14285714285714285</x:v>
      </x:c>
      <x:c r="S193" s="7" t="n">
        <x:v>48</x:v>
      </x:c>
      <x:c r="T193" s="10" t="n">
        <x:v>0.41</x:v>
      </x:c>
      <x:c r="U193" s="7" t="n">
        <x:v>261</x:v>
      </x:c>
      <x:c r="V193" s="7" t="n">
        <x:v>850</x:v>
      </x:c>
    </x:row>
    <x:row r="194" ht="16" customHeight="1">
      <x:c r="A194" s="7" t="n">
        <x:v>191</x:v>
      </x:c>
      <x:c r="B194" s="8" t="n">
        <x:v>45900</x:v>
      </x:c>
      <x:c r="C194" s="7" t="str">
        <x:v>Ascent</x:v>
      </x:c>
      <x:c r="D194" s="7" t="str">
        <x:v>9th</x:v>
      </x:c>
      <x:c r="E194" s="7" t="str">
        <x:v>Vyse</x:v>
      </x:c>
      <x:c r="F194" s="7" t="n">
        <x:v>13</x:v>
      </x:c>
      <x:c r="G194" s="7" t="n">
        <x:v>6</x:v>
      </x:c>
      <x:c r="H194" s="7" t="str">
        <x:f>IF(F194&gt;G194,"Win",IF(F194&lt;G194,"Loss","Draw"))</x:f>
        <x:v>Win</x:v>
      </x:c>
      <x:c r="I194" s="7" t="n">
        <x:f>IF(H194="Win",1,0)</x:f>
        <x:v>1</x:v>
      </x:c>
      <x:c r="J194" s="7" t="n">
        <x:f>F194-G194</x:f>
        <x:v>7</x:v>
      </x:c>
      <x:c r="K194" s="7" t="n">
        <x:f>F194+G194</x:f>
        <x:v>19</x:v>
      </x:c>
      <x:c r="L194" s="7" t="n">
        <x:v>13</x:v>
      </x:c>
      <x:c r="M194" s="7" t="n">
        <x:v>12</x:v>
      </x:c>
      <x:c r="N194" s="7" t="n">
        <x:v>5</x:v>
      </x:c>
      <x:c r="O194" s="9" t="n">
        <x:f>IF(M194=0,"n.a.",L194/M194)</x:f>
        <x:v>1.0833333333333333</x:v>
      </x:c>
      <x:c r="P194" s="9" t="n">
        <x:f>IF(K194=0,"n.a.",L194/K194)</x:f>
        <x:v>0.6842105263157895</x:v>
      </x:c>
      <x:c r="Q194" s="9" t="n">
        <x:f>IF(K194=0,"n.a.",M194/K194)</x:f>
        <x:v>0.631578947368421</x:v>
      </x:c>
      <x:c r="R194" s="9" t="n">
        <x:f>IF(K194=0,"n.a.",N194/K194)</x:f>
        <x:v>0.2631578947368421</x:v>
      </x:c>
      <x:c r="S194" s="7" t="n">
        <x:v>-5</x:v>
      </x:c>
      <x:c r="T194" s="10" t="n">
        <x:v>0.34</x:v>
      </x:c>
      <x:c r="U194" s="7" t="n">
        <x:v>171</x:v>
      </x:c>
      <x:c r="V194" s="7" t="n">
        <x:v>643</x:v>
      </x:c>
    </x:row>
    <x:row r="195" ht="16" customHeight="1">
      <x:c r="A195" s="7" t="n">
        <x:v>192</x:v>
      </x:c>
      <x:c r="B195" s="8" t="n">
        <x:v>45900</x:v>
      </x:c>
      <x:c r="C195" s="7" t="str">
        <x:v>Abyss</x:v>
      </x:c>
      <x:c r="D195" s="7" t="str">
        <x:v>7th</x:v>
      </x:c>
      <x:c r="E195" s="7" t="str">
        <x:v>Chamber</x:v>
      </x:c>
      <x:c r="F195" s="7" t="n">
        <x:v>13</x:v>
      </x:c>
      <x:c r="G195" s="7" t="n">
        <x:v>8</x:v>
      </x:c>
      <x:c r="H195" s="7" t="str">
        <x:f>IF(F195&gt;G195,"Win",IF(F195&lt;G195,"Loss","Draw"))</x:f>
        <x:v>Win</x:v>
      </x:c>
      <x:c r="I195" s="7" t="n">
        <x:f>IF(H195="Win",1,0)</x:f>
        <x:v>1</x:v>
      </x:c>
      <x:c r="J195" s="7" t="n">
        <x:f>F195-G195</x:f>
        <x:v>5</x:v>
      </x:c>
      <x:c r="K195" s="7" t="n">
        <x:f>F195+G195</x:f>
        <x:v>21</x:v>
      </x:c>
      <x:c r="L195" s="7" t="n">
        <x:v>15</x:v>
      </x:c>
      <x:c r="M195" s="7" t="n">
        <x:v>10</x:v>
      </x:c>
      <x:c r="N195" s="7" t="n">
        <x:v>0</x:v>
      </x:c>
      <x:c r="O195" s="9" t="n">
        <x:f>IF(M195=0,"n.a.",L195/M195)</x:f>
        <x:v>1.5</x:v>
      </x:c>
      <x:c r="P195" s="9" t="n">
        <x:f>IF(K195=0,"n.a.",L195/K195)</x:f>
        <x:v>0.7142857142857143</x:v>
      </x:c>
      <x:c r="Q195" s="9" t="n">
        <x:f>IF(K195=0,"n.a.",M195/K195)</x:f>
        <x:v>0.47619047619047616</x:v>
      </x:c>
      <x:c r="R195" s="9" t="n">
        <x:f>IF(K195=0,"n.a.",N195/K195)</x:f>
        <x:v>0</x:v>
      </x:c>
      <x:c r="S195" s="7" t="n">
        <x:v>20</x:v>
      </x:c>
      <x:c r="T195" s="10" t="n">
        <x:v>0.3</x:v>
      </x:c>
      <x:c r="U195" s="7" t="n">
        <x:v>163</x:v>
      </x:c>
      <x:c r="V195" s="7" t="n">
        <x:v>651</x:v>
      </x:c>
    </x:row>
    <x:row r="196" ht="16" customHeight="1">
      <x:c r="A196" s="7" t="n">
        <x:v>193</x:v>
      </x:c>
      <x:c r="B196" s="8" t="n">
        <x:v>45908</x:v>
      </x:c>
      <x:c r="C196" s="7" t="str">
        <x:v>Lotus</x:v>
      </x:c>
      <x:c r="D196" s="7" t="str">
        <x:v>10th</x:v>
      </x:c>
      <x:c r="E196" s="7" t="str">
        <x:v>Phoenix</x:v>
      </x:c>
      <x:c r="F196" s="7" t="n">
        <x:v>13</x:v>
      </x:c>
      <x:c r="G196" s="7" t="n">
        <x:v>15</x:v>
      </x:c>
      <x:c r="H196" s="7" t="str">
        <x:f>IF(F196&gt;G196,"Win",IF(F196&lt;G196,"Loss","Draw"))</x:f>
        <x:v>Loss</x:v>
      </x:c>
      <x:c r="I196" s="7" t="n">
        <x:f>IF(H196="Win",1,0)</x:f>
        <x:v>0</x:v>
      </x:c>
      <x:c r="J196" s="7" t="n">
        <x:f>F196-G196</x:f>
        <x:v>-2</x:v>
      </x:c>
      <x:c r="K196" s="7" t="n">
        <x:f>F196+G196</x:f>
        <x:v>28</x:v>
      </x:c>
      <x:c r="L196" s="7" t="n">
        <x:v>17</x:v>
      </x:c>
      <x:c r="M196" s="7" t="n">
        <x:v>24</x:v>
      </x:c>
      <x:c r="N196" s="7" t="n">
        <x:v>6</x:v>
      </x:c>
      <x:c r="O196" s="9" t="n">
        <x:f>IF(M196=0,"n.a.",L196/M196)</x:f>
        <x:v>0.7083333333333334</x:v>
      </x:c>
      <x:c r="P196" s="9" t="n">
        <x:f>IF(K196=0,"n.a.",L196/K196)</x:f>
        <x:v>0.6071428571428571</x:v>
      </x:c>
      <x:c r="Q196" s="9" t="n">
        <x:f>IF(K196=0,"n.a.",M196/K196)</x:f>
        <x:v>0.8571428571428571</x:v>
      </x:c>
      <x:c r="R196" s="9" t="n">
        <x:f>IF(K196=0,"n.a.",N196/K196)</x:f>
        <x:v>0.21428571428571427</x:v>
      </x:c>
      <x:c r="S196" s="7" t="n">
        <x:v>-63</x:v>
      </x:c>
      <x:c r="T196" s="10" t="n">
        <x:v>0.19</x:v>
      </x:c>
      <x:c r="U196" s="7" t="n">
        <x:v>176</x:v>
      </x:c>
      <x:c r="V196" s="7" t="n">
        <x:v>324</x:v>
      </x:c>
    </x:row>
    <x:row r="197" ht="16" customHeight="1">
      <x:c r="A197" s="7" t="n">
        <x:v>194</x:v>
      </x:c>
      <x:c r="B197" s="8" t="n">
        <x:v>45908</x:v>
      </x:c>
      <x:c r="C197" s="7" t="str">
        <x:v>Abyss</x:v>
      </x:c>
      <x:c r="D197" s="7" t="str">
        <x:v>5th</x:v>
      </x:c>
      <x:c r="E197" s="7" t="str">
        <x:v>Astra</x:v>
      </x:c>
      <x:c r="F197" s="7" t="n">
        <x:v>9</x:v>
      </x:c>
      <x:c r="G197" s="7" t="n">
        <x:v>13</x:v>
      </x:c>
      <x:c r="H197" s="7" t="str">
        <x:f>IF(F197&gt;G197,"Win",IF(F197&lt;G197,"Loss","Draw"))</x:f>
        <x:v>Loss</x:v>
      </x:c>
      <x:c r="I197" s="7" t="n">
        <x:f>IF(H197="Win",1,0)</x:f>
        <x:v>0</x:v>
      </x:c>
      <x:c r="J197" s="7" t="n">
        <x:f>F197-G197</x:f>
        <x:v>-4</x:v>
      </x:c>
      <x:c r="K197" s="7" t="n">
        <x:f>F197+G197</x:f>
        <x:v>22</x:v>
      </x:c>
      <x:c r="L197" s="7" t="n">
        <x:v>17</x:v>
      </x:c>
      <x:c r="M197" s="7" t="n">
        <x:v>18</x:v>
      </x:c>
      <x:c r="N197" s="7" t="n">
        <x:v>4</x:v>
      </x:c>
      <x:c r="O197" s="9" t="n">
        <x:f>IF(M197=0,"n.a.",L197/M197)</x:f>
        <x:v>0.9444444444444444</x:v>
      </x:c>
      <x:c r="P197" s="9" t="n">
        <x:f>IF(K197=0,"n.a.",L197/K197)</x:f>
        <x:v>0.7727272727272727</x:v>
      </x:c>
      <x:c r="Q197" s="9" t="n">
        <x:f>IF(K197=0,"n.a.",M197/K197)</x:f>
        <x:v>0.8181818181818182</x:v>
      </x:c>
      <x:c r="R197" s="9" t="n">
        <x:f>IF(K197=0,"n.a.",N197/K197)</x:f>
        <x:v>0.18181818181818182</x:v>
      </x:c>
      <x:c r="S197" s="7" t="n">
        <x:v>-18</x:v>
      </x:c>
      <x:c r="T197" s="10" t="n">
        <x:v>0.16</x:v>
      </x:c>
      <x:c r="U197" s="7" t="n">
        <x:v>209</x:v>
      </x:c>
      <x:c r="V197" s="7" t="n">
        <x:v>417</x:v>
      </x:c>
    </x:row>
    <x:row r="198" ht="16" customHeight="1">
      <x:c r="A198" s="7" t="n">
        <x:v>195</x:v>
      </x:c>
      <x:c r="B198" s="8" t="n">
        <x:v>45908</x:v>
      </x:c>
      <x:c r="C198" s="7" t="str">
        <x:v>Sunset</x:v>
      </x:c>
      <x:c r="D198" s="7" t="str">
        <x:v>3rd</x:v>
      </x:c>
      <x:c r="E198" s="7" t="str">
        <x:v>Astra</x:v>
      </x:c>
      <x:c r="F198" s="7" t="n">
        <x:v>13</x:v>
      </x:c>
      <x:c r="G198" s="7" t="n">
        <x:v>8</x:v>
      </x:c>
      <x:c r="H198" s="7" t="str">
        <x:f>IF(F198&gt;G198,"Win",IF(F198&lt;G198,"Loss","Draw"))</x:f>
        <x:v>Win</x:v>
      </x:c>
      <x:c r="I198" s="7" t="n">
        <x:f>IF(H198="Win",1,0)</x:f>
        <x:v>1</x:v>
      </x:c>
      <x:c r="J198" s="7" t="n">
        <x:f>F198-G198</x:f>
        <x:v>5</x:v>
      </x:c>
      <x:c r="K198" s="7" t="n">
        <x:f>F198+G198</x:f>
        <x:v>21</x:v>
      </x:c>
      <x:c r="L198" s="7" t="n">
        <x:v>27</x:v>
      </x:c>
      <x:c r="M198" s="7" t="n">
        <x:v>16</x:v>
      </x:c>
      <x:c r="N198" s="7" t="n">
        <x:v>6</x:v>
      </x:c>
      <x:c r="O198" s="9" t="n">
        <x:f>IF(M198=0,"n.a.",L198/M198)</x:f>
        <x:v>1.6875</x:v>
      </x:c>
      <x:c r="P198" s="9" t="n">
        <x:f>IF(K198=0,"n.a.",L198/K198)</x:f>
        <x:v>1.2857142857142858</x:v>
      </x:c>
      <x:c r="Q198" s="9" t="n">
        <x:f>IF(K198=0,"n.a.",M198/K198)</x:f>
        <x:v>0.7619047619047619</x:v>
      </x:c>
      <x:c r="R198" s="9" t="n">
        <x:f>IF(K198=0,"n.a.",N198/K198)</x:f>
        <x:v>0.2857142857142857</x:v>
      </x:c>
      <x:c r="S198" s="7" t="n">
        <x:v>68</x:v>
      </x:c>
      <x:c r="T198" s="10" t="n">
        <x:v>0.31</x:v>
      </x:c>
      <x:c r="U198" s="7" t="n">
        <x:v>337</x:v>
      </x:c>
      <x:c r="V198" s="7" t="n">
        <x:v>978</x:v>
      </x:c>
    </x:row>
    <x:row r="199" ht="16" customHeight="1">
      <x:c r="A199" s="7" t="n">
        <x:v>196</x:v>
      </x:c>
      <x:c r="B199" s="8" t="n">
        <x:v>45908</x:v>
      </x:c>
      <x:c r="C199" s="7" t="str">
        <x:v>Abyss</x:v>
      </x:c>
      <x:c r="D199" s="7" t="str">
        <x:v>MVP</x:v>
      </x:c>
      <x:c r="E199" s="7" t="str">
        <x:v>Astra</x:v>
      </x:c>
      <x:c r="F199" s="7" t="n">
        <x:v>13</x:v>
      </x:c>
      <x:c r="G199" s="7" t="n">
        <x:v>6</x:v>
      </x:c>
      <x:c r="H199" s="7" t="str">
        <x:f>IF(F199&gt;G199,"Win",IF(F199&lt;G199,"Loss","Draw"))</x:f>
        <x:v>Win</x:v>
      </x:c>
      <x:c r="I199" s="7" t="n">
        <x:f>IF(H199="Win",1,0)</x:f>
        <x:v>1</x:v>
      </x:c>
      <x:c r="J199" s="7" t="n">
        <x:f>F199-G199</x:f>
        <x:v>7</x:v>
      </x:c>
      <x:c r="K199" s="7" t="n">
        <x:f>F199+G199</x:f>
        <x:v>19</x:v>
      </x:c>
      <x:c r="L199" s="7" t="n">
        <x:v>24</x:v>
      </x:c>
      <x:c r="M199" s="7" t="n">
        <x:v>12</x:v>
      </x:c>
      <x:c r="N199" s="7" t="n">
        <x:v>2</x:v>
      </x:c>
      <x:c r="O199" s="9" t="n">
        <x:f>IF(M199=0,"n.a.",L199/M199)</x:f>
        <x:v>2</x:v>
      </x:c>
      <x:c r="P199" s="9" t="n">
        <x:f>IF(K199=0,"n.a.",L199/K199)</x:f>
        <x:v>1.263157894736842</x:v>
      </x:c>
      <x:c r="Q199" s="9" t="n">
        <x:f>IF(K199=0,"n.a.",M199/K199)</x:f>
        <x:v>0.631578947368421</x:v>
      </x:c>
      <x:c r="R199" s="9" t="n">
        <x:f>IF(K199=0,"n.a.",N199/K199)</x:f>
        <x:v>0.10526315789473684</x:v>
      </x:c>
      <x:c r="S199" s="7" t="n">
        <x:v>76</x:v>
      </x:c>
      <x:c r="T199" s="10" t="n">
        <x:v>0.19</x:v>
      </x:c>
      <x:c r="U199" s="7" t="n">
        <x:v>338</x:v>
      </x:c>
      <x:c r="V199" s="7" t="n">
        <x:v>980</x:v>
      </x:c>
    </x:row>
    <x:row r="200" ht="16" customHeight="1">
      <x:c r="A200" s="7" t="n">
        <x:v>197</x:v>
      </x:c>
      <x:c r="B200" s="8" t="n">
        <x:v>45908</x:v>
      </x:c>
      <x:c r="C200" s="7" t="str">
        <x:v>Corrode</x:v>
      </x:c>
      <x:c r="D200" s="7" t="str">
        <x:v>3rd</x:v>
      </x:c>
      <x:c r="E200" s="7" t="str">
        <x:v>Omen</x:v>
      </x:c>
      <x:c r="F200" s="7" t="n">
        <x:v>8</x:v>
      </x:c>
      <x:c r="G200" s="7" t="n">
        <x:v>13</x:v>
      </x:c>
      <x:c r="H200" s="7" t="str">
        <x:f>IF(F200&gt;G200,"Win",IF(F200&lt;G200,"Loss","Draw"))</x:f>
        <x:v>Loss</x:v>
      </x:c>
      <x:c r="I200" s="7" t="n">
        <x:f>IF(H200="Win",1,0)</x:f>
        <x:v>0</x:v>
      </x:c>
      <x:c r="J200" s="7" t="n">
        <x:f>F200-G200</x:f>
        <x:v>-5</x:v>
      </x:c>
      <x:c r="K200" s="7" t="n">
        <x:f>F200+G200</x:f>
        <x:v>21</x:v>
      </x:c>
      <x:c r="L200" s="7" t="n">
        <x:v>19</x:v>
      </x:c>
      <x:c r="M200" s="7" t="n">
        <x:v>19</x:v>
      </x:c>
      <x:c r="N200" s="7" t="n">
        <x:v>4</x:v>
      </x:c>
      <x:c r="O200" s="9" t="n">
        <x:f>IF(M200=0,"n.a.",L200/M200)</x:f>
        <x:v>1</x:v>
      </x:c>
      <x:c r="P200" s="9" t="n">
        <x:f>IF(K200=0,"n.a.",L200/K200)</x:f>
        <x:v>0.9047619047619048</x:v>
      </x:c>
      <x:c r="Q200" s="9" t="n">
        <x:f>IF(K200=0,"n.a.",M200/K200)</x:f>
        <x:v>0.9047619047619048</x:v>
      </x:c>
      <x:c r="R200" s="9" t="n">
        <x:f>IF(K200=0,"n.a.",N200/K200)</x:f>
        <x:v>0.19047619047619047</x:v>
      </x:c>
      <x:c r="S200" s="7" t="n">
        <x:v>13</x:v>
      </x:c>
      <x:c r="T200" s="10" t="n">
        <x:v>0.23</x:v>
      </x:c>
      <x:c r="U200" s="7" t="n">
        <x:v>261</x:v>
      </x:c>
      <x:c r="V200" s="7" t="n">
        <x:v>525</x:v>
      </x:c>
    </x:row>
    <x:row r="201" ht="16" customHeight="1">
      <x:c r="A201" s="7" t="n">
        <x:v>198</x:v>
      </x:c>
      <x:c r="B201" s="8" t="n">
        <x:v>45909</x:v>
      </x:c>
      <x:c r="C201" s="7" t="str">
        <x:v>Corrode</x:v>
      </x:c>
      <x:c r="D201" s="7" t="str">
        <x:v>4th</x:v>
      </x:c>
      <x:c r="E201" s="7" t="str">
        <x:v>Chamber</x:v>
      </x:c>
      <x:c r="F201" s="7" t="n">
        <x:v>13</x:v>
      </x:c>
      <x:c r="G201" s="7" t="n">
        <x:v>10</x:v>
      </x:c>
      <x:c r="H201" s="7" t="str">
        <x:f>IF(F201&gt;G201,"Win",IF(F201&lt;G201,"Loss","Draw"))</x:f>
        <x:v>Win</x:v>
      </x:c>
      <x:c r="I201" s="7" t="n">
        <x:f>IF(H201="Win",1,0)</x:f>
        <x:v>1</x:v>
      </x:c>
      <x:c r="J201" s="7" t="n">
        <x:f>F201-G201</x:f>
        <x:v>3</x:v>
      </x:c>
      <x:c r="K201" s="7" t="n">
        <x:f>F201+G201</x:f>
        <x:v>23</x:v>
      </x:c>
      <x:c r="L201" s="7" t="n">
        <x:v>22</x:v>
      </x:c>
      <x:c r="M201" s="7" t="n">
        <x:v>16</x:v>
      </x:c>
      <x:c r="N201" s="7" t="n">
        <x:v>1</x:v>
      </x:c>
      <x:c r="O201" s="9" t="n">
        <x:f>IF(M201=0,"n.a.",L201/M201)</x:f>
        <x:v>1.375</x:v>
      </x:c>
      <x:c r="P201" s="9" t="n">
        <x:f>IF(K201=0,"n.a.",L201/K201)</x:f>
        <x:v>0.9565217391304348</x:v>
      </x:c>
      <x:c r="Q201" s="9" t="n">
        <x:f>IF(K201=0,"n.a.",M201/K201)</x:f>
        <x:v>0.6956521739130435</x:v>
      </x:c>
      <x:c r="R201" s="9" t="n">
        <x:f>IF(K201=0,"n.a.",N201/K201)</x:f>
        <x:v>0.043478260869565216</x:v>
      </x:c>
      <x:c r="S201" s="7" t="n">
        <x:v>45</x:v>
      </x:c>
      <x:c r="T201" s="10" t="n">
        <x:v>0.21</x:v>
      </x:c>
      <x:c r="U201" s="7" t="n">
        <x:v>254</x:v>
      </x:c>
      <x:c r="V201" s="7" t="n">
        <x:v>723</x:v>
      </x:c>
    </x:row>
    <x:row r="202" ht="16" customHeight="1">
      <x:c r="A202" s="7" t="n">
        <x:v>199</x:v>
      </x:c>
      <x:c r="B202" s="8" t="n">
        <x:v>45909</x:v>
      </x:c>
      <x:c r="C202" s="7" t="str">
        <x:v>Lotus</x:v>
      </x:c>
      <x:c r="D202" s="7" t="str">
        <x:v>3rd</x:v>
      </x:c>
      <x:c r="E202" s="7" t="str">
        <x:v>Neon</x:v>
      </x:c>
      <x:c r="F202" s="7" t="n">
        <x:v>5</x:v>
      </x:c>
      <x:c r="G202" s="7" t="n">
        <x:v>13</x:v>
      </x:c>
      <x:c r="H202" s="7" t="str">
        <x:f>IF(F202&gt;G202,"Win",IF(F202&lt;G202,"Loss","Draw"))</x:f>
        <x:v>Loss</x:v>
      </x:c>
      <x:c r="I202" s="7" t="n">
        <x:f>IF(H202="Win",1,0)</x:f>
        <x:v>0</x:v>
      </x:c>
      <x:c r="J202" s="7" t="n">
        <x:f>F202-G202</x:f>
        <x:v>-8</x:v>
      </x:c>
      <x:c r="K202" s="7" t="n">
        <x:f>F202+G202</x:f>
        <x:v>18</x:v>
      </x:c>
      <x:c r="L202" s="7" t="n">
        <x:v>16</x:v>
      </x:c>
      <x:c r="M202" s="7" t="n">
        <x:v>17</x:v>
      </x:c>
      <x:c r="N202" s="7" t="n">
        <x:v>4</x:v>
      </x:c>
      <x:c r="O202" s="9" t="n">
        <x:f>IF(M202=0,"n.a.",L202/M202)</x:f>
        <x:v>0.9411764705882353</x:v>
      </x:c>
      <x:c r="P202" s="9" t="n">
        <x:f>IF(K202=0,"n.a.",L202/K202)</x:f>
        <x:v>0.8888888888888888</x:v>
      </x:c>
      <x:c r="Q202" s="9" t="n">
        <x:f>IF(K202=0,"n.a.",M202/K202)</x:f>
        <x:v>0.9444444444444444</x:v>
      </x:c>
      <x:c r="R202" s="9" t="n">
        <x:f>IF(K202=0,"n.a.",N202/K202)</x:f>
        <x:v>0.2222222222222222</x:v>
      </x:c>
      <x:c r="S202" s="7" t="n">
        <x:v>36</x:v>
      </x:c>
      <x:c r="T202" s="10" t="n">
        <x:v>0.23</x:v>
      </x:c>
      <x:c r="U202" s="7" t="n">
        <x:v>289</x:v>
      </x:c>
      <x:c r="V202" s="7" t="n">
        <x:v>600</x:v>
      </x:c>
    </x:row>
    <x:row r="203" ht="16" customHeight="1">
      <x:c r="A203" s="7" t="n">
        <x:v>200</x:v>
      </x:c>
      <x:c r="B203" s="8" t="n">
        <x:v>45909</x:v>
      </x:c>
      <x:c r="C203" s="7" t="str">
        <x:v>Abyss</x:v>
      </x:c>
      <x:c r="D203" s="7" t="str">
        <x:v>6th</x:v>
      </x:c>
      <x:c r="E203" s="7" t="str">
        <x:v>Astra</x:v>
      </x:c>
      <x:c r="F203" s="7" t="n">
        <x:v>11</x:v>
      </x:c>
      <x:c r="G203" s="7" t="n">
        <x:v>13</x:v>
      </x:c>
      <x:c r="H203" s="7" t="str">
        <x:f>IF(F203&gt;G203,"Win",IF(F203&lt;G203,"Loss","Draw"))</x:f>
        <x:v>Loss</x:v>
      </x:c>
      <x:c r="I203" s="7" t="n">
        <x:f>IF(H203="Win",1,0)</x:f>
        <x:v>0</x:v>
      </x:c>
      <x:c r="J203" s="7" t="n">
        <x:f>F203-G203</x:f>
        <x:v>-2</x:v>
      </x:c>
      <x:c r="K203" s="7" t="n">
        <x:f>F203+G203</x:f>
        <x:v>24</x:v>
      </x:c>
      <x:c r="L203" s="7" t="n">
        <x:v>15</x:v>
      </x:c>
      <x:c r="M203" s="7" t="n">
        <x:v>16</x:v>
      </x:c>
      <x:c r="N203" s="7" t="n">
        <x:v>4</x:v>
      </x:c>
      <x:c r="O203" s="9" t="n">
        <x:f>IF(M203=0,"n.a.",L203/M203)</x:f>
        <x:v>0.9375</x:v>
      </x:c>
      <x:c r="P203" s="9" t="n">
        <x:f>IF(K203=0,"n.a.",L203/K203)</x:f>
        <x:v>0.625</x:v>
      </x:c>
      <x:c r="Q203" s="9" t="n">
        <x:f>IF(K203=0,"n.a.",M203/K203)</x:f>
        <x:v>0.6666666666666666</x:v>
      </x:c>
      <x:c r="R203" s="9" t="n">
        <x:f>IF(K203=0,"n.a.",N203/K203)</x:f>
        <x:v>0.16666666666666666</x:v>
      </x:c>
      <x:c r="S203" s="7" t="n">
        <x:v>-9</x:v>
      </x:c>
      <x:c r="T203" s="10" t="n">
        <x:v>0.22</x:v>
      </x:c>
      <x:c r="U203" s="7" t="n">
        <x:v>163</x:v>
      </x:c>
      <x:c r="V203" s="7" t="n">
        <x:v>397</x:v>
      </x:c>
    </x:row>
    <x:row r="204" ht="16" customHeight="1">
      <x:c r="A204" s="7" t="n">
        <x:v>201</x:v>
      </x:c>
      <x:c r="B204" s="8" t="n">
        <x:v>45909</x:v>
      </x:c>
      <x:c r="C204" s="7" t="str">
        <x:v>Sunset</x:v>
      </x:c>
      <x:c r="D204" s="7" t="str">
        <x:v>7th</x:v>
      </x:c>
      <x:c r="E204" s="7" t="str">
        <x:v>Neon</x:v>
      </x:c>
      <x:c r="F204" s="7" t="n">
        <x:v>11</x:v>
      </x:c>
      <x:c r="G204" s="7" t="n">
        <x:v>13</x:v>
      </x:c>
      <x:c r="H204" s="7" t="str">
        <x:f>IF(F204&gt;G204,"Win",IF(F204&lt;G204,"Loss","Draw"))</x:f>
        <x:v>Loss</x:v>
      </x:c>
      <x:c r="I204" s="7" t="n">
        <x:f>IF(H204="Win",1,0)</x:f>
        <x:v>0</x:v>
      </x:c>
      <x:c r="J204" s="7" t="n">
        <x:f>F204-G204</x:f>
        <x:v>-2</x:v>
      </x:c>
      <x:c r="K204" s="7" t="n">
        <x:f>F204+G204</x:f>
        <x:v>24</x:v>
      </x:c>
      <x:c r="L204" s="7" t="n">
        <x:v>15</x:v>
      </x:c>
      <x:c r="M204" s="7" t="n">
        <x:v>20</x:v>
      </x:c>
      <x:c r="N204" s="7" t="n">
        <x:v>3</x:v>
      </x:c>
      <x:c r="O204" s="9" t="n">
        <x:f>IF(M204=0,"n.a.",L204/M204)</x:f>
        <x:v>0.75</x:v>
      </x:c>
      <x:c r="P204" s="9" t="n">
        <x:f>IF(K204=0,"n.a.",L204/K204)</x:f>
        <x:v>0.625</x:v>
      </x:c>
      <x:c r="Q204" s="9" t="n">
        <x:f>IF(K204=0,"n.a.",M204/K204)</x:f>
        <x:v>0.8333333333333334</x:v>
      </x:c>
      <x:c r="R204" s="9" t="n">
        <x:f>IF(K204=0,"n.a.",N204/K204)</x:f>
        <x:v>0.125</x:v>
      </x:c>
      <x:c r="S204" s="7" t="n">
        <x:v>-49</x:v>
      </x:c>
      <x:c r="T204" s="10" t="n">
        <x:v>0.22</x:v>
      </x:c>
      <x:c r="U204" s="7" t="n">
        <x:v>169</x:v>
      </x:c>
      <x:c r="V204" s="7" t="n">
        <x:v>300</x:v>
      </x:c>
    </x:row>
    <x:row r="205" ht="16" customHeight="1">
      <x:c r="A205" s="7" t="n">
        <x:v>202</x:v>
      </x:c>
      <x:c r="B205" s="8" t="n">
        <x:v>45909</x:v>
      </x:c>
      <x:c r="C205" s="7" t="str">
        <x:v>Corrode</x:v>
      </x:c>
      <x:c r="D205" s="7" t="str">
        <x:v>9th</x:v>
      </x:c>
      <x:c r="E205" s="7" t="str">
        <x:v>Neon</x:v>
      </x:c>
      <x:c r="F205" s="7" t="n">
        <x:v>5</x:v>
      </x:c>
      <x:c r="G205" s="7" t="n">
        <x:v>13</x:v>
      </x:c>
      <x:c r="H205" s="7" t="str">
        <x:f>IF(F205&gt;G205,"Win",IF(F205&lt;G205,"Loss","Draw"))</x:f>
        <x:v>Loss</x:v>
      </x:c>
      <x:c r="I205" s="7" t="n">
        <x:f>IF(H205="Win",1,0)</x:f>
        <x:v>0</x:v>
      </x:c>
      <x:c r="J205" s="7" t="n">
        <x:f>F205-G205</x:f>
        <x:v>-8</x:v>
      </x:c>
      <x:c r="K205" s="7" t="n">
        <x:f>F205+G205</x:f>
        <x:v>18</x:v>
      </x:c>
      <x:c r="L205" s="7" t="n">
        <x:v>9</x:v>
      </x:c>
      <x:c r="M205" s="7" t="n">
        <x:v>17</x:v>
      </x:c>
      <x:c r="N205" s="7" t="n">
        <x:v>2</x:v>
      </x:c>
      <x:c r="O205" s="9" t="n">
        <x:f>IF(M205=0,"n.a.",L205/M205)</x:f>
        <x:v>0.5294117647058824</x:v>
      </x:c>
      <x:c r="P205" s="9" t="n">
        <x:f>IF(K205=0,"n.a.",L205/K205)</x:f>
        <x:v>0.5</x:v>
      </x:c>
      <x:c r="Q205" s="9" t="n">
        <x:f>IF(K205=0,"n.a.",M205/K205)</x:f>
        <x:v>0.9444444444444444</x:v>
      </x:c>
      <x:c r="R205" s="9" t="n">
        <x:f>IF(K205=0,"n.a.",N205/K205)</x:f>
        <x:v>0.1111111111111111</x:v>
      </x:c>
      <x:c r="S205" s="7" t="n">
        <x:v>-78</x:v>
      </x:c>
      <x:c r="T205" s="10" t="n">
        <x:v>0.17</x:v>
      </x:c>
      <x:c r="U205" s="7" t="n">
        <x:v>157</x:v>
      </x:c>
      <x:c r="V205" s="7" t="n">
        <x:v>124</x:v>
      </x:c>
    </x:row>
    <x:row r="206" ht="16" customHeight="1">
      <x:c r="A206" s="7" t="n">
        <x:v>203</x:v>
      </x:c>
      <x:c r="B206" s="8" t="n">
        <x:v>45910</x:v>
      </x:c>
      <x:c r="C206" s="7" t="str">
        <x:v>Haven</x:v>
      </x:c>
      <x:c r="D206" s="7" t="str">
        <x:v>5th</x:v>
      </x:c>
      <x:c r="E206" s="7" t="str">
        <x:v>Neon</x:v>
      </x:c>
      <x:c r="F206" s="7" t="n">
        <x:v>11</x:v>
      </x:c>
      <x:c r="G206" s="7" t="n">
        <x:v>13</x:v>
      </x:c>
      <x:c r="H206" s="7" t="str">
        <x:f>IF(F206&gt;G206,"Win",IF(F206&lt;G206,"Loss","Draw"))</x:f>
        <x:v>Loss</x:v>
      </x:c>
      <x:c r="I206" s="7" t="n">
        <x:f>IF(H206="Win",1,0)</x:f>
        <x:v>0</x:v>
      </x:c>
      <x:c r="J206" s="7" t="n">
        <x:f>F206-G206</x:f>
        <x:v>-2</x:v>
      </x:c>
      <x:c r="K206" s="7" t="n">
        <x:f>F206+G206</x:f>
        <x:v>24</x:v>
      </x:c>
      <x:c r="L206" s="7" t="n">
        <x:v>20</x:v>
      </x:c>
      <x:c r="M206" s="7" t="n">
        <x:v>19</x:v>
      </x:c>
      <x:c r="N206" s="7" t="n">
        <x:v>1</x:v>
      </x:c>
      <x:c r="O206" s="9" t="n">
        <x:f>IF(M206=0,"n.a.",L206/M206)</x:f>
        <x:v>1.0526315789473684</x:v>
      </x:c>
      <x:c r="P206" s="9" t="n">
        <x:f>IF(K206=0,"n.a.",L206/K206)</x:f>
        <x:v>0.8333333333333334</x:v>
      </x:c>
      <x:c r="Q206" s="9" t="n">
        <x:f>IF(K206=0,"n.a.",M206/K206)</x:f>
        <x:v>0.7916666666666666</x:v>
      </x:c>
      <x:c r="R206" s="9" t="n">
        <x:f>IF(K206=0,"n.a.",N206/K206)</x:f>
        <x:v>0.041666666666666664</x:v>
      </x:c>
      <x:c r="S206" s="7" t="n">
        <x:v>-8</x:v>
      </x:c>
      <x:c r="T206" s="10" t="n">
        <x:v>0.1</x:v>
      </x:c>
      <x:c r="U206" s="7" t="n">
        <x:v>223</x:v>
      </x:c>
      <x:c r="V206" s="7" t="n">
        <x:v>450</x:v>
      </x:c>
    </x:row>
    <x:row r="207" ht="16" customHeight="1">
      <x:c r="A207" s="7" t="n">
        <x:v>204</x:v>
      </x:c>
      <x:c r="B207" s="8" t="n">
        <x:v>45910</x:v>
      </x:c>
      <x:c r="C207" s="7" t="str">
        <x:v>Corrode</x:v>
      </x:c>
      <x:c r="D207" s="7" t="str">
        <x:v>3rd</x:v>
      </x:c>
      <x:c r="E207" s="7" t="str">
        <x:v>Chamber</x:v>
      </x:c>
      <x:c r="F207" s="7" t="n">
        <x:v>12</x:v>
      </x:c>
      <x:c r="G207" s="7" t="n">
        <x:v>14</x:v>
      </x:c>
      <x:c r="H207" s="7" t="str">
        <x:f>IF(F207&gt;G207,"Win",IF(F207&lt;G207,"Loss","Draw"))</x:f>
        <x:v>Loss</x:v>
      </x:c>
      <x:c r="I207" s="7" t="n">
        <x:f>IF(H207="Win",1,0)</x:f>
        <x:v>0</x:v>
      </x:c>
      <x:c r="J207" s="7" t="n">
        <x:f>F207-G207</x:f>
        <x:v>-2</x:v>
      </x:c>
      <x:c r="K207" s="7" t="n">
        <x:f>F207+G207</x:f>
        <x:v>26</x:v>
      </x:c>
      <x:c r="L207" s="7" t="n">
        <x:v>23</x:v>
      </x:c>
      <x:c r="M207" s="7" t="n">
        <x:v>18</x:v>
      </x:c>
      <x:c r="N207" s="7" t="n">
        <x:v>3</x:v>
      </x:c>
      <x:c r="O207" s="9" t="n">
        <x:f>IF(M207=0,"n.a.",L207/M207)</x:f>
        <x:v>1.2777777777777777</x:v>
      </x:c>
      <x:c r="P207" s="9" t="n">
        <x:f>IF(K207=0,"n.a.",L207/K207)</x:f>
        <x:v>0.8846153846153846</x:v>
      </x:c>
      <x:c r="Q207" s="9" t="n">
        <x:f>IF(K207=0,"n.a.",M207/K207)</x:f>
        <x:v>0.6923076923076923</x:v>
      </x:c>
      <x:c r="R207" s="9" t="n">
        <x:f>IF(K207=0,"n.a.",N207/K207)</x:f>
        <x:v>0.11538461538461539</x:v>
      </x:c>
      <x:c r="S207" s="7" t="n">
        <x:v>37</x:v>
      </x:c>
      <x:c r="T207" s="10" t="n">
        <x:v>0.2</x:v>
      </x:c>
      <x:c r="U207" s="7" t="n">
        <x:v>246</x:v>
      </x:c>
      <x:c r="V207" s="7" t="n">
        <x:v>785</x:v>
      </x:c>
    </x:row>
    <x:row r="208" ht="16" customHeight="1">
      <x:c r="A208" s="7" t="n">
        <x:v>205</x:v>
      </x:c>
      <x:c r="B208" s="8" t="n">
        <x:v>45910</x:v>
      </x:c>
      <x:c r="C208" s="7" t="str">
        <x:v>Ascent</x:v>
      </x:c>
      <x:c r="D208" s="7" t="str">
        <x:v>5th</x:v>
      </x:c>
      <x:c r="E208" s="7" t="str">
        <x:v>Chamber</x:v>
      </x:c>
      <x:c r="F208" s="7" t="n">
        <x:v>13</x:v>
      </x:c>
      <x:c r="G208" s="7" t="n">
        <x:v>11</x:v>
      </x:c>
      <x:c r="H208" s="7" t="str">
        <x:f>IF(F208&gt;G208,"Win",IF(F208&lt;G208,"Loss","Draw"))</x:f>
        <x:v>Win</x:v>
      </x:c>
      <x:c r="I208" s="7" t="n">
        <x:f>IF(H208="Win",1,0)</x:f>
        <x:v>1</x:v>
      </x:c>
      <x:c r="J208" s="7" t="n">
        <x:f>F208-G208</x:f>
        <x:v>2</x:v>
      </x:c>
      <x:c r="K208" s="7" t="n">
        <x:f>F208+G208</x:f>
        <x:v>24</x:v>
      </x:c>
      <x:c r="L208" s="7" t="n">
        <x:v>20</x:v>
      </x:c>
      <x:c r="M208" s="7" t="n">
        <x:v>17</x:v>
      </x:c>
      <x:c r="N208" s="7" t="n">
        <x:v>2</x:v>
      </x:c>
      <x:c r="O208" s="9" t="n">
        <x:f>IF(M208=0,"n.a.",L208/M208)</x:f>
        <x:v>1.1764705882352942</x:v>
      </x:c>
      <x:c r="P208" s="9" t="n">
        <x:f>IF(K208=0,"n.a.",L208/K208)</x:f>
        <x:v>0.8333333333333334</x:v>
      </x:c>
      <x:c r="Q208" s="9" t="n">
        <x:f>IF(K208=0,"n.a.",M208/K208)</x:f>
        <x:v>0.7083333333333334</x:v>
      </x:c>
      <x:c r="R208" s="9" t="n">
        <x:f>IF(K208=0,"n.a.",N208/K208)</x:f>
        <x:v>0.08333333333333333</x:v>
      </x:c>
      <x:c r="S208" s="7" t="n">
        <x:v>1</x:v>
      </x:c>
      <x:c r="T208" s="10" t="n">
        <x:v>0.26</x:v>
      </x:c>
      <x:c r="U208" s="7" t="n">
        <x:v>212</x:v>
      </x:c>
      <x:c r="V208" s="7" t="n">
        <x:v>617</x:v>
      </x:c>
    </x:row>
    <x:row r="209" ht="16" customHeight="1">
      <x:c r="A209" s="7" t="n">
        <x:v>206</x:v>
      </x:c>
      <x:c r="B209" s="8" t="n">
        <x:v>45910</x:v>
      </x:c>
      <x:c r="C209" s="7" t="str">
        <x:v>Bind</x:v>
      </x:c>
      <x:c r="D209" s="7" t="str">
        <x:v>5th</x:v>
      </x:c>
      <x:c r="E209" s="7" t="str">
        <x:v>Omen</x:v>
      </x:c>
      <x:c r="F209" s="7" t="n">
        <x:v>13</x:v>
      </x:c>
      <x:c r="G209" s="7" t="n">
        <x:v>10</x:v>
      </x:c>
      <x:c r="H209" s="7" t="str">
        <x:f>IF(F209&gt;G209,"Win",IF(F209&lt;G209,"Loss","Draw"))</x:f>
        <x:v>Win</x:v>
      </x:c>
      <x:c r="I209" s="7" t="n">
        <x:f>IF(H209="Win",1,0)</x:f>
        <x:v>1</x:v>
      </x:c>
      <x:c r="J209" s="7" t="n">
        <x:f>F209-G209</x:f>
        <x:v>3</x:v>
      </x:c>
      <x:c r="K209" s="7" t="n">
        <x:f>F209+G209</x:f>
        <x:v>23</x:v>
      </x:c>
      <x:c r="L209" s="7" t="n">
        <x:v>19</x:v>
      </x:c>
      <x:c r="M209" s="7" t="n">
        <x:v>20</x:v>
      </x:c>
      <x:c r="N209" s="7" t="n">
        <x:v>5</x:v>
      </x:c>
      <x:c r="O209" s="9" t="n">
        <x:f>IF(M209=0,"n.a.",L209/M209)</x:f>
        <x:v>0.95</x:v>
      </x:c>
      <x:c r="P209" s="9" t="n">
        <x:f>IF(K209=0,"n.a.",L209/K209)</x:f>
        <x:v>0.8260869565217391</x:v>
      </x:c>
      <x:c r="Q209" s="9" t="n">
        <x:f>IF(K209=0,"n.a.",M209/K209)</x:f>
        <x:v>0.8695652173913043</x:v>
      </x:c>
      <x:c r="R209" s="9" t="n">
        <x:f>IF(K209=0,"n.a.",N209/K209)</x:f>
        <x:v>0.21739130434782608</x:v>
      </x:c>
      <x:c r="S209" s="7" t="n">
        <x:v>-47</x:v>
      </x:c>
      <x:c r="T209" s="10" t="n">
        <x:v>0.21</x:v>
      </x:c>
      <x:c r="U209" s="7" t="n">
        <x:v>221</x:v>
      </x:c>
      <x:c r="V209" s="7" t="n">
        <x:v>509</x:v>
      </x:c>
    </x:row>
    <x:row r="210" ht="16" customHeight="1">
      <x:c r="A210" s="7" t="n">
        <x:v>207</x:v>
      </x:c>
      <x:c r="B210" s="8" t="n">
        <x:v>45910</x:v>
      </x:c>
      <x:c r="C210" s="7" t="str">
        <x:v>Lotus</x:v>
      </x:c>
      <x:c r="D210" s="7" t="str">
        <x:v>2nd</x:v>
      </x:c>
      <x:c r="E210" s="7" t="str">
        <x:v>Chamber</x:v>
      </x:c>
      <x:c r="F210" s="7" t="n">
        <x:v>13</x:v>
      </x:c>
      <x:c r="G210" s="7" t="n">
        <x:v>2</x:v>
      </x:c>
      <x:c r="H210" s="7" t="str">
        <x:f>IF(F210&gt;G210,"Win",IF(F210&lt;G210,"Loss","Draw"))</x:f>
        <x:v>Win</x:v>
      </x:c>
      <x:c r="I210" s="7" t="n">
        <x:f>IF(H210="Win",1,0)</x:f>
        <x:v>1</x:v>
      </x:c>
      <x:c r="J210" s="7" t="n">
        <x:f>F210-G210</x:f>
        <x:v>11</x:v>
      </x:c>
      <x:c r="K210" s="7" t="n">
        <x:f>F210+G210</x:f>
        <x:v>15</x:v>
      </x:c>
      <x:c r="L210" s="7" t="n">
        <x:v>22</x:v>
      </x:c>
      <x:c r="M210" s="7" t="n">
        <x:v>8</x:v>
      </x:c>
      <x:c r="N210" s="7" t="n">
        <x:v>1</x:v>
      </x:c>
      <x:c r="O210" s="9" t="n">
        <x:f>IF(M210=0,"n.a.",L210/M210)</x:f>
        <x:v>2.75</x:v>
      </x:c>
      <x:c r="P210" s="9" t="n">
        <x:f>IF(K210=0,"n.a.",L210/K210)</x:f>
        <x:v>1.4666666666666666</x:v>
      </x:c>
      <x:c r="Q210" s="9" t="n">
        <x:f>IF(K210=0,"n.a.",M210/K210)</x:f>
        <x:v>0.5333333333333333</x:v>
      </x:c>
      <x:c r="R210" s="9" t="n">
        <x:f>IF(K210=0,"n.a.",N210/K210)</x:f>
        <x:v>0.06666666666666667</x:v>
      </x:c>
      <x:c r="S210" s="7" t="n">
        <x:v>112</x:v>
      </x:c>
      <x:c r="T210" s="10" t="n">
        <x:v>0.26</x:v>
      </x:c>
      <x:c r="U210" s="7" t="n">
        <x:v>388</x:v>
      </x:c>
      <x:c r="V210" s="7" t="n">
        <x:v>937</x:v>
      </x:c>
    </x:row>
    <x:row r="211" ht="16" customHeight="1">
      <x:c r="A211" s="7" t="n">
        <x:v>208</x:v>
      </x:c>
      <x:c r="B211" s="8" t="n">
        <x:v>45911</x:v>
      </x:c>
      <x:c r="C211" s="7" t="str">
        <x:v>Haven</x:v>
      </x:c>
      <x:c r="D211" s="7" t="str">
        <x:v>3rd</x:v>
      </x:c>
      <x:c r="E211" s="7" t="str">
        <x:v>Jett</x:v>
      </x:c>
      <x:c r="F211" s="7" t="n">
        <x:v>13</x:v>
      </x:c>
      <x:c r="G211" s="7" t="n">
        <x:v>5</x:v>
      </x:c>
      <x:c r="H211" s="7" t="str">
        <x:f>IF(F211&gt;G211,"Win",IF(F211&lt;G211,"Loss","Draw"))</x:f>
        <x:v>Win</x:v>
      </x:c>
      <x:c r="I211" s="7" t="n">
        <x:f>IF(H211="Win",1,0)</x:f>
        <x:v>1</x:v>
      </x:c>
      <x:c r="J211" s="7" t="n">
        <x:f>F211-G211</x:f>
        <x:v>8</x:v>
      </x:c>
      <x:c r="K211" s="7" t="n">
        <x:f>F211+G211</x:f>
        <x:v>18</x:v>
      </x:c>
      <x:c r="L211" s="7" t="n">
        <x:v>15</x:v>
      </x:c>
      <x:c r="M211" s="7" t="n">
        <x:v>16</x:v>
      </x:c>
      <x:c r="N211" s="7" t="n">
        <x:v>3</x:v>
      </x:c>
      <x:c r="O211" s="9" t="n">
        <x:f>IF(M211=0,"n.a.",L211/M211)</x:f>
        <x:v>0.9375</x:v>
      </x:c>
      <x:c r="P211" s="9" t="n">
        <x:f>IF(K211=0,"n.a.",L211/K211)</x:f>
        <x:v>0.8333333333333334</x:v>
      </x:c>
      <x:c r="Q211" s="9" t="n">
        <x:f>IF(K211=0,"n.a.",M211/K211)</x:f>
        <x:v>0.8888888888888888</x:v>
      </x:c>
      <x:c r="R211" s="9" t="n">
        <x:f>IF(K211=0,"n.a.",N211/K211)</x:f>
        <x:v>0.16666666666666666</x:v>
      </x:c>
      <x:c r="S211" s="7" t="n">
        <x:v>-6</x:v>
      </x:c>
      <x:c r="T211" s="10" t="n">
        <x:v>0.2</x:v>
      </x:c>
      <x:c r="U211" s="7" t="n">
        <x:v>250</x:v>
      </x:c>
      <x:c r="V211" s="7" t="n">
        <x:v>724</x:v>
      </x:c>
    </x:row>
    <x:row r="212" ht="16" customHeight="1">
      <x:c r="A212" s="7" t="n">
        <x:v>209</x:v>
      </x:c>
      <x:c r="B212" s="8" t="n">
        <x:v>45911</x:v>
      </x:c>
      <x:c r="C212" s="7" t="str">
        <x:v>Sunset</x:v>
      </x:c>
      <x:c r="D212" s="7" t="str">
        <x:v>3rd</x:v>
      </x:c>
      <x:c r="E212" s="7" t="str">
        <x:v>Cypher</x:v>
      </x:c>
      <x:c r="F212" s="7" t="n">
        <x:v>13</x:v>
      </x:c>
      <x:c r="G212" s="7" t="n">
        <x:v>11</x:v>
      </x:c>
      <x:c r="H212" s="7" t="str">
        <x:f>IF(F212&gt;G212,"Win",IF(F212&lt;G212,"Loss","Draw"))</x:f>
        <x:v>Win</x:v>
      </x:c>
      <x:c r="I212" s="7" t="n">
        <x:f>IF(H212="Win",1,0)</x:f>
        <x:v>1</x:v>
      </x:c>
      <x:c r="J212" s="7" t="n">
        <x:f>F212-G212</x:f>
        <x:v>2</x:v>
      </x:c>
      <x:c r="K212" s="7" t="n">
        <x:f>F212+G212</x:f>
        <x:v>24</x:v>
      </x:c>
      <x:c r="L212" s="7" t="n">
        <x:v>23</x:v>
      </x:c>
      <x:c r="M212" s="7" t="n">
        <x:v>19</x:v>
      </x:c>
      <x:c r="N212" s="7" t="n">
        <x:v>9</x:v>
      </x:c>
      <x:c r="O212" s="9" t="n">
        <x:f>IF(M212=0,"n.a.",L212/M212)</x:f>
        <x:v>1.2105263157894737</x:v>
      </x:c>
      <x:c r="P212" s="9" t="n">
        <x:f>IF(K212=0,"n.a.",L212/K212)</x:f>
        <x:v>0.9583333333333334</x:v>
      </x:c>
      <x:c r="Q212" s="9" t="n">
        <x:f>IF(K212=0,"n.a.",M212/K212)</x:f>
        <x:v>0.7916666666666666</x:v>
      </x:c>
      <x:c r="R212" s="9" t="n">
        <x:f>IF(K212=0,"n.a.",N212/K212)</x:f>
        <x:v>0.375</x:v>
      </x:c>
      <x:c r="S212" s="7" t="n">
        <x:v>22</x:v>
      </x:c>
      <x:c r="T212" s="10" t="n">
        <x:v>0.33</x:v>
      </x:c>
      <x:c r="U212" s="7" t="n">
        <x:v>293</x:v>
      </x:c>
      <x:c r="V212" s="7" t="n">
        <x:v>831</x:v>
      </x:c>
    </x:row>
    <x:row r="213" ht="16" customHeight="1">
      <x:c r="A213" s="7" t="n">
        <x:v>210</x:v>
      </x:c>
      <x:c r="B213" s="8" t="n">
        <x:v>45912</x:v>
      </x:c>
      <x:c r="C213" s="7" t="str">
        <x:v>Haven</x:v>
      </x:c>
      <x:c r="D213" s="7" t="str">
        <x:v>9th</x:v>
      </x:c>
      <x:c r="E213" s="7" t="str">
        <x:v>Chamber</x:v>
      </x:c>
      <x:c r="F213" s="7" t="n">
        <x:v>10</x:v>
      </x:c>
      <x:c r="G213" s="7" t="n">
        <x:v>13</x:v>
      </x:c>
      <x:c r="H213" s="7" t="str">
        <x:f>IF(F213&gt;G213,"Win",IF(F213&lt;G213,"Loss","Draw"))</x:f>
        <x:v>Loss</x:v>
      </x:c>
      <x:c r="I213" s="7" t="n">
        <x:f>IF(H213="Win",1,0)</x:f>
        <x:v>0</x:v>
      </x:c>
      <x:c r="J213" s="7" t="n">
        <x:f>F213-G213</x:f>
        <x:v>-3</x:v>
      </x:c>
      <x:c r="K213" s="7" t="n">
        <x:f>F213+G213</x:f>
        <x:v>23</x:v>
      </x:c>
      <x:c r="L213" s="7" t="n">
        <x:v>11</x:v>
      </x:c>
      <x:c r="M213" s="7" t="n">
        <x:v>16</x:v>
      </x:c>
      <x:c r="N213" s="7" t="n">
        <x:v>0</x:v>
      </x:c>
      <x:c r="O213" s="9" t="n">
        <x:f>IF(M213=0,"n.a.",L213/M213)</x:f>
        <x:v>0.6875</x:v>
      </x:c>
      <x:c r="P213" s="9" t="n">
        <x:f>IF(K213=0,"n.a.",L213/K213)</x:f>
        <x:v>0.4782608695652174</x:v>
      </x:c>
      <x:c r="Q213" s="9" t="n">
        <x:f>IF(K213=0,"n.a.",M213/K213)</x:f>
        <x:v>0.6956521739130435</x:v>
      </x:c>
      <x:c r="R213" s="9" t="n">
        <x:f>IF(K213=0,"n.a.",N213/K213)</x:f>
        <x:v>0</x:v>
      </x:c>
      <x:c r="S213" s="7" t="n">
        <x:v>-52</x:v>
      </x:c>
      <x:c r="T213" s="10" t="n">
        <x:v>0.31</x:v>
      </x:c>
      <x:c r="U213" s="7" t="n">
        <x:v>133</x:v>
      </x:c>
      <x:c r="V213" s="7" t="n">
        <x:v>230</x:v>
      </x:c>
    </x:row>
    <x:row r="214" ht="16" customHeight="1">
      <x:c r="A214" s="7" t="n">
        <x:v>211</x:v>
      </x:c>
      <x:c r="B214" s="8" t="n">
        <x:v>45912</x:v>
      </x:c>
      <x:c r="C214" s="7" t="str">
        <x:v>Haven</x:v>
      </x:c>
      <x:c r="D214" s="7" t="str">
        <x:v>4th</x:v>
      </x:c>
      <x:c r="E214" s="7" t="str">
        <x:v>Neon</x:v>
      </x:c>
      <x:c r="F214" s="7" t="n">
        <x:v>13</x:v>
      </x:c>
      <x:c r="G214" s="7" t="n">
        <x:v>1</x:v>
      </x:c>
      <x:c r="H214" s="7" t="str">
        <x:f>IF(F214&gt;G214,"Win",IF(F214&lt;G214,"Loss","Draw"))</x:f>
        <x:v>Win</x:v>
      </x:c>
      <x:c r="I214" s="7" t="n">
        <x:f>IF(H214="Win",1,0)</x:f>
        <x:v>1</x:v>
      </x:c>
      <x:c r="J214" s="7" t="n">
        <x:f>F214-G214</x:f>
        <x:v>12</x:v>
      </x:c>
      <x:c r="K214" s="7" t="n">
        <x:f>F214+G214</x:f>
        <x:v>14</x:v>
      </x:c>
      <x:c r="L214" s="7" t="n">
        <x:v>13</x:v>
      </x:c>
      <x:c r="M214" s="7" t="n">
        <x:v>9</x:v>
      </x:c>
      <x:c r="N214" s="7" t="n">
        <x:v>2</x:v>
      </x:c>
      <x:c r="O214" s="9" t="n">
        <x:f>IF(M214=0,"n.a.",L214/M214)</x:f>
        <x:v>1.4444444444444444</x:v>
      </x:c>
      <x:c r="P214" s="9" t="n">
        <x:f>IF(K214=0,"n.a.",L214/K214)</x:f>
        <x:v>0.9285714285714286</x:v>
      </x:c>
      <x:c r="Q214" s="9" t="n">
        <x:f>IF(K214=0,"n.a.",M214/K214)</x:f>
        <x:v>0.6428571428571429</x:v>
      </x:c>
      <x:c r="R214" s="9" t="n">
        <x:f>IF(K214=0,"n.a.",N214/K214)</x:f>
        <x:v>0.14285714285714285</x:v>
      </x:c>
      <x:c r="S214" s="7" t="n">
        <x:v>67</x:v>
      </x:c>
      <x:c r="T214" s="10" t="n">
        <x:v>0.19</x:v>
      </x:c>
      <x:c r="U214" s="7" t="n">
        <x:v>253</x:v>
      </x:c>
      <x:c r="V214" s="7" t="n">
        <x:v>765</x:v>
      </x:c>
    </x:row>
    <x:row r="215" ht="16" customHeight="1">
      <x:c r="A215" s="7" t="n">
        <x:v>212</x:v>
      </x:c>
      <x:c r="B215" s="8" t="n">
        <x:v>45912</x:v>
      </x:c>
      <x:c r="C215" s="7" t="str">
        <x:v>Ascent</x:v>
      </x:c>
      <x:c r="D215" s="7" t="str">
        <x:v>9th</x:v>
      </x:c>
      <x:c r="E215" s="7" t="str">
        <x:v>Astra</x:v>
      </x:c>
      <x:c r="F215" s="7" t="n">
        <x:v>10</x:v>
      </x:c>
      <x:c r="G215" s="7" t="n">
        <x:v>13</x:v>
      </x:c>
      <x:c r="H215" s="7" t="str">
        <x:f>IF(F215&gt;G215,"Win",IF(F215&lt;G215,"Loss","Draw"))</x:f>
        <x:v>Loss</x:v>
      </x:c>
      <x:c r="I215" s="7" t="n">
        <x:f>IF(H215="Win",1,0)</x:f>
        <x:v>0</x:v>
      </x:c>
      <x:c r="J215" s="7" t="n">
        <x:f>F215-G215</x:f>
        <x:v>-3</x:v>
      </x:c>
      <x:c r="K215" s="7" t="n">
        <x:f>F215+G215</x:f>
        <x:v>23</x:v>
      </x:c>
      <x:c r="L215" s="7" t="n">
        <x:v>9</x:v>
      </x:c>
      <x:c r="M215" s="7" t="n">
        <x:v>19</x:v>
      </x:c>
      <x:c r="N215" s="7" t="n">
        <x:v>8</x:v>
      </x:c>
      <x:c r="O215" s="9" t="n">
        <x:f>IF(M215=0,"n.a.",L215/M215)</x:f>
        <x:v>0.47368421052631576</x:v>
      </x:c>
      <x:c r="P215" s="9" t="n">
        <x:f>IF(K215=0,"n.a.",L215/K215)</x:f>
        <x:v>0.391304347826087</x:v>
      </x:c>
      <x:c r="Q215" s="9" t="n">
        <x:f>IF(K215=0,"n.a.",M215/K215)</x:f>
        <x:v>0.8260869565217391</x:v>
      </x:c>
      <x:c r="R215" s="9" t="n">
        <x:f>IF(K215=0,"n.a.",N215/K215)</x:f>
        <x:v>0.34782608695652173</x:v>
      </x:c>
      <x:c r="S215" s="7" t="n">
        <x:v>-67</x:v>
      </x:c>
      <x:c r="T215" s="10" t="n">
        <x:v>0.32</x:v>
      </x:c>
      <x:c r="U215" s="7" t="n">
        <x:v>129</x:v>
      </x:c>
      <x:c r="V215" s="7" t="n">
        <x:v>315</x:v>
      </x:c>
    </x:row>
    <x:row r="216" ht="16" customHeight="1">
      <x:c r="A216" s="7" t="n">
        <x:v>213</x:v>
      </x:c>
      <x:c r="B216" s="8" t="n">
        <x:v>45912</x:v>
      </x:c>
      <x:c r="C216" s="7" t="str">
        <x:v>Bind</x:v>
      </x:c>
      <x:c r="D216" s="7" t="str">
        <x:v>7th</x:v>
      </x:c>
      <x:c r="E216" s="7" t="str">
        <x:v>Omen</x:v>
      </x:c>
      <x:c r="F216" s="7" t="n">
        <x:v>10</x:v>
      </x:c>
      <x:c r="G216" s="7" t="n">
        <x:v>13</x:v>
      </x:c>
      <x:c r="H216" s="7" t="str">
        <x:f>IF(F216&gt;G216,"Win",IF(F216&lt;G216,"Loss","Draw"))</x:f>
        <x:v>Loss</x:v>
      </x:c>
      <x:c r="I216" s="7" t="n">
        <x:f>IF(H216="Win",1,0)</x:f>
        <x:v>0</x:v>
      </x:c>
      <x:c r="J216" s="7" t="n">
        <x:f>F216-G216</x:f>
        <x:v>-3</x:v>
      </x:c>
      <x:c r="K216" s="7" t="n">
        <x:f>F216+G216</x:f>
        <x:v>23</x:v>
      </x:c>
      <x:c r="L216" s="7" t="n">
        <x:v>14</x:v>
      </x:c>
      <x:c r="M216" s="7" t="n">
        <x:v>20</x:v>
      </x:c>
      <x:c r="N216" s="7" t="n">
        <x:v>3</x:v>
      </x:c>
      <x:c r="O216" s="9" t="n">
        <x:f>IF(M216=0,"n.a.",L216/M216)</x:f>
        <x:v>0.7</x:v>
      </x:c>
      <x:c r="P216" s="9" t="n">
        <x:f>IF(K216=0,"n.a.",L216/K216)</x:f>
        <x:v>0.6086956521739131</x:v>
      </x:c>
      <x:c r="Q216" s="9" t="n">
        <x:f>IF(K216=0,"n.a.",M216/K216)</x:f>
        <x:v>0.8695652173913043</x:v>
      </x:c>
      <x:c r="R216" s="9" t="n">
        <x:f>IF(K216=0,"n.a.",N216/K216)</x:f>
        <x:v>0.13043478260869565</x:v>
      </x:c>
      <x:c r="S216" s="7" t="n">
        <x:v>-26</x:v>
      </x:c>
      <x:c r="T216" s="10" t="n">
        <x:v>0.41</x:v>
      </x:c>
      <x:c r="U216" s="7" t="n">
        <x:v>170</x:v>
      </x:c>
      <x:c r="V216" s="7" t="n">
        <x:v>324</x:v>
      </x:c>
    </x:row>
    <x:row r="217" ht="16" customHeight="1">
      <x:c r="A217" s="7" t="n">
        <x:v>214</x:v>
      </x:c>
      <x:c r="B217" s="8" t="n">
        <x:v>45912</x:v>
      </x:c>
      <x:c r="C217" s="7" t="str">
        <x:v>Abyss</x:v>
      </x:c>
      <x:c r="D217" s="7" t="str">
        <x:v>MVP</x:v>
      </x:c>
      <x:c r="E217" s="7" t="str">
        <x:v>Astra</x:v>
      </x:c>
      <x:c r="F217" s="7" t="n">
        <x:v>13</x:v>
      </x:c>
      <x:c r="G217" s="7" t="n">
        <x:v>7</x:v>
      </x:c>
      <x:c r="H217" s="7" t="str">
        <x:f>IF(F217&gt;G217,"Win",IF(F217&lt;G217,"Loss","Draw"))</x:f>
        <x:v>Win</x:v>
      </x:c>
      <x:c r="I217" s="7" t="n">
        <x:f>IF(H217="Win",1,0)</x:f>
        <x:v>1</x:v>
      </x:c>
      <x:c r="J217" s="7" t="n">
        <x:f>F217-G217</x:f>
        <x:v>6</x:v>
      </x:c>
      <x:c r="K217" s="7" t="n">
        <x:f>F217+G217</x:f>
        <x:v>20</x:v>
      </x:c>
      <x:c r="L217" s="7" t="n">
        <x:v>16</x:v>
      </x:c>
      <x:c r="M217" s="7" t="n">
        <x:v>11</x:v>
      </x:c>
      <x:c r="N217" s="7" t="n">
        <x:v>9</x:v>
      </x:c>
      <x:c r="O217" s="9" t="n">
        <x:f>IF(M217=0,"n.a.",L217/M217)</x:f>
        <x:v>1.4545454545454546</x:v>
      </x:c>
      <x:c r="P217" s="9" t="n">
        <x:f>IF(K217=0,"n.a.",L217/K217)</x:f>
        <x:v>0.8</x:v>
      </x:c>
      <x:c r="Q217" s="9" t="n">
        <x:f>IF(K217=0,"n.a.",M217/K217)</x:f>
        <x:v>0.55</x:v>
      </x:c>
      <x:c r="R217" s="9" t="n">
        <x:f>IF(K217=0,"n.a.",N217/K217)</x:f>
        <x:v>0.45</x:v>
      </x:c>
      <x:c r="S217" s="7" t="n">
        <x:v>46</x:v>
      </x:c>
      <x:c r="T217" s="10" t="n">
        <x:v>0.25</x:v>
      </x:c>
      <x:c r="U217" s="7" t="n">
        <x:v>246</x:v>
      </x:c>
      <x:c r="V217" s="7" t="n">
        <x:v>722</x:v>
      </x:c>
    </x:row>
    <x:row r="218" ht="16" customHeight="1">
      <x:c r="A218" s="7" t="n">
        <x:v>215</x:v>
      </x:c>
      <x:c r="B218" s="8" t="n">
        <x:v>45912</x:v>
      </x:c>
      <x:c r="C218" s="7" t="str">
        <x:v>Sunset</x:v>
      </x:c>
      <x:c r="D218" s="7" t="str">
        <x:v>5th</x:v>
      </x:c>
      <x:c r="E218" s="7" t="str">
        <x:v>Neon</x:v>
      </x:c>
      <x:c r="F218" s="7" t="n">
        <x:v>13</x:v>
      </x:c>
      <x:c r="G218" s="7" t="n">
        <x:v>11</x:v>
      </x:c>
      <x:c r="H218" s="7" t="str">
        <x:f>IF(F218&gt;G218,"Win",IF(F218&lt;G218,"Loss","Draw"))</x:f>
        <x:v>Win</x:v>
      </x:c>
      <x:c r="I218" s="7" t="n">
        <x:f>IF(H218="Win",1,0)</x:f>
        <x:v>1</x:v>
      </x:c>
      <x:c r="J218" s="7" t="n">
        <x:f>F218-G218</x:f>
        <x:v>2</x:v>
      </x:c>
      <x:c r="K218" s="7" t="n">
        <x:f>F218+G218</x:f>
        <x:v>24</x:v>
      </x:c>
      <x:c r="L218" s="7" t="n">
        <x:v>21</x:v>
      </x:c>
      <x:c r="M218" s="7" t="n">
        <x:v>18</x:v>
      </x:c>
      <x:c r="N218" s="7" t="n">
        <x:v>4</x:v>
      </x:c>
      <x:c r="O218" s="9" t="n">
        <x:f>IF(M218=0,"n.a.",L218/M218)</x:f>
        <x:v>1.1666666666666667</x:v>
      </x:c>
      <x:c r="P218" s="9" t="n">
        <x:f>IF(K218=0,"n.a.",L218/K218)</x:f>
        <x:v>0.875</x:v>
      </x:c>
      <x:c r="Q218" s="9" t="n">
        <x:f>IF(K218=0,"n.a.",M218/K218)</x:f>
        <x:v>0.75</x:v>
      </x:c>
      <x:c r="R218" s="9" t="n">
        <x:f>IF(K218=0,"n.a.",N218/K218)</x:f>
        <x:v>0.16666666666666666</x:v>
      </x:c>
      <x:c r="S218" s="7" t="n">
        <x:v>14</x:v>
      </x:c>
      <x:c r="T218" s="10" t="n">
        <x:v>0.36</x:v>
      </x:c>
      <x:c r="U218" s="7" t="n">
        <x:v>241</x:v>
      </x:c>
      <x:c r="V218" s="7" t="n">
        <x:v>728</x:v>
      </x:c>
    </x:row>
    <x:row r="219" ht="16" customHeight="1">
      <x:c r="A219" s="7" t="n">
        <x:v>216</x:v>
      </x:c>
      <x:c r="B219" s="8" t="n">
        <x:v>45913</x:v>
      </x:c>
      <x:c r="C219" s="7" t="str">
        <x:v>Sunset</x:v>
      </x:c>
      <x:c r="D219" s="7" t="str">
        <x:v>4th</x:v>
      </x:c>
      <x:c r="E219" s="7" t="str">
        <x:v>Neon</x:v>
      </x:c>
      <x:c r="F219" s="7" t="n">
        <x:v>6</x:v>
      </x:c>
      <x:c r="G219" s="7" t="n">
        <x:v>13</x:v>
      </x:c>
      <x:c r="H219" s="7" t="str">
        <x:f>IF(F219&gt;G219,"Win",IF(F219&lt;G219,"Loss","Draw"))</x:f>
        <x:v>Loss</x:v>
      </x:c>
      <x:c r="I219" s="7" t="n">
        <x:f>IF(H219="Win",1,0)</x:f>
        <x:v>0</x:v>
      </x:c>
      <x:c r="J219" s="7" t="n">
        <x:f>F219-G219</x:f>
        <x:v>-7</x:v>
      </x:c>
      <x:c r="K219" s="7" t="n">
        <x:f>F219+G219</x:f>
        <x:v>19</x:v>
      </x:c>
      <x:c r="L219" s="7" t="n">
        <x:v>20</x:v>
      </x:c>
      <x:c r="M219" s="7" t="n">
        <x:v>20</x:v>
      </x:c>
      <x:c r="N219" s="7" t="n">
        <x:v>1</x:v>
      </x:c>
      <x:c r="O219" s="9" t="n">
        <x:f>IF(M219=0,"n.a.",L219/M219)</x:f>
        <x:v>1</x:v>
      </x:c>
      <x:c r="P219" s="9" t="n">
        <x:f>IF(K219=0,"n.a.",L219/K219)</x:f>
        <x:v>1.0526315789473684</x:v>
      </x:c>
      <x:c r="Q219" s="9" t="n">
        <x:f>IF(K219=0,"n.a.",M219/K219)</x:f>
        <x:v>1.0526315789473684</x:v>
      </x:c>
      <x:c r="R219" s="9" t="n">
        <x:f>IF(K219=0,"n.a.",N219/K219)</x:f>
        <x:v>0.05263157894736842</x:v>
      </x:c>
      <x:c r="S219" s="7" t="n">
        <x:v>-13</x:v>
      </x:c>
      <x:c r="T219" s="10" t="n">
        <x:v>0.13</x:v>
      </x:c>
      <x:c r="U219" s="7" t="n">
        <x:v>288</x:v>
      </x:c>
      <x:c r="V219" s="7" t="n">
        <x:v>639</x:v>
      </x:c>
    </x:row>
    <x:row r="220" ht="16" customHeight="1">
      <x:c r="A220" s="7" t="n">
        <x:v>217</x:v>
      </x:c>
      <x:c r="B220" s="8" t="n">
        <x:v>45913</x:v>
      </x:c>
      <x:c r="C220" s="7" t="str">
        <x:v>Ascent</x:v>
      </x:c>
      <x:c r="D220" s="7" t="str">
        <x:v>10th</x:v>
      </x:c>
      <x:c r="E220" s="7" t="str">
        <x:v>Astra</x:v>
      </x:c>
      <x:c r="F220" s="7" t="n">
        <x:v>4</x:v>
      </x:c>
      <x:c r="G220" s="7" t="n">
        <x:v>13</x:v>
      </x:c>
      <x:c r="H220" s="7" t="str">
        <x:f>IF(F220&gt;G220,"Win",IF(F220&lt;G220,"Loss","Draw"))</x:f>
        <x:v>Loss</x:v>
      </x:c>
      <x:c r="I220" s="7" t="n">
        <x:f>IF(H220="Win",1,0)</x:f>
        <x:v>0</x:v>
      </x:c>
      <x:c r="J220" s="7" t="n">
        <x:f>F220-G220</x:f>
        <x:v>-9</x:v>
      </x:c>
      <x:c r="K220" s="7" t="n">
        <x:f>F220+G220</x:f>
        <x:v>17</x:v>
      </x:c>
      <x:c r="L220" s="7" t="n">
        <x:v>3</x:v>
      </x:c>
      <x:c r="M220" s="7" t="n">
        <x:v>14</x:v>
      </x:c>
      <x:c r="N220" s="7" t="n">
        <x:v>1</x:v>
      </x:c>
      <x:c r="O220" s="9" t="n">
        <x:f>IF(M220=0,"n.a.",L220/M220)</x:f>
        <x:v>0.21428571428571427</x:v>
      </x:c>
      <x:c r="P220" s="9" t="n">
        <x:f>IF(K220=0,"n.a.",L220/K220)</x:f>
        <x:v>0.17647058823529413</x:v>
      </x:c>
      <x:c r="Q220" s="9" t="n">
        <x:f>IF(K220=0,"n.a.",M220/K220)</x:f>
        <x:v>0.8235294117647058</x:v>
      </x:c>
      <x:c r="R220" s="9" t="n">
        <x:f>IF(K220=0,"n.a.",N220/K220)</x:f>
        <x:v>0.058823529411764705</x:v>
      </x:c>
      <x:c r="S220" s="7" t="n">
        <x:v>-103</x:v>
      </x:c>
      <x:c r="T220" s="10" t="n">
        <x:v>0.25</x:v>
      </x:c>
      <x:c r="U220" s="7" t="n">
        <x:v>56</x:v>
      </x:c>
      <x:c r="V220" s="7" t="n">
        <x:v>100</x:v>
      </x:c>
    </x:row>
    <x:row r="221" ht="16" customHeight="1">
      <x:c r="A221" s="7" t="n">
        <x:v>218</x:v>
      </x:c>
      <x:c r="B221" s="8" t="n">
        <x:v>45913</x:v>
      </x:c>
      <x:c r="C221" s="7" t="str">
        <x:v>Bind</x:v>
      </x:c>
      <x:c r="D221" s="7" t="str">
        <x:v>5th</x:v>
      </x:c>
      <x:c r="E221" s="7" t="str">
        <x:v>Neon</x:v>
      </x:c>
      <x:c r="F221" s="7" t="n">
        <x:v>5</x:v>
      </x:c>
      <x:c r="G221" s="7" t="n">
        <x:v>13</x:v>
      </x:c>
      <x:c r="H221" s="7" t="str">
        <x:f>IF(F221&gt;G221,"Win",IF(F221&lt;G221,"Loss","Draw"))</x:f>
        <x:v>Loss</x:v>
      </x:c>
      <x:c r="I221" s="7" t="n">
        <x:f>IF(H221="Win",1,0)</x:f>
        <x:v>0</x:v>
      </x:c>
      <x:c r="J221" s="7" t="n">
        <x:f>F221-G221</x:f>
        <x:v>-8</x:v>
      </x:c>
      <x:c r="K221" s="7" t="n">
        <x:f>F221+G221</x:f>
        <x:v>18</x:v>
      </x:c>
      <x:c r="L221" s="7" t="n">
        <x:v>14</x:v>
      </x:c>
      <x:c r="M221" s="7" t="n">
        <x:v>19</x:v>
      </x:c>
      <x:c r="N221" s="7" t="n">
        <x:v>2</x:v>
      </x:c>
      <x:c r="O221" s="9" t="n">
        <x:f>IF(M221=0,"n.a.",L221/M221)</x:f>
        <x:v>0.7368421052631579</x:v>
      </x:c>
      <x:c r="P221" s="9" t="n">
        <x:f>IF(K221=0,"n.a.",L221/K221)</x:f>
        <x:v>0.7777777777777778</x:v>
      </x:c>
      <x:c r="Q221" s="9" t="n">
        <x:f>IF(K221=0,"n.a.",M221/K221)</x:f>
        <x:v>1.0555555555555556</x:v>
      </x:c>
      <x:c r="R221" s="9" t="n">
        <x:f>IF(K221=0,"n.a.",N221/K221)</x:f>
        <x:v>0.1111111111111111</x:v>
      </x:c>
      <x:c r="S221" s="7" t="n">
        <x:v>-75</x:v>
      </x:c>
      <x:c r="T221" s="10" t="n">
        <x:v>0.13</x:v>
      </x:c>
      <x:c r="U221" s="7" t="n">
        <x:v>211</x:v>
      </x:c>
      <x:c r="V221" s="7" t="n">
        <x:v>274</x:v>
      </x:c>
    </x:row>
    <x:row r="222" ht="16" customHeight="1">
      <x:c r="A222" s="7" t="n">
        <x:v>219</x:v>
      </x:c>
      <x:c r="B222" s="8" t="n">
        <x:v>45913</x:v>
      </x:c>
      <x:c r="C222" s="7" t="str">
        <x:v>Lotus</x:v>
      </x:c>
      <x:c r="D222" s="7" t="str">
        <x:v>MVP</x:v>
      </x:c>
      <x:c r="E222" s="7" t="str">
        <x:v>Neon</x:v>
      </x:c>
      <x:c r="F222" s="7" t="n">
        <x:v>10</x:v>
      </x:c>
      <x:c r="G222" s="7" t="n">
        <x:v>13</x:v>
      </x:c>
      <x:c r="H222" s="7" t="str">
        <x:f>IF(F222&gt;G222,"Win",IF(F222&lt;G222,"Loss","Draw"))</x:f>
        <x:v>Loss</x:v>
      </x:c>
      <x:c r="I222" s="7" t="n">
        <x:f>IF(H222="Win",1,0)</x:f>
        <x:v>0</x:v>
      </x:c>
      <x:c r="J222" s="7" t="n">
        <x:f>F222-G222</x:f>
        <x:v>-3</x:v>
      </x:c>
      <x:c r="K222" s="7" t="n">
        <x:f>F222+G222</x:f>
        <x:v>23</x:v>
      </x:c>
      <x:c r="L222" s="7" t="n">
        <x:v>22</x:v>
      </x:c>
      <x:c r="M222" s="7" t="n">
        <x:v>17</x:v>
      </x:c>
      <x:c r="N222" s="7" t="n">
        <x:v>3</x:v>
      </x:c>
      <x:c r="O222" s="9" t="n">
        <x:f>IF(M222=0,"n.a.",L222/M222)</x:f>
        <x:v>1.2941176470588236</x:v>
      </x:c>
      <x:c r="P222" s="9" t="n">
        <x:f>IF(K222=0,"n.a.",L222/K222)</x:f>
        <x:v>0.9565217391304348</x:v>
      </x:c>
      <x:c r="Q222" s="9" t="n">
        <x:f>IF(K222=0,"n.a.",M222/K222)</x:f>
        <x:v>0.7391304347826086</x:v>
      </x:c>
      <x:c r="R222" s="9" t="n">
        <x:f>IF(K222=0,"n.a.",N222/K222)</x:f>
        <x:v>0.13043478260869565</x:v>
      </x:c>
      <x:c r="S222" s="7" t="n">
        <x:v>58</x:v>
      </x:c>
      <x:c r="T222" s="10" t="n">
        <x:v>0.26</x:v>
      </x:c>
      <x:c r="U222" s="7" t="n">
        <x:v>293</x:v>
      </x:c>
      <x:c r="V222" s="7" t="n">
        <x:v>753</x:v>
      </x:c>
    </x:row>
    <x:row r="223" ht="16" customHeight="1">
      <x:c r="A223" s="7" t="n">
        <x:v>220</x:v>
      </x:c>
      <x:c r="B223" s="8" t="n">
        <x:v>45913</x:v>
      </x:c>
      <x:c r="C223" s="7" t="str">
        <x:v>Corrode</x:v>
      </x:c>
      <x:c r="D223" s="7" t="str">
        <x:v>5th</x:v>
      </x:c>
      <x:c r="E223" s="7" t="str">
        <x:v>Chamber</x:v>
      </x:c>
      <x:c r="F223" s="7" t="n">
        <x:v>13</x:v>
      </x:c>
      <x:c r="G223" s="7" t="n">
        <x:v>2</x:v>
      </x:c>
      <x:c r="H223" s="7" t="str">
        <x:f>IF(F223&gt;G223,"Win",IF(F223&lt;G223,"Loss","Draw"))</x:f>
        <x:v>Win</x:v>
      </x:c>
      <x:c r="I223" s="7" t="n">
        <x:f>IF(H223="Win",1,0)</x:f>
        <x:v>1</x:v>
      </x:c>
      <x:c r="J223" s="7" t="n">
        <x:f>F223-G223</x:f>
        <x:v>11</x:v>
      </x:c>
      <x:c r="K223" s="7" t="n">
        <x:f>F223+G223</x:f>
        <x:v>15</x:v>
      </x:c>
      <x:c r="L223" s="7" t="n">
        <x:v>13</x:v>
      </x:c>
      <x:c r="M223" s="7" t="n">
        <x:v>8</x:v>
      </x:c>
      <x:c r="N223" s="7" t="n">
        <x:v>2</x:v>
      </x:c>
      <x:c r="O223" s="9" t="n">
        <x:f>IF(M223=0,"n.a.",L223/M223)</x:f>
        <x:v>1.625</x:v>
      </x:c>
      <x:c r="P223" s="9" t="n">
        <x:f>IF(K223=0,"n.a.",L223/K223)</x:f>
        <x:v>0.8666666666666667</x:v>
      </x:c>
      <x:c r="Q223" s="9" t="n">
        <x:f>IF(K223=0,"n.a.",M223/K223)</x:f>
        <x:v>0.5333333333333333</x:v>
      </x:c>
      <x:c r="R223" s="9" t="n">
        <x:f>IF(K223=0,"n.a.",N223/K223)</x:f>
        <x:v>0.13333333333333333</x:v>
      </x:c>
      <x:c r="S223" s="7" t="n">
        <x:v>44</x:v>
      </x:c>
      <x:c r="T223" s="10" t="n">
        <x:v>0.2</x:v>
      </x:c>
      <x:c r="U223" s="7" t="n">
        <x:v>246</x:v>
      </x:c>
      <x:c r="V223" s="7" t="n">
        <x:v>751</x:v>
      </x:c>
    </x:row>
    <x:row r="224" ht="16" customHeight="1">
      <x:c r="A224" s="7" t="n">
        <x:v>221</x:v>
      </x:c>
      <x:c r="B224" s="8" t="n">
        <x:v>45913</x:v>
      </x:c>
      <x:c r="C224" s="7" t="str">
        <x:v>Haven</x:v>
      </x:c>
      <x:c r="D224" s="7" t="str">
        <x:v>9th</x:v>
      </x:c>
      <x:c r="E224" s="7" t="str">
        <x:v>Sova</x:v>
      </x:c>
      <x:c r="F224" s="7" t="n">
        <x:v>12</x:v>
      </x:c>
      <x:c r="G224" s="7" t="n">
        <x:v>14</x:v>
      </x:c>
      <x:c r="H224" s="7" t="str">
        <x:f>IF(F224&gt;G224,"Win",IF(F224&lt;G224,"Loss","Draw"))</x:f>
        <x:v>Loss</x:v>
      </x:c>
      <x:c r="I224" s="7" t="n">
        <x:f>IF(H224="Win",1,0)</x:f>
        <x:v>0</x:v>
      </x:c>
      <x:c r="J224" s="7" t="n">
        <x:f>F224-G224</x:f>
        <x:v>-2</x:v>
      </x:c>
      <x:c r="K224" s="7" t="n">
        <x:f>F224+G224</x:f>
        <x:v>26</x:v>
      </x:c>
      <x:c r="L224" s="7" t="n">
        <x:v>15</x:v>
      </x:c>
      <x:c r="M224" s="7" t="n">
        <x:v>19</x:v>
      </x:c>
      <x:c r="N224" s="7" t="n">
        <x:v>0</x:v>
      </x:c>
      <x:c r="O224" s="9" t="n">
        <x:f>IF(M224=0,"n.a.",L224/M224)</x:f>
        <x:v>0.7894736842105263</x:v>
      </x:c>
      <x:c r="P224" s="9" t="n">
        <x:f>IF(K224=0,"n.a.",L224/K224)</x:f>
        <x:v>0.5769230769230769</x:v>
      </x:c>
      <x:c r="Q224" s="9" t="n">
        <x:f>IF(K224=0,"n.a.",M224/K224)</x:f>
        <x:v>0.7307692307692307</x:v>
      </x:c>
      <x:c r="R224" s="9" t="n">
        <x:f>IF(K224=0,"n.a.",N224/K224)</x:f>
        <x:v>0</x:v>
      </x:c>
      <x:c r="S224" s="7" t="n">
        <x:v>-52</x:v>
      </x:c>
      <x:c r="T224" s="10" t="n">
        <x:v>0.41</x:v>
      </x:c>
      <x:c r="U224" s="7" t="n">
        <x:v>143</x:v>
      </x:c>
      <x:c r="V224" s="7" t="n">
        <x:v>201</x:v>
      </x:c>
    </x:row>
    <x:row r="225" ht="16" customHeight="1">
      <x:c r="A225" s="7" t="n">
        <x:v>222</x:v>
      </x:c>
      <x:c r="B225" s="8" t="n">
        <x:v>45913</x:v>
      </x:c>
      <x:c r="C225" s="7" t="str">
        <x:v>Abyss</x:v>
      </x:c>
      <x:c r="D225" s="7" t="str">
        <x:v>8th</x:v>
      </x:c>
      <x:c r="E225" s="7" t="str">
        <x:v>Neon</x:v>
      </x:c>
      <x:c r="F225" s="7" t="n">
        <x:v>5</x:v>
      </x:c>
      <x:c r="G225" s="7" t="n">
        <x:v>13</x:v>
      </x:c>
      <x:c r="H225" s="7" t="str">
        <x:f>IF(F225&gt;G225,"Win",IF(F225&lt;G225,"Loss","Draw"))</x:f>
        <x:v>Loss</x:v>
      </x:c>
      <x:c r="I225" s="7" t="n">
        <x:f>IF(H225="Win",1,0)</x:f>
        <x:v>0</x:v>
      </x:c>
      <x:c r="J225" s="7" t="n">
        <x:f>F225-G225</x:f>
        <x:v>-8</x:v>
      </x:c>
      <x:c r="K225" s="7" t="n">
        <x:f>F225+G225</x:f>
        <x:v>18</x:v>
      </x:c>
      <x:c r="L225" s="7" t="n">
        <x:v>11</x:v>
      </x:c>
      <x:c r="M225" s="7" t="n">
        <x:v>14</x:v>
      </x:c>
      <x:c r="N225" s="7" t="n">
        <x:v>1</x:v>
      </x:c>
      <x:c r="O225" s="9" t="n">
        <x:f>IF(M225=0,"n.a.",L225/M225)</x:f>
        <x:v>0.7857142857142857</x:v>
      </x:c>
      <x:c r="P225" s="9" t="n">
        <x:f>IF(K225=0,"n.a.",L225/K225)</x:f>
        <x:v>0.6111111111111112</x:v>
      </x:c>
      <x:c r="Q225" s="9" t="n">
        <x:f>IF(K225=0,"n.a.",M225/K225)</x:f>
        <x:v>0.7777777777777778</x:v>
      </x:c>
      <x:c r="R225" s="9" t="n">
        <x:f>IF(K225=0,"n.a.",N225/K225)</x:f>
        <x:v>0.05555555555555555</x:v>
      </x:c>
      <x:c r="S225" s="7" t="n">
        <x:v>-27</x:v>
      </x:c>
      <x:c r="T225" s="10" t="n">
        <x:v>0.2</x:v>
      </x:c>
      <x:c r="U225" s="7" t="n">
        <x:v>178</x:v>
      </x:c>
      <x:c r="V225" s="7" t="n">
        <x:v>282</x:v>
      </x:c>
    </x:row>
    <x:row r="226" ht="16" customHeight="1">
      <x:c r="A226" s="7" t="n">
        <x:v>223</x:v>
      </x:c>
      <x:c r="B226" s="8" t="n">
        <x:v>45913</x:v>
      </x:c>
      <x:c r="C226" s="7" t="str">
        <x:v>Ascent</x:v>
      </x:c>
      <x:c r="D226" s="7" t="str">
        <x:v>7th</x:v>
      </x:c>
      <x:c r="E226" s="7" t="str">
        <x:v>Neon</x:v>
      </x:c>
      <x:c r="F226" s="7" t="n">
        <x:v>13</x:v>
      </x:c>
      <x:c r="G226" s="7" t="n">
        <x:v>8</x:v>
      </x:c>
      <x:c r="H226" s="7" t="str">
        <x:f>IF(F226&gt;G226,"Win",IF(F226&lt;G226,"Loss","Draw"))</x:f>
        <x:v>Win</x:v>
      </x:c>
      <x:c r="I226" s="7" t="n">
        <x:f>IF(H226="Win",1,0)</x:f>
        <x:v>1</x:v>
      </x:c>
      <x:c r="J226" s="7" t="n">
        <x:f>F226-G226</x:f>
        <x:v>5</x:v>
      </x:c>
      <x:c r="K226" s="7" t="n">
        <x:f>F226+G226</x:f>
        <x:v>21</x:v>
      </x:c>
      <x:c r="L226" s="7" t="n">
        <x:v>13</x:v>
      </x:c>
      <x:c r="M226" s="7" t="n">
        <x:v>13</x:v>
      </x:c>
      <x:c r="N226" s="7" t="n">
        <x:v>5</x:v>
      </x:c>
      <x:c r="O226" s="9" t="n">
        <x:f>IF(M226=0,"n.a.",L226/M226)</x:f>
        <x:v>1</x:v>
      </x:c>
      <x:c r="P226" s="9" t="n">
        <x:f>IF(K226=0,"n.a.",L226/K226)</x:f>
        <x:v>0.6190476190476191</x:v>
      </x:c>
      <x:c r="Q226" s="9" t="n">
        <x:f>IF(K226=0,"n.a.",M226/K226)</x:f>
        <x:v>0.6190476190476191</x:v>
      </x:c>
      <x:c r="R226" s="9" t="n">
        <x:f>IF(K226=0,"n.a.",N226/K226)</x:f>
        <x:v>0.23809523809523808</x:v>
      </x:c>
      <x:c r="S226" s="7" t="n">
        <x:v>-13</x:v>
      </x:c>
      <x:c r="T226" s="10" t="n">
        <x:v>0.14</x:v>
      </x:c>
      <x:c r="U226" s="7" t="n">
        <x:v>180</x:v>
      </x:c>
      <x:c r="V226" s="7" t="n">
        <x:v>618</x:v>
      </x:c>
    </x:row>
    <x:row r="227" ht="16" customHeight="1">
      <x:c r="A227" s="7" t="n">
        <x:v>224</x:v>
      </x:c>
      <x:c r="B227" s="8" t="n">
        <x:v>45913</x:v>
      </x:c>
      <x:c r="C227" s="7" t="str">
        <x:v>Bind</x:v>
      </x:c>
      <x:c r="D227" s="7" t="str">
        <x:v>2nd</x:v>
      </x:c>
      <x:c r="E227" s="7" t="str">
        <x:v>Chamber</x:v>
      </x:c>
      <x:c r="F227" s="7" t="n">
        <x:v>9</x:v>
      </x:c>
      <x:c r="G227" s="7" t="n">
        <x:v>13</x:v>
      </x:c>
      <x:c r="H227" s="7" t="str">
        <x:f>IF(F227&gt;G227,"Win",IF(F227&lt;G227,"Loss","Draw"))</x:f>
        <x:v>Loss</x:v>
      </x:c>
      <x:c r="I227" s="7" t="n">
        <x:f>IF(H227="Win",1,0)</x:f>
        <x:v>0</x:v>
      </x:c>
      <x:c r="J227" s="7" t="n">
        <x:f>F227-G227</x:f>
        <x:v>-4</x:v>
      </x:c>
      <x:c r="K227" s="7" t="n">
        <x:f>F227+G227</x:f>
        <x:v>22</x:v>
      </x:c>
      <x:c r="L227" s="7" t="n">
        <x:v>19</x:v>
      </x:c>
      <x:c r="M227" s="7" t="n">
        <x:v>16</x:v>
      </x:c>
      <x:c r="N227" s="7" t="n">
        <x:v>3</x:v>
      </x:c>
      <x:c r="O227" s="9" t="n">
        <x:f>IF(M227=0,"n.a.",L227/M227)</x:f>
        <x:v>1.1875</x:v>
      </x:c>
      <x:c r="P227" s="9" t="n">
        <x:f>IF(K227=0,"n.a.",L227/K227)</x:f>
        <x:v>0.8636363636363636</x:v>
      </x:c>
      <x:c r="Q227" s="9" t="n">
        <x:f>IF(K227=0,"n.a.",M227/K227)</x:f>
        <x:v>0.7272727272727273</x:v>
      </x:c>
      <x:c r="R227" s="9" t="n">
        <x:f>IF(K227=0,"n.a.",N227/K227)</x:f>
        <x:v>0.13636363636363635</x:v>
      </x:c>
      <x:c r="S227" s="7" t="n">
        <x:v>19</x:v>
      </x:c>
      <x:c r="T227" s="10" t="n">
        <x:v>0.17</x:v>
      </x:c>
      <x:c r="U227" s="7" t="n">
        <x:v>246</x:v>
      </x:c>
      <x:c r="V227" s="7" t="n">
        <x:v>581</x:v>
      </x:c>
    </x:row>
    <x:row r="228" ht="16" customHeight="1">
      <x:c r="A228" s="7" t="n">
        <x:v>225</x:v>
      </x:c>
      <x:c r="B228" s="8" t="n">
        <x:v>45913</x:v>
      </x:c>
      <x:c r="C228" s="7" t="str">
        <x:v>Bind</x:v>
      </x:c>
      <x:c r="D228" s="7" t="str">
        <x:v>MVP</x:v>
      </x:c>
      <x:c r="E228" s="7" t="str">
        <x:v>Omen</x:v>
      </x:c>
      <x:c r="F228" s="7" t="n">
        <x:v>16</x:v>
      </x:c>
      <x:c r="G228" s="7" t="n">
        <x:v>14</x:v>
      </x:c>
      <x:c r="H228" s="7" t="str">
        <x:f>IF(F228&gt;G228,"Win",IF(F228&lt;G228,"Loss","Draw"))</x:f>
        <x:v>Win</x:v>
      </x:c>
      <x:c r="I228" s="7" t="n">
        <x:f>IF(H228="Win",1,0)</x:f>
        <x:v>1</x:v>
      </x:c>
      <x:c r="J228" s="7" t="n">
        <x:f>F228-G228</x:f>
        <x:v>2</x:v>
      </x:c>
      <x:c r="K228" s="7" t="n">
        <x:f>F228+G228</x:f>
        <x:v>30</x:v>
      </x:c>
      <x:c r="L228" s="7" t="n">
        <x:v>30</x:v>
      </x:c>
      <x:c r="M228" s="7" t="n">
        <x:v>22</x:v>
      </x:c>
      <x:c r="N228" s="7" t="n">
        <x:v>6</x:v>
      </x:c>
      <x:c r="O228" s="9" t="n">
        <x:f>IF(M228=0,"n.a.",L228/M228)</x:f>
        <x:v>1.3636363636363635</x:v>
      </x:c>
      <x:c r="P228" s="9" t="n">
        <x:f>IF(K228=0,"n.a.",L228/K228)</x:f>
        <x:v>1</x:v>
      </x:c>
      <x:c r="Q228" s="9" t="n">
        <x:f>IF(K228=0,"n.a.",M228/K228)</x:f>
        <x:v>0.7333333333333333</x:v>
      </x:c>
      <x:c r="R228" s="9" t="n">
        <x:f>IF(K228=0,"n.a.",N228/K228)</x:f>
        <x:v>0.2</x:v>
      </x:c>
      <x:c r="S228" s="7" t="n">
        <x:v>34</x:v>
      </x:c>
      <x:c r="T228" s="10" t="n">
        <x:v>0.21</x:v>
      </x:c>
      <x:c r="U228" s="7" t="n">
        <x:v>274</x:v>
      </x:c>
      <x:c r="V228" s="7" t="n">
        <x:v>738</x:v>
      </x:c>
    </x:row>
    <x:row r="229" ht="16" customHeight="1">
      <x:c r="A229" s="7" t="n">
        <x:v>226</x:v>
      </x:c>
      <x:c r="B229" s="8" t="n">
        <x:v>45913</x:v>
      </x:c>
      <x:c r="C229" s="7" t="str">
        <x:v>Ascent</x:v>
      </x:c>
      <x:c r="D229" s="7" t="str">
        <x:v>8th</x:v>
      </x:c>
      <x:c r="E229" s="7" t="str">
        <x:v>Yoru</x:v>
      </x:c>
      <x:c r="F229" s="7" t="n">
        <x:v>15</x:v>
      </x:c>
      <x:c r="G229" s="7" t="n">
        <x:v>13</x:v>
      </x:c>
      <x:c r="H229" s="7" t="str">
        <x:f>IF(F229&gt;G229,"Win",IF(F229&lt;G229,"Loss","Draw"))</x:f>
        <x:v>Win</x:v>
      </x:c>
      <x:c r="I229" s="7" t="n">
        <x:f>IF(H229="Win",1,0)</x:f>
        <x:v>1</x:v>
      </x:c>
      <x:c r="J229" s="7" t="n">
        <x:f>F229-G229</x:f>
        <x:v>2</x:v>
      </x:c>
      <x:c r="K229" s="7" t="n">
        <x:f>F229+G229</x:f>
        <x:v>28</x:v>
      </x:c>
      <x:c r="L229" s="7" t="n">
        <x:v>21</x:v>
      </x:c>
      <x:c r="M229" s="7" t="n">
        <x:v>19</x:v>
      </x:c>
      <x:c r="N229" s="7" t="n">
        <x:v>3</x:v>
      </x:c>
      <x:c r="O229" s="9" t="n">
        <x:f>IF(M229=0,"n.a.",L229/M229)</x:f>
        <x:v>1.105263157894737</x:v>
      </x:c>
      <x:c r="P229" s="9" t="n">
        <x:f>IF(K229=0,"n.a.",L229/K229)</x:f>
        <x:v>0.75</x:v>
      </x:c>
      <x:c r="Q229" s="9" t="n">
        <x:f>IF(K229=0,"n.a.",M229/K229)</x:f>
        <x:v>0.6785714285714286</x:v>
      </x:c>
      <x:c r="R229" s="9" t="n">
        <x:f>IF(K229=0,"n.a.",N229/K229)</x:f>
        <x:v>0.10714285714285714</x:v>
      </x:c>
      <x:c r="S229" s="7" t="n">
        <x:v>-20</x:v>
      </x:c>
      <x:c r="T229" s="10" t="n">
        <x:v>0.34</x:v>
      </x:c>
      <x:c r="U229" s="7" t="n">
        <x:v>186</x:v>
      </x:c>
      <x:c r="V229" s="7" t="n">
        <x:v>429</x:v>
      </x:c>
    </x:row>
    <x:row r="230" ht="16" customHeight="1">
      <x:c r="A230" s="7" t="n">
        <x:v>227</x:v>
      </x:c>
      <x:c r="B230" s="8" t="n">
        <x:v>45914</x:v>
      </x:c>
      <x:c r="C230" s="7" t="str">
        <x:v>Ascent</x:v>
      </x:c>
      <x:c r="D230" s="7" t="str">
        <x:v>6th</x:v>
      </x:c>
      <x:c r="E230" s="7" t="str">
        <x:v>Neon</x:v>
      </x:c>
      <x:c r="F230" s="7" t="n">
        <x:v>6</x:v>
      </x:c>
      <x:c r="G230" s="7" t="n">
        <x:v>13</x:v>
      </x:c>
      <x:c r="H230" s="7" t="str">
        <x:f>IF(F230&gt;G230,"Win",IF(F230&lt;G230,"Loss","Draw"))</x:f>
        <x:v>Loss</x:v>
      </x:c>
      <x:c r="I230" s="7" t="n">
        <x:f>IF(H230="Win",1,0)</x:f>
        <x:v>0</x:v>
      </x:c>
      <x:c r="J230" s="7" t="n">
        <x:f>F230-G230</x:f>
        <x:v>-7</x:v>
      </x:c>
      <x:c r="K230" s="7" t="n">
        <x:f>F230+G230</x:f>
        <x:v>19</x:v>
      </x:c>
      <x:c r="L230" s="7" t="n">
        <x:v>14</x:v>
      </x:c>
      <x:c r="M230" s="7" t="n">
        <x:v>16</x:v>
      </x:c>
      <x:c r="N230" s="7" t="n">
        <x:v>1</x:v>
      </x:c>
      <x:c r="O230" s="9" t="n">
        <x:f>IF(M230=0,"n.a.",L230/M230)</x:f>
        <x:v>0.875</x:v>
      </x:c>
      <x:c r="P230" s="9" t="n">
        <x:f>IF(K230=0,"n.a.",L230/K230)</x:f>
        <x:v>0.7368421052631579</x:v>
      </x:c>
      <x:c r="Q230" s="9" t="n">
        <x:f>IF(K230=0,"n.a.",M230/K230)</x:f>
        <x:v>0.8421052631578947</x:v>
      </x:c>
      <x:c r="R230" s="9" t="n">
        <x:f>IF(K230=0,"n.a.",N230/K230)</x:f>
        <x:v>0.05263157894736842</x:v>
      </x:c>
      <x:c r="S230" s="7" t="n">
        <x:v>-42</x:v>
      </x:c>
      <x:c r="T230" s="10" t="n">
        <x:v>0.21</x:v>
      </x:c>
      <x:c r="U230" s="7" t="n">
        <x:v>197</x:v>
      </x:c>
      <x:c r="V230" s="7" t="n">
        <x:v>410</x:v>
      </x:c>
    </x:row>
    <x:row r="231" ht="16" customHeight="1">
      <x:c r="A231" s="7" t="n">
        <x:v>228</x:v>
      </x:c>
      <x:c r="B231" s="8" t="n">
        <x:v>45914</x:v>
      </x:c>
      <x:c r="C231" s="7" t="str">
        <x:v>Bind</x:v>
      </x:c>
      <x:c r="D231" s="7" t="str">
        <x:v>6th</x:v>
      </x:c>
      <x:c r="E231" s="7" t="str">
        <x:v>Neon</x:v>
      </x:c>
      <x:c r="F231" s="7" t="n">
        <x:v>14</x:v>
      </x:c>
      <x:c r="G231" s="7" t="n">
        <x:v>12</x:v>
      </x:c>
      <x:c r="H231" s="7" t="str">
        <x:f>IF(F231&gt;G231,"Win",IF(F231&lt;G231,"Loss","Draw"))</x:f>
        <x:v>Win</x:v>
      </x:c>
      <x:c r="I231" s="7" t="n">
        <x:f>IF(H231="Win",1,0)</x:f>
        <x:v>1</x:v>
      </x:c>
      <x:c r="J231" s="7" t="n">
        <x:f>F231-G231</x:f>
        <x:v>2</x:v>
      </x:c>
      <x:c r="K231" s="7" t="n">
        <x:f>F231+G231</x:f>
        <x:v>26</x:v>
      </x:c>
      <x:c r="L231" s="7" t="n">
        <x:v>21</x:v>
      </x:c>
      <x:c r="M231" s="7" t="n">
        <x:v>17</x:v>
      </x:c>
      <x:c r="N231" s="7" t="n">
        <x:v>4</x:v>
      </x:c>
      <x:c r="O231" s="9" t="n">
        <x:f>IF(M231=0,"n.a.",L231/M231)</x:f>
        <x:v>1.2352941176470589</x:v>
      </x:c>
      <x:c r="P231" s="9" t="n">
        <x:f>IF(K231=0,"n.a.",L231/K231)</x:f>
        <x:v>0.8076923076923077</x:v>
      </x:c>
      <x:c r="Q231" s="9" t="n">
        <x:f>IF(K231=0,"n.a.",M231/K231)</x:f>
        <x:v>0.6538461538461539</x:v>
      </x:c>
      <x:c r="R231" s="9" t="n">
        <x:f>IF(K231=0,"n.a.",N231/K231)</x:f>
        <x:v>0.15384615384615385</x:v>
      </x:c>
      <x:c r="S231" s="7" t="n">
        <x:v>-6</x:v>
      </x:c>
      <x:c r="T231" s="10" t="n">
        <x:v>0.26</x:v>
      </x:c>
      <x:c r="U231" s="7" t="n">
        <x:v>213</x:v>
      </x:c>
      <x:c r="V231" s="7" t="n">
        <x:v>550</x:v>
      </x:c>
    </x:row>
    <x:row r="232" ht="16" customHeight="1">
      <x:c r="A232" s="7" t="n">
        <x:v>229</x:v>
      </x:c>
      <x:c r="B232" s="8" t="n">
        <x:v>45915</x:v>
      </x:c>
      <x:c r="C232" s="7" t="str">
        <x:v>Lotus</x:v>
      </x:c>
      <x:c r="D232" s="7" t="str">
        <x:v>4th</x:v>
      </x:c>
      <x:c r="E232" s="7" t="str">
        <x:v>Neon</x:v>
      </x:c>
      <x:c r="F232" s="7" t="n">
        <x:v>7</x:v>
      </x:c>
      <x:c r="G232" s="7" t="n">
        <x:v>13</x:v>
      </x:c>
      <x:c r="H232" s="7" t="str">
        <x:f>IF(F232&gt;G232,"Win",IF(F232&lt;G232,"Loss","Draw"))</x:f>
        <x:v>Loss</x:v>
      </x:c>
      <x:c r="I232" s="7" t="n">
        <x:f>IF(H232="Win",1,0)</x:f>
        <x:v>0</x:v>
      </x:c>
      <x:c r="J232" s="7" t="n">
        <x:f>F232-G232</x:f>
        <x:v>-6</x:v>
      </x:c>
      <x:c r="K232" s="7" t="n">
        <x:f>F232+G232</x:f>
        <x:v>20</x:v>
      </x:c>
      <x:c r="L232" s="7" t="n">
        <x:v>16</x:v>
      </x:c>
      <x:c r="M232" s="7" t="n">
        <x:v>16</x:v>
      </x:c>
      <x:c r="N232" s="7" t="n">
        <x:v>2</x:v>
      </x:c>
      <x:c r="O232" s="9" t="n">
        <x:f>IF(M232=0,"n.a.",L232/M232)</x:f>
        <x:v>1</x:v>
      </x:c>
      <x:c r="P232" s="9" t="n">
        <x:f>IF(K232=0,"n.a.",L232/K232)</x:f>
        <x:v>0.8</x:v>
      </x:c>
      <x:c r="Q232" s="9" t="n">
        <x:f>IF(K232=0,"n.a.",M232/K232)</x:f>
        <x:v>0.8</x:v>
      </x:c>
      <x:c r="R232" s="9" t="n">
        <x:f>IF(K232=0,"n.a.",N232/K232)</x:f>
        <x:v>0.1</x:v>
      </x:c>
      <x:c r="S232" s="7" t="n">
        <x:v>16</x:v>
      </x:c>
      <x:c r="T232" s="10" t="n">
        <x:v>0.27</x:v>
      </x:c>
      <x:c r="U232" s="7" t="n">
        <x:v>236</x:v>
      </x:c>
      <x:c r="V232" s="7" t="n">
        <x:v>481</x:v>
      </x:c>
    </x:row>
    <x:row r="233" ht="16" customHeight="1">
      <x:c r="A233" s="7" t="n">
        <x:v>230</x:v>
      </x:c>
      <x:c r="B233" s="8" t="n">
        <x:v>45915</x:v>
      </x:c>
      <x:c r="C233" s="7" t="str">
        <x:v>Lotus</x:v>
      </x:c>
      <x:c r="D233" s="7" t="str">
        <x:v>6th</x:v>
      </x:c>
      <x:c r="E233" s="7" t="str">
        <x:v>Neon</x:v>
      </x:c>
      <x:c r="F233" s="7" t="n">
        <x:v>13</x:v>
      </x:c>
      <x:c r="G233" s="7" t="n">
        <x:v>2</x:v>
      </x:c>
      <x:c r="H233" s="7" t="str">
        <x:f>IF(F233&gt;G233,"Win",IF(F233&lt;G233,"Loss","Draw"))</x:f>
        <x:v>Win</x:v>
      </x:c>
      <x:c r="I233" s="7" t="n">
        <x:f>IF(H233="Win",1,0)</x:f>
        <x:v>1</x:v>
      </x:c>
      <x:c r="J233" s="7" t="n">
        <x:f>F233-G233</x:f>
        <x:v>11</x:v>
      </x:c>
      <x:c r="K233" s="7" t="n">
        <x:f>F233+G233</x:f>
        <x:v>15</x:v>
      </x:c>
      <x:c r="L233" s="7" t="n">
        <x:v>10</x:v>
      </x:c>
      <x:c r="M233" s="7" t="n">
        <x:v>11</x:v>
      </x:c>
      <x:c r="N233" s="7" t="n">
        <x:v>1</x:v>
      </x:c>
      <x:c r="O233" s="9" t="n">
        <x:f>IF(M233=0,"n.a.",L233/M233)</x:f>
        <x:v>0.9090909090909091</x:v>
      </x:c>
      <x:c r="P233" s="9" t="n">
        <x:f>IF(K233=0,"n.a.",L233/K233)</x:f>
        <x:v>0.6666666666666666</x:v>
      </x:c>
      <x:c r="Q233" s="9" t="n">
        <x:f>IF(K233=0,"n.a.",M233/K233)</x:f>
        <x:v>0.7333333333333333</x:v>
      </x:c>
      <x:c r="R233" s="9" t="n">
        <x:f>IF(K233=0,"n.a.",N233/K233)</x:f>
        <x:v>0.06666666666666667</x:v>
      </x:c>
      <x:c r="S233" s="7" t="n">
        <x:v>-33</x:v>
      </x:c>
      <x:c r="T233" s="10" t="n">
        <x:v>0.18</x:v>
      </x:c>
      <x:c r="U233" s="7" t="n">
        <x:v>164</x:v>
      </x:c>
      <x:c r="V233" s="7" t="n">
        <x:v>325</x:v>
      </x:c>
    </x:row>
    <x:row r="234" ht="16" customHeight="1">
      <x:c r="A234" s="7" t="n">
        <x:v>231</x:v>
      </x:c>
      <x:c r="B234" s="8" t="n">
        <x:v>45916</x:v>
      </x:c>
      <x:c r="C234" s="7" t="str">
        <x:v>Corrode</x:v>
      </x:c>
      <x:c r="D234" s="7" t="str">
        <x:v>MVP</x:v>
      </x:c>
      <x:c r="E234" s="7" t="str">
        <x:v>Neon</x:v>
      </x:c>
      <x:c r="F234" s="7" t="n">
        <x:v>13</x:v>
      </x:c>
      <x:c r="G234" s="7" t="n">
        <x:v>7</x:v>
      </x:c>
      <x:c r="H234" s="7" t="str">
        <x:f>IF(F234&gt;G234,"Win",IF(F234&lt;G234,"Loss","Draw"))</x:f>
        <x:v>Win</x:v>
      </x:c>
      <x:c r="I234" s="7" t="n">
        <x:f>IF(H234="Win",1,0)</x:f>
        <x:v>1</x:v>
      </x:c>
      <x:c r="J234" s="7" t="n">
        <x:f>F234-G234</x:f>
        <x:v>6</x:v>
      </x:c>
      <x:c r="K234" s="7" t="n">
        <x:f>F234+G234</x:f>
        <x:v>20</x:v>
      </x:c>
      <x:c r="L234" s="7" t="n">
        <x:v>22</x:v>
      </x:c>
      <x:c r="M234" s="7" t="n">
        <x:v>17</x:v>
      </x:c>
      <x:c r="N234" s="7" t="n">
        <x:v>4</x:v>
      </x:c>
      <x:c r="O234" s="9" t="n">
        <x:f>IF(M234=0,"n.a.",L234/M234)</x:f>
        <x:v>1.2941176470588236</x:v>
      </x:c>
      <x:c r="P234" s="9" t="n">
        <x:f>IF(K234=0,"n.a.",L234/K234)</x:f>
        <x:v>1.1</x:v>
      </x:c>
      <x:c r="Q234" s="9" t="n">
        <x:f>IF(K234=0,"n.a.",M234/K234)</x:f>
        <x:v>0.85</x:v>
      </x:c>
      <x:c r="R234" s="9" t="n">
        <x:f>IF(K234=0,"n.a.",N234/K234)</x:f>
        <x:v>0.2</x:v>
      </x:c>
      <x:c r="S234" s="7" t="n">
        <x:v>33</x:v>
      </x:c>
      <x:c r="T234" s="10" t="n">
        <x:v>0.33</x:v>
      </x:c>
      <x:c r="U234" s="7" t="n">
        <x:v>294</x:v>
      </x:c>
      <x:c r="V234" s="7" t="n">
        <x:v>857</x:v>
      </x:c>
    </x:row>
    <x:row r="235" ht="16" customHeight="1">
      <x:c r="A235" s="7" t="n">
        <x:v>232</x:v>
      </x:c>
      <x:c r="B235" s="8" t="n">
        <x:v>45916</x:v>
      </x:c>
      <x:c r="C235" s="7" t="str">
        <x:v>Haven</x:v>
      </x:c>
      <x:c r="D235" s="7" t="str">
        <x:v>2nd</x:v>
      </x:c>
      <x:c r="E235" s="7" t="str">
        <x:v>Tejo</x:v>
      </x:c>
      <x:c r="F235" s="7" t="n">
        <x:v>13</x:v>
      </x:c>
      <x:c r="G235" s="7" t="n">
        <x:v>11</x:v>
      </x:c>
      <x:c r="H235" s="7" t="str">
        <x:f>IF(F235&gt;G235,"Win",IF(F235&lt;G235,"Loss","Draw"))</x:f>
        <x:v>Win</x:v>
      </x:c>
      <x:c r="I235" s="7" t="n">
        <x:f>IF(H235="Win",1,0)</x:f>
        <x:v>1</x:v>
      </x:c>
      <x:c r="J235" s="7" t="n">
        <x:f>F235-G235</x:f>
        <x:v>2</x:v>
      </x:c>
      <x:c r="K235" s="7" t="n">
        <x:f>F235+G235</x:f>
        <x:v>24</x:v>
      </x:c>
      <x:c r="L235" s="7" t="n">
        <x:v>22</x:v>
      </x:c>
      <x:c r="M235" s="7" t="n">
        <x:v>17</x:v>
      </x:c>
      <x:c r="N235" s="7" t="n">
        <x:v>6</x:v>
      </x:c>
      <x:c r="O235" s="9" t="n">
        <x:f>IF(M235=0,"n.a.",L235/M235)</x:f>
        <x:v>1.2941176470588236</x:v>
      </x:c>
      <x:c r="P235" s="9" t="n">
        <x:f>IF(K235=0,"n.a.",L235/K235)</x:f>
        <x:v>0.9166666666666666</x:v>
      </x:c>
      <x:c r="Q235" s="9" t="n">
        <x:f>IF(K235=0,"n.a.",M235/K235)</x:f>
        <x:v>0.7083333333333334</x:v>
      </x:c>
      <x:c r="R235" s="9" t="n">
        <x:f>IF(K235=0,"n.a.",N235/K235)</x:f>
        <x:v>0.25</x:v>
      </x:c>
      <x:c r="S235" s="7" t="n">
        <x:v>28</x:v>
      </x:c>
      <x:c r="T235" s="10" t="n">
        <x:v>0.22</x:v>
      </x:c>
      <x:c r="U235" s="7" t="n">
        <x:v>253</x:v>
      </x:c>
      <x:c r="V235" s="7" t="n">
        <x:v>726</x:v>
      </x:c>
    </x:row>
    <x:row r="236" ht="16" customHeight="1">
      <x:c r="A236" s="7" t="n">
        <x:v>233</x:v>
      </x:c>
      <x:c r="B236" s="8" t="n">
        <x:v>45916</x:v>
      </x:c>
      <x:c r="C236" s="7" t="str">
        <x:v>Corrode</x:v>
      </x:c>
      <x:c r="D236" s="7" t="str">
        <x:v>2nd</x:v>
      </x:c>
      <x:c r="E236" s="7" t="str">
        <x:v>Neon</x:v>
      </x:c>
      <x:c r="F236" s="7" t="n">
        <x:v>13</x:v>
      </x:c>
      <x:c r="G236" s="7" t="n">
        <x:v>2</x:v>
      </x:c>
      <x:c r="H236" s="7" t="str">
        <x:f>IF(F236&gt;G236,"Win",IF(F236&lt;G236,"Loss","Draw"))</x:f>
        <x:v>Win</x:v>
      </x:c>
      <x:c r="I236" s="7" t="n">
        <x:f>IF(H236="Win",1,0)</x:f>
        <x:v>1</x:v>
      </x:c>
      <x:c r="J236" s="7" t="n">
        <x:f>F236-G236</x:f>
        <x:v>11</x:v>
      </x:c>
      <x:c r="K236" s="7" t="n">
        <x:f>F236+G236</x:f>
        <x:v>15</x:v>
      </x:c>
      <x:c r="L236" s="7" t="n">
        <x:v>17</x:v>
      </x:c>
      <x:c r="M236" s="7" t="n">
        <x:v>8</x:v>
      </x:c>
      <x:c r="N236" s="7" t="n">
        <x:v>4</x:v>
      </x:c>
      <x:c r="O236" s="9" t="n">
        <x:f>IF(M236=0,"n.a.",L236/M236)</x:f>
        <x:v>2.125</x:v>
      </x:c>
      <x:c r="P236" s="9" t="n">
        <x:f>IF(K236=0,"n.a.",L236/K236)</x:f>
        <x:v>1.1333333333333333</x:v>
      </x:c>
      <x:c r="Q236" s="9" t="n">
        <x:f>IF(K236=0,"n.a.",M236/K236)</x:f>
        <x:v>0.5333333333333333</x:v>
      </x:c>
      <x:c r="R236" s="9" t="n">
        <x:f>IF(K236=0,"n.a.",N236/K236)</x:f>
        <x:v>0.26666666666666666</x:v>
      </x:c>
      <x:c r="S236" s="7" t="n">
        <x:v>89</x:v>
      </x:c>
      <x:c r="T236" s="10" t="n">
        <x:v>0.08</x:v>
      </x:c>
      <x:c r="U236" s="7" t="n">
        <x:v>318</x:v>
      </x:c>
      <x:c r="V236" s="7" t="n">
        <x:v>969</x:v>
      </x:c>
    </x:row>
    <x:row r="237" ht="16" customHeight="1">
      <x:c r="A237" s="7" t="n">
        <x:v>234</x:v>
      </x:c>
      <x:c r="B237" s="8" t="n">
        <x:v>45917</x:v>
      </x:c>
      <x:c r="C237" s="7" t="str">
        <x:v>Haven</x:v>
      </x:c>
      <x:c r="D237" s="7" t="str">
        <x:v>3rd</x:v>
      </x:c>
      <x:c r="E237" s="7" t="str">
        <x:v>Jett</x:v>
      </x:c>
      <x:c r="F237" s="7" t="n">
        <x:v>5</x:v>
      </x:c>
      <x:c r="G237" s="7" t="n">
        <x:v>13</x:v>
      </x:c>
      <x:c r="H237" s="7" t="str">
        <x:f>IF(F237&gt;G237,"Win",IF(F237&lt;G237,"Loss","Draw"))</x:f>
        <x:v>Loss</x:v>
      </x:c>
      <x:c r="I237" s="7" t="n">
        <x:f>IF(H237="Win",1,0)</x:f>
        <x:v>0</x:v>
      </x:c>
      <x:c r="J237" s="7" t="n">
        <x:f>F237-G237</x:f>
        <x:v>-8</x:v>
      </x:c>
      <x:c r="K237" s="7" t="n">
        <x:f>F237+G237</x:f>
        <x:v>18</x:v>
      </x:c>
      <x:c r="L237" s="7" t="n">
        <x:v>13</x:v>
      </x:c>
      <x:c r="M237" s="7" t="n">
        <x:v>17</x:v>
      </x:c>
      <x:c r="N237" s="7" t="n">
        <x:v>2</x:v>
      </x:c>
      <x:c r="O237" s="9" t="n">
        <x:f>IF(M237=0,"n.a.",L237/M237)</x:f>
        <x:v>0.7647058823529411</x:v>
      </x:c>
      <x:c r="P237" s="9" t="n">
        <x:f>IF(K237=0,"n.a.",L237/K237)</x:f>
        <x:v>0.7222222222222222</x:v>
      </x:c>
      <x:c r="Q237" s="9" t="n">
        <x:f>IF(K237=0,"n.a.",M237/K237)</x:f>
        <x:v>0.9444444444444444</x:v>
      </x:c>
      <x:c r="R237" s="9" t="n">
        <x:f>IF(K237=0,"n.a.",N237/K237)</x:f>
        <x:v>0.1111111111111111</x:v>
      </x:c>
      <x:c r="S237" s="7" t="n">
        <x:v>-54</x:v>
      </x:c>
      <x:c r="T237" s="10" t="n">
        <x:v>0.34</x:v>
      </x:c>
      <x:c r="U237" s="7" t="n">
        <x:v>192</x:v>
      </x:c>
      <x:c r="V237" s="7" t="n">
        <x:v>235</x:v>
      </x:c>
    </x:row>
    <x:row r="238" ht="16" customHeight="1">
      <x:c r="A238" s="7" t="n">
        <x:v>235</x:v>
      </x:c>
      <x:c r="B238" s="8" t="n">
        <x:v>45917</x:v>
      </x:c>
      <x:c r="C238" s="7" t="str">
        <x:v>Sunset</x:v>
      </x:c>
      <x:c r="D238" s="7" t="str">
        <x:v>2nd</x:v>
      </x:c>
      <x:c r="E238" s="7" t="str">
        <x:v>Neon</x:v>
      </x:c>
      <x:c r="F238" s="7" t="n">
        <x:v>11</x:v>
      </x:c>
      <x:c r="G238" s="7" t="n">
        <x:v>13</x:v>
      </x:c>
      <x:c r="H238" s="7" t="str">
        <x:f>IF(F238&gt;G238,"Win",IF(F238&lt;G238,"Loss","Draw"))</x:f>
        <x:v>Loss</x:v>
      </x:c>
      <x:c r="I238" s="7" t="n">
        <x:f>IF(H238="Win",1,0)</x:f>
        <x:v>0</x:v>
      </x:c>
      <x:c r="J238" s="7" t="n">
        <x:f>F238-G238</x:f>
        <x:v>-2</x:v>
      </x:c>
      <x:c r="K238" s="7" t="n">
        <x:f>F238+G238</x:f>
        <x:v>24</x:v>
      </x:c>
      <x:c r="L238" s="7" t="n">
        <x:v>22</x:v>
      </x:c>
      <x:c r="M238" s="7" t="n">
        <x:v>21</x:v>
      </x:c>
      <x:c r="N238" s="7" t="n">
        <x:v>5</x:v>
      </x:c>
      <x:c r="O238" s="9" t="n">
        <x:f>IF(M238=0,"n.a.",L238/M238)</x:f>
        <x:v>1.0476190476190477</x:v>
      </x:c>
      <x:c r="P238" s="9" t="n">
        <x:f>IF(K238=0,"n.a.",L238/K238)</x:f>
        <x:v>0.9166666666666666</x:v>
      </x:c>
      <x:c r="Q238" s="9" t="n">
        <x:f>IF(K238=0,"n.a.",M238/K238)</x:f>
        <x:v>0.875</x:v>
      </x:c>
      <x:c r="R238" s="9" t="n">
        <x:f>IF(K238=0,"n.a.",N238/K238)</x:f>
        <x:v>0.20833333333333334</x:v>
      </x:c>
      <x:c r="S238" s="7" t="n">
        <x:v>11</x:v>
      </x:c>
      <x:c r="T238" s="10" t="n">
        <x:v>0.14</x:v>
      </x:c>
      <x:c r="U238" s="7" t="n">
        <x:v>274</x:v>
      </x:c>
      <x:c r="V238" s="7" t="n">
        <x:v>653</x:v>
      </x:c>
    </x:row>
    <x:row r="239" ht="16" customHeight="1">
      <x:c r="A239" s="7" t="n">
        <x:v>236</x:v>
      </x:c>
      <x:c r="B239" s="8" t="n">
        <x:v>45917</x:v>
      </x:c>
      <x:c r="C239" s="7" t="str">
        <x:v>Lotus</x:v>
      </x:c>
      <x:c r="D239" s="7" t="str">
        <x:v>2nd</x:v>
      </x:c>
      <x:c r="E239" s="7" t="str">
        <x:v>Neon</x:v>
      </x:c>
      <x:c r="F239" s="7" t="n">
        <x:v>13</x:v>
      </x:c>
      <x:c r="G239" s="7" t="n">
        <x:v>9</x:v>
      </x:c>
      <x:c r="H239" s="7" t="str">
        <x:f>IF(F239&gt;G239,"Win",IF(F239&lt;G239,"Loss","Draw"))</x:f>
        <x:v>Win</x:v>
      </x:c>
      <x:c r="I239" s="7" t="n">
        <x:f>IF(H239="Win",1,0)</x:f>
        <x:v>1</x:v>
      </x:c>
      <x:c r="J239" s="7" t="n">
        <x:f>F239-G239</x:f>
        <x:v>4</x:v>
      </x:c>
      <x:c r="K239" s="7" t="n">
        <x:f>F239+G239</x:f>
        <x:v>22</x:v>
      </x:c>
      <x:c r="L239" s="7" t="n">
        <x:v>21</x:v>
      </x:c>
      <x:c r="M239" s="7" t="n">
        <x:v>19</x:v>
      </x:c>
      <x:c r="N239" s="7" t="n">
        <x:v>7</x:v>
      </x:c>
      <x:c r="O239" s="9" t="n">
        <x:f>IF(M239=0,"n.a.",L239/M239)</x:f>
        <x:v>1.105263157894737</x:v>
      </x:c>
      <x:c r="P239" s="9" t="n">
        <x:f>IF(K239=0,"n.a.",L239/K239)</x:f>
        <x:v>0.9545454545454546</x:v>
      </x:c>
      <x:c r="Q239" s="9" t="n">
        <x:f>IF(K239=0,"n.a.",M239/K239)</x:f>
        <x:v>0.8636363636363636</x:v>
      </x:c>
      <x:c r="R239" s="9" t="n">
        <x:f>IF(K239=0,"n.a.",N239/K239)</x:f>
        <x:v>0.3181818181818182</x:v>
      </x:c>
      <x:c r="S239" s="7" t="n">
        <x:v>33</x:v>
      </x:c>
      <x:c r="T239" s="10" t="n">
        <x:v>0.23</x:v>
      </x:c>
      <x:c r="U239" s="7" t="n">
        <x:v>281</x:v>
      </x:c>
      <x:c r="V239" s="7" t="n">
        <x:v>779</x:v>
      </x:c>
    </x:row>
    <x:row r="240" ht="16" customHeight="1">
      <x:c r="A240" s="7" t="n">
        <x:v>237</x:v>
      </x:c>
      <x:c r="B240" s="8" t="n">
        <x:v>45917</x:v>
      </x:c>
      <x:c r="C240" s="7" t="str">
        <x:v>Ascent</x:v>
      </x:c>
      <x:c r="D240" s="7" t="str">
        <x:v>4th</x:v>
      </x:c>
      <x:c r="E240" s="7" t="str">
        <x:v>Astra</x:v>
      </x:c>
      <x:c r="F240" s="7" t="n">
        <x:v>4</x:v>
      </x:c>
      <x:c r="G240" s="7" t="n">
        <x:v>13</x:v>
      </x:c>
      <x:c r="H240" s="7" t="str">
        <x:f>IF(F240&gt;G240,"Win",IF(F240&lt;G240,"Loss","Draw"))</x:f>
        <x:v>Loss</x:v>
      </x:c>
      <x:c r="I240" s="7" t="n">
        <x:f>IF(H240="Win",1,0)</x:f>
        <x:v>0</x:v>
      </x:c>
      <x:c r="J240" s="7" t="n">
        <x:f>F240-G240</x:f>
        <x:v>-9</x:v>
      </x:c>
      <x:c r="K240" s="7" t="n">
        <x:f>F240+G240</x:f>
        <x:v>17</x:v>
      </x:c>
      <x:c r="L240" s="7" t="n">
        <x:v>14</x:v>
      </x:c>
      <x:c r="M240" s="7" t="n">
        <x:v>15</x:v>
      </x:c>
      <x:c r="N240" s="7" t="n">
        <x:v>3</x:v>
      </x:c>
      <x:c r="O240" s="9" t="n">
        <x:f>IF(M240=0,"n.a.",L240/M240)</x:f>
        <x:v>0.9333333333333333</x:v>
      </x:c>
      <x:c r="P240" s="9" t="n">
        <x:f>IF(K240=0,"n.a.",L240/K240)</x:f>
        <x:v>0.8235294117647058</x:v>
      </x:c>
      <x:c r="Q240" s="9" t="n">
        <x:f>IF(K240=0,"n.a.",M240/K240)</x:f>
        <x:v>0.8823529411764706</x:v>
      </x:c>
      <x:c r="R240" s="9" t="n">
        <x:f>IF(K240=0,"n.a.",N240/K240)</x:f>
        <x:v>0.17647058823529413</x:v>
      </x:c>
      <x:c r="S240" s="7" t="n">
        <x:v>-24</x:v>
      </x:c>
      <x:c r="T240" s="10" t="n">
        <x:v>0.39</x:v>
      </x:c>
      <x:c r="U240" s="7" t="n">
        <x:v>226</x:v>
      </x:c>
      <x:c r="V240" s="7" t="n">
        <x:v>325</x:v>
      </x:c>
    </x:row>
    <x:row r="241" ht="16" customHeight="1">
      <x:c r="A241" s="7" t="n">
        <x:v>238</x:v>
      </x:c>
      <x:c r="B241" s="8" t="n">
        <x:v>45917</x:v>
      </x:c>
      <x:c r="C241" s="7" t="str">
        <x:v>Haven</x:v>
      </x:c>
      <x:c r="D241" s="7" t="str">
        <x:v>10th</x:v>
      </x:c>
      <x:c r="E241" s="7" t="str">
        <x:v>Neon</x:v>
      </x:c>
      <x:c r="F241" s="7" t="n">
        <x:v>7</x:v>
      </x:c>
      <x:c r="G241" s="7" t="n">
        <x:v>13</x:v>
      </x:c>
      <x:c r="H241" s="7" t="str">
        <x:f>IF(F241&gt;G241,"Win",IF(F241&lt;G241,"Loss","Draw"))</x:f>
        <x:v>Loss</x:v>
      </x:c>
      <x:c r="I241" s="7" t="n">
        <x:f>IF(H241="Win",1,0)</x:f>
        <x:v>0</x:v>
      </x:c>
      <x:c r="J241" s="7" t="n">
        <x:f>F241-G241</x:f>
        <x:v>-6</x:v>
      </x:c>
      <x:c r="K241" s="7" t="n">
        <x:f>F241+G241</x:f>
        <x:v>20</x:v>
      </x:c>
      <x:c r="L241" s="7" t="n">
        <x:v>10</x:v>
      </x:c>
      <x:c r="M241" s="7" t="n">
        <x:v>15</x:v>
      </x:c>
      <x:c r="N241" s="7" t="n">
        <x:v>0</x:v>
      </x:c>
      <x:c r="O241" s="9" t="n">
        <x:f>IF(M241=0,"n.a.",L241/M241)</x:f>
        <x:v>0.6666666666666666</x:v>
      </x:c>
      <x:c r="P241" s="9" t="n">
        <x:f>IF(K241=0,"n.a.",L241/K241)</x:f>
        <x:v>0.5</x:v>
      </x:c>
      <x:c r="Q241" s="9" t="n">
        <x:f>IF(K241=0,"n.a.",M241/K241)</x:f>
        <x:v>0.75</x:v>
      </x:c>
      <x:c r="R241" s="9" t="n">
        <x:f>IF(K241=0,"n.a.",N241/K241)</x:f>
        <x:v>0</x:v>
      </x:c>
      <x:c r="S241" s="7" t="n">
        <x:v>-36</x:v>
      </x:c>
      <x:c r="T241" s="10" t="n">
        <x:v>0.2</x:v>
      </x:c>
      <x:c r="U241" s="7" t="n">
        <x:v>141</x:v>
      </x:c>
      <x:c r="V241" s="7" t="n">
        <x:v>179</x:v>
      </x:c>
    </x:row>
    <x:row r="242" ht="16" customHeight="1">
      <x:c r="A242" s="7" t="n">
        <x:v>239</x:v>
      </x:c>
      <x:c r="B242" s="8" t="n">
        <x:v>45918</x:v>
      </x:c>
      <x:c r="C242" s="7" t="str">
        <x:v>Corrode</x:v>
      </x:c>
      <x:c r="D242" s="7" t="str">
        <x:v>3rd</x:v>
      </x:c>
      <x:c r="E242" s="7" t="str">
        <x:v>Neon</x:v>
      </x:c>
      <x:c r="F242" s="7" t="n">
        <x:v>11</x:v>
      </x:c>
      <x:c r="G242" s="7" t="n">
        <x:v>13</x:v>
      </x:c>
      <x:c r="H242" s="7" t="str">
        <x:f>IF(F242&gt;G242,"Win",IF(F242&lt;G242,"Loss","Draw"))</x:f>
        <x:v>Loss</x:v>
      </x:c>
      <x:c r="I242" s="7" t="n">
        <x:f>IF(H242="Win",1,0)</x:f>
        <x:v>0</x:v>
      </x:c>
      <x:c r="J242" s="7" t="n">
        <x:f>F242-G242</x:f>
        <x:v>-2</x:v>
      </x:c>
      <x:c r="K242" s="7" t="n">
        <x:f>F242+G242</x:f>
        <x:v>24</x:v>
      </x:c>
      <x:c r="L242" s="7" t="n">
        <x:v>23</x:v>
      </x:c>
      <x:c r="M242" s="7" t="n">
        <x:v>19</x:v>
      </x:c>
      <x:c r="N242" s="7" t="n">
        <x:v>3</x:v>
      </x:c>
      <x:c r="O242" s="9" t="n">
        <x:f>IF(M242=0,"n.a.",L242/M242)</x:f>
        <x:v>1.2105263157894737</x:v>
      </x:c>
      <x:c r="P242" s="9" t="n">
        <x:f>IF(K242=0,"n.a.",L242/K242)</x:f>
        <x:v>0.9583333333333334</x:v>
      </x:c>
      <x:c r="Q242" s="9" t="n">
        <x:f>IF(K242=0,"n.a.",M242/K242)</x:f>
        <x:v>0.7916666666666666</x:v>
      </x:c>
      <x:c r="R242" s="9" t="n">
        <x:f>IF(K242=0,"n.a.",N242/K242)</x:f>
        <x:v>0.125</x:v>
      </x:c>
      <x:c r="S242" s="7" t="n">
        <x:v>18</x:v>
      </x:c>
      <x:c r="T242" s="10" t="n">
        <x:v>0.33</x:v>
      </x:c>
      <x:c r="U242" s="7" t="n">
        <x:v>278</x:v>
      </x:c>
      <x:c r="V242" s="7" t="n">
        <x:v>591</x:v>
      </x:c>
    </x:row>
    <x:row r="243" ht="16" customHeight="1">
      <x:c r="A243" s="7" t="n">
        <x:v>240</x:v>
      </x:c>
      <x:c r="B243" s="8" t="n">
        <x:v>45918</x:v>
      </x:c>
      <x:c r="C243" s="7" t="str">
        <x:v>Bind</x:v>
      </x:c>
      <x:c r="D243" s="7" t="str">
        <x:v>6th</x:v>
      </x:c>
      <x:c r="E243" s="7" t="str">
        <x:v>Tejo</x:v>
      </x:c>
      <x:c r="F243" s="7" t="n">
        <x:v>8</x:v>
      </x:c>
      <x:c r="G243" s="7" t="n">
        <x:v>13</x:v>
      </x:c>
      <x:c r="H243" s="7" t="str">
        <x:f>IF(F243&gt;G243,"Win",IF(F243&lt;G243,"Loss","Draw"))</x:f>
        <x:v>Loss</x:v>
      </x:c>
      <x:c r="I243" s="7" t="n">
        <x:f>IF(H243="Win",1,0)</x:f>
        <x:v>0</x:v>
      </x:c>
      <x:c r="J243" s="7" t="n">
        <x:f>F243-G243</x:f>
        <x:v>-5</x:v>
      </x:c>
      <x:c r="K243" s="7" t="n">
        <x:f>F243+G243</x:f>
        <x:v>21</x:v>
      </x:c>
      <x:c r="L243" s="7" t="n">
        <x:v>15</x:v>
      </x:c>
      <x:c r="M243" s="7" t="n">
        <x:v>18</x:v>
      </x:c>
      <x:c r="N243" s="7" t="n">
        <x:v>1</x:v>
      </x:c>
      <x:c r="O243" s="9" t="n">
        <x:f>IF(M243=0,"n.a.",L243/M243)</x:f>
        <x:v>0.8333333333333334</x:v>
      </x:c>
      <x:c r="P243" s="9" t="n">
        <x:f>IF(K243=0,"n.a.",L243/K243)</x:f>
        <x:v>0.7142857142857143</x:v>
      </x:c>
      <x:c r="Q243" s="9" t="n">
        <x:f>IF(K243=0,"n.a.",M243/K243)</x:f>
        <x:v>0.8571428571428571</x:v>
      </x:c>
      <x:c r="R243" s="9" t="n">
        <x:f>IF(K243=0,"n.a.",N243/K243)</x:f>
        <x:v>0.047619047619047616</x:v>
      </x:c>
      <x:c r="S243" s="7" t="n">
        <x:v>-22</x:v>
      </x:c>
      <x:c r="T243" s="10" t="n">
        <x:v>0.2</x:v>
      </x:c>
      <x:c r="U243" s="7" t="n">
        <x:v>203</x:v>
      </x:c>
      <x:c r="V243" s="7" t="n">
        <x:v>317</x:v>
      </x:c>
    </x:row>
    <x:row r="244" ht="16" customHeight="1">
      <x:c r="A244" s="7" t="n">
        <x:v>241</x:v>
      </x:c>
      <x:c r="B244" s="8" t="n">
        <x:v>45919</x:v>
      </x:c>
      <x:c r="C244" s="7" t="str">
        <x:v>Ascent</x:v>
      </x:c>
      <x:c r="D244" s="7" t="str">
        <x:v>6th</x:v>
      </x:c>
      <x:c r="E244" s="7" t="str">
        <x:v>Neon</x:v>
      </x:c>
      <x:c r="F244" s="7" t="n">
        <x:v>10</x:v>
      </x:c>
      <x:c r="G244" s="7" t="n">
        <x:v>13</x:v>
      </x:c>
      <x:c r="H244" s="7" t="str">
        <x:f>IF(F244&gt;G244,"Win",IF(F244&lt;G244,"Loss","Draw"))</x:f>
        <x:v>Loss</x:v>
      </x:c>
      <x:c r="I244" s="7" t="n">
        <x:f>IF(H244="Win",1,0)</x:f>
        <x:v>0</x:v>
      </x:c>
      <x:c r="J244" s="7" t="n">
        <x:f>F244-G244</x:f>
        <x:v>-3</x:v>
      </x:c>
      <x:c r="K244" s="7" t="n">
        <x:f>F244+G244</x:f>
        <x:v>23</x:v>
      </x:c>
      <x:c r="L244" s="7" t="n">
        <x:v>14</x:v>
      </x:c>
      <x:c r="M244" s="7" t="n">
        <x:v>16</x:v>
      </x:c>
      <x:c r="N244" s="7" t="n">
        <x:v>4</x:v>
      </x:c>
      <x:c r="O244" s="9" t="n">
        <x:f>IF(M244=0,"n.a.",L244/M244)</x:f>
        <x:v>0.875</x:v>
      </x:c>
      <x:c r="P244" s="9" t="n">
        <x:f>IF(K244=0,"n.a.",L244/K244)</x:f>
        <x:v>0.6086956521739131</x:v>
      </x:c>
      <x:c r="Q244" s="9" t="n">
        <x:f>IF(K244=0,"n.a.",M244/K244)</x:f>
        <x:v>0.6956521739130435</x:v>
      </x:c>
      <x:c r="R244" s="9" t="n">
        <x:f>IF(K244=0,"n.a.",N244/K244)</x:f>
        <x:v>0.17391304347826086</x:v>
      </x:c>
      <x:c r="S244" s="7" t="n">
        <x:v>5</x:v>
      </x:c>
      <x:c r="T244" s="10" t="n">
        <x:v>0.22</x:v>
      </x:c>
      <x:c r="U244" s="7" t="n">
        <x:v>186</x:v>
      </x:c>
      <x:c r="V244" s="7" t="n">
        <x:v>388</x:v>
      </x:c>
    </x:row>
    <x:row r="245" ht="16" customHeight="1">
      <x:c r="A245" s="7" t="n">
        <x:v>242</x:v>
      </x:c>
      <x:c r="B245" s="8" t="n">
        <x:v>45920</x:v>
      </x:c>
      <x:c r="C245" s="7" t="str">
        <x:v>Bind</x:v>
      </x:c>
      <x:c r="D245" s="7" t="str">
        <x:v>6th</x:v>
      </x:c>
      <x:c r="E245" s="7" t="str">
        <x:v>Neon</x:v>
      </x:c>
      <x:c r="F245" s="7" t="n">
        <x:v>4</x:v>
      </x:c>
      <x:c r="G245" s="7" t="n">
        <x:v>13</x:v>
      </x:c>
      <x:c r="H245" s="7" t="str">
        <x:f>IF(F245&gt;G245,"Win",IF(F245&lt;G245,"Loss","Draw"))</x:f>
        <x:v>Loss</x:v>
      </x:c>
      <x:c r="I245" s="7" t="n">
        <x:f>IF(H245="Win",1,0)</x:f>
        <x:v>0</x:v>
      </x:c>
      <x:c r="J245" s="7" t="n">
        <x:f>F245-G245</x:f>
        <x:v>-9</x:v>
      </x:c>
      <x:c r="K245" s="7" t="n">
        <x:f>F245+G245</x:f>
        <x:v>17</x:v>
      </x:c>
      <x:c r="L245" s="7" t="n">
        <x:v>12</x:v>
      </x:c>
      <x:c r="M245" s="7" t="n">
        <x:v>15</x:v>
      </x:c>
      <x:c r="N245" s="7" t="n">
        <x:v>0</x:v>
      </x:c>
      <x:c r="O245" s="9" t="n">
        <x:f>IF(M245=0,"n.a.",L245/M245)</x:f>
        <x:v>0.8</x:v>
      </x:c>
      <x:c r="P245" s="9" t="n">
        <x:f>IF(K245=0,"n.a.",L245/K245)</x:f>
        <x:v>0.7058823529411765</x:v>
      </x:c>
      <x:c r="Q245" s="9" t="n">
        <x:f>IF(K245=0,"n.a.",M245/K245)</x:f>
        <x:v>0.8823529411764706</x:v>
      </x:c>
      <x:c r="R245" s="9" t="n">
        <x:f>IF(K245=0,"n.a.",N245/K245)</x:f>
        <x:v>0</x:v>
      </x:c>
      <x:c r="S245" s="7" t="n">
        <x:v>-47</x:v>
      </x:c>
      <x:c r="T245" s="10" t="n">
        <x:v>0.14</x:v>
      </x:c>
      <x:c r="U245" s="7" t="n">
        <x:v>194</x:v>
      </x:c>
      <x:c r="V245" s="7" t="n">
        <x:v>230</x:v>
      </x:c>
    </x:row>
    <x:row r="246" ht="16" customHeight="1">
      <x:c r="A246" s="7" t="n">
        <x:v>243</x:v>
      </x:c>
      <x:c r="B246" s="8" t="n">
        <x:v>45920</x:v>
      </x:c>
      <x:c r="C246" s="7" t="str">
        <x:v>Bind</x:v>
      </x:c>
      <x:c r="D246" s="7" t="str">
        <x:v>3rd</x:v>
      </x:c>
      <x:c r="E246" s="7" t="str">
        <x:v>Neon</x:v>
      </x:c>
      <x:c r="F246" s="7" t="n">
        <x:v>13</x:v>
      </x:c>
      <x:c r="G246" s="7" t="n">
        <x:v>2</x:v>
      </x:c>
      <x:c r="H246" s="7" t="str">
        <x:f>IF(F246&gt;G246,"Win",IF(F246&lt;G246,"Loss","Draw"))</x:f>
        <x:v>Win</x:v>
      </x:c>
      <x:c r="I246" s="7" t="n">
        <x:f>IF(H246="Win",1,0)</x:f>
        <x:v>1</x:v>
      </x:c>
      <x:c r="J246" s="7" t="n">
        <x:f>F246-G246</x:f>
        <x:v>11</x:v>
      </x:c>
      <x:c r="K246" s="7" t="n">
        <x:f>F246+G246</x:f>
        <x:v>15</x:v>
      </x:c>
      <x:c r="L246" s="7" t="n">
        <x:v>16</x:v>
      </x:c>
      <x:c r="M246" s="7" t="n">
        <x:v>11</x:v>
      </x:c>
      <x:c r="N246" s="7" t="n">
        <x:v>3</x:v>
      </x:c>
      <x:c r="O246" s="9" t="n">
        <x:f>IF(M246=0,"n.a.",L246/M246)</x:f>
        <x:v>1.4545454545454546</x:v>
      </x:c>
      <x:c r="P246" s="9" t="n">
        <x:f>IF(K246=0,"n.a.",L246/K246)</x:f>
        <x:v>1.0666666666666667</x:v>
      </x:c>
      <x:c r="Q246" s="9" t="n">
        <x:f>IF(K246=0,"n.a.",M246/K246)</x:f>
        <x:v>0.7333333333333333</x:v>
      </x:c>
      <x:c r="R246" s="9" t="n">
        <x:f>IF(K246=0,"n.a.",N246/K246)</x:f>
        <x:v>0.2</x:v>
      </x:c>
      <x:c r="S246" s="7" t="n">
        <x:v>48</x:v>
      </x:c>
      <x:c r="T246" s="10" t="n">
        <x:v>0.17</x:v>
      </x:c>
      <x:c r="U246" s="7" t="n">
        <x:v>263</x:v>
      </x:c>
      <x:c r="V246" s="7" t="n">
        <x:v>894</x:v>
      </x:c>
    </x:row>
    <x:row r="247" ht="16" customHeight="1">
      <x:c r="A247" s="7" t="n">
        <x:v>244</x:v>
      </x:c>
      <x:c r="B247" s="8" t="n">
        <x:v>45920</x:v>
      </x:c>
      <x:c r="C247" s="7" t="str">
        <x:v>Ascent</x:v>
      </x:c>
      <x:c r="D247" s="7" t="str">
        <x:v>3rd</x:v>
      </x:c>
      <x:c r="E247" s="7" t="str">
        <x:v>Astra</x:v>
      </x:c>
      <x:c r="F247" s="7" t="n">
        <x:v>13</x:v>
      </x:c>
      <x:c r="G247" s="7" t="n">
        <x:v>7</x:v>
      </x:c>
      <x:c r="H247" s="7" t="str">
        <x:f>IF(F247&gt;G247,"Win",IF(F247&lt;G247,"Loss","Draw"))</x:f>
        <x:v>Win</x:v>
      </x:c>
      <x:c r="I247" s="7" t="n">
        <x:f>IF(H247="Win",1,0)</x:f>
        <x:v>1</x:v>
      </x:c>
      <x:c r="J247" s="7" t="n">
        <x:f>F247-G247</x:f>
        <x:v>6</x:v>
      </x:c>
      <x:c r="K247" s="7" t="n">
        <x:f>F247+G247</x:f>
        <x:v>20</x:v>
      </x:c>
      <x:c r="L247" s="7" t="n">
        <x:v>20</x:v>
      </x:c>
      <x:c r="M247" s="7" t="n">
        <x:v>13</x:v>
      </x:c>
      <x:c r="N247" s="7" t="n">
        <x:v>5</x:v>
      </x:c>
      <x:c r="O247" s="9" t="n">
        <x:f>IF(M247=0,"n.a.",L247/M247)</x:f>
        <x:v>1.5384615384615385</x:v>
      </x:c>
      <x:c r="P247" s="9" t="n">
        <x:f>IF(K247=0,"n.a.",L247/K247)</x:f>
        <x:v>1</x:v>
      </x:c>
      <x:c r="Q247" s="9" t="n">
        <x:f>IF(K247=0,"n.a.",M247/K247)</x:f>
        <x:v>0.65</x:v>
      </x:c>
      <x:c r="R247" s="9" t="n">
        <x:f>IF(K247=0,"n.a.",N247/K247)</x:f>
        <x:v>0.25</x:v>
      </x:c>
      <x:c r="S247" s="7" t="n">
        <x:v>6</x:v>
      </x:c>
      <x:c r="T247" s="10" t="n">
        <x:v>0.29</x:v>
      </x:c>
      <x:c r="U247" s="7" t="n">
        <x:v>242</x:v>
      </x:c>
      <x:c r="V247" s="7" t="n">
        <x:v>785</x:v>
      </x:c>
    </x:row>
    <x:row r="248" ht="16" customHeight="1">
      <x:c r="A248" s="7" t="n">
        <x:v>245</x:v>
      </x:c>
      <x:c r="B248" s="8" t="n">
        <x:v>45920</x:v>
      </x:c>
      <x:c r="C248" s="7" t="str">
        <x:v>Abyss</x:v>
      </x:c>
      <x:c r="D248" s="7" t="str">
        <x:v>2nd</x:v>
      </x:c>
      <x:c r="E248" s="7" t="str">
        <x:v>Neon</x:v>
      </x:c>
      <x:c r="F248" s="7" t="n">
        <x:v>9</x:v>
      </x:c>
      <x:c r="G248" s="7" t="n">
        <x:v>13</x:v>
      </x:c>
      <x:c r="H248" s="7" t="str">
        <x:f>IF(F248&gt;G248,"Win",IF(F248&lt;G248,"Loss","Draw"))</x:f>
        <x:v>Loss</x:v>
      </x:c>
      <x:c r="I248" s="7" t="n">
        <x:f>IF(H248="Win",1,0)</x:f>
        <x:v>0</x:v>
      </x:c>
      <x:c r="J248" s="7" t="n">
        <x:f>F248-G248</x:f>
        <x:v>-4</x:v>
      </x:c>
      <x:c r="K248" s="7" t="n">
        <x:f>F248+G248</x:f>
        <x:v>22</x:v>
      </x:c>
      <x:c r="L248" s="7" t="n">
        <x:v>21</x:v>
      </x:c>
      <x:c r="M248" s="7" t="n">
        <x:v>16</x:v>
      </x:c>
      <x:c r="N248" s="7" t="n">
        <x:v>2</x:v>
      </x:c>
      <x:c r="O248" s="9" t="n">
        <x:f>IF(M248=0,"n.a.",L248/M248)</x:f>
        <x:v>1.3125</x:v>
      </x:c>
      <x:c r="P248" s="9" t="n">
        <x:f>IF(K248=0,"n.a.",L248/K248)</x:f>
        <x:v>0.9545454545454546</x:v>
      </x:c>
      <x:c r="Q248" s="9" t="n">
        <x:f>IF(K248=0,"n.a.",M248/K248)</x:f>
        <x:v>0.7272727272727273</x:v>
      </x:c>
      <x:c r="R248" s="9" t="n">
        <x:f>IF(K248=0,"n.a.",N248/K248)</x:f>
        <x:v>0.09090909090909091</x:v>
      </x:c>
      <x:c r="S248" s="7" t="n">
        <x:v>39</x:v>
      </x:c>
      <x:c r="T248" s="10" t="n">
        <x:v>0.11</x:v>
      </x:c>
      <x:c r="U248" s="7" t="n">
        <x:v>269</x:v>
      </x:c>
      <x:c r="V248" s="7" t="n">
        <x:v>640</x:v>
      </x:c>
    </x:row>
    <x:row r="249" ht="16" customHeight="1">
      <x:c r="A249" s="7" t="n">
        <x:v>246</x:v>
      </x:c>
      <x:c r="B249" s="8" t="n">
        <x:v>45920</x:v>
      </x:c>
      <x:c r="C249" s="7" t="str">
        <x:v>Corrode</x:v>
      </x:c>
      <x:c r="D249" s="7" t="str">
        <x:v>5th</x:v>
      </x:c>
      <x:c r="E249" s="7" t="str">
        <x:v>Neon</x:v>
      </x:c>
      <x:c r="F249" s="7" t="n">
        <x:v>6</x:v>
      </x:c>
      <x:c r="G249" s="7" t="n">
        <x:v>13</x:v>
      </x:c>
      <x:c r="H249" s="7" t="str">
        <x:f>IF(F249&gt;G249,"Win",IF(F249&lt;G249,"Loss","Draw"))</x:f>
        <x:v>Loss</x:v>
      </x:c>
      <x:c r="I249" s="7" t="n">
        <x:f>IF(H249="Win",1,0)</x:f>
        <x:v>0</x:v>
      </x:c>
      <x:c r="J249" s="7" t="n">
        <x:f>F249-G249</x:f>
        <x:v>-7</x:v>
      </x:c>
      <x:c r="K249" s="7" t="n">
        <x:f>F249+G249</x:f>
        <x:v>19</x:v>
      </x:c>
      <x:c r="L249" s="7" t="n">
        <x:v>17</x:v>
      </x:c>
      <x:c r="M249" s="7" t="n">
        <x:v>15</x:v>
      </x:c>
      <x:c r="N249" s="7" t="n">
        <x:v>1</x:v>
      </x:c>
      <x:c r="O249" s="9" t="n">
        <x:f>IF(M249=0,"n.a.",L249/M249)</x:f>
        <x:v>1.1333333333333333</x:v>
      </x:c>
      <x:c r="P249" s="9" t="n">
        <x:f>IF(K249=0,"n.a.",L249/K249)</x:f>
        <x:v>0.8947368421052632</x:v>
      </x:c>
      <x:c r="Q249" s="9" t="n">
        <x:f>IF(K249=0,"n.a.",M249/K249)</x:f>
        <x:v>0.7894736842105263</x:v>
      </x:c>
      <x:c r="R249" s="9" t="n">
        <x:f>IF(K249=0,"n.a.",N249/K249)</x:f>
        <x:v>0.05263157894736842</x:v>
      </x:c>
      <x:c r="S249" s="7" t="n">
        <x:v>-21</x:v>
      </x:c>
      <x:c r="T249" s="10" t="n">
        <x:v>0.19</x:v>
      </x:c>
      <x:c r="U249" s="7" t="n">
        <x:v>243</x:v>
      </x:c>
      <x:c r="V249" s="7" t="n">
        <x:v>392</x:v>
      </x:c>
    </x:row>
    <x:row r="250" ht="16" customHeight="1">
      <x:c r="A250" s="7" t="n">
        <x:v>247</x:v>
      </x:c>
      <x:c r="B250" s="8" t="n">
        <x:v>45921</x:v>
      </x:c>
      <x:c r="C250" s="7" t="str">
        <x:v>Haven</x:v>
      </x:c>
      <x:c r="D250" s="7" t="str">
        <x:v>2nd</x:v>
      </x:c>
      <x:c r="E250" s="7" t="str">
        <x:v>Neon</x:v>
      </x:c>
      <x:c r="F250" s="7" t="n">
        <x:v>13</x:v>
      </x:c>
      <x:c r="G250" s="7" t="n">
        <x:v>4</x:v>
      </x:c>
      <x:c r="H250" s="7" t="str">
        <x:f>IF(F250&gt;G250,"Win",IF(F250&lt;G250,"Loss","Draw"))</x:f>
        <x:v>Win</x:v>
      </x:c>
      <x:c r="I250" s="7" t="n">
        <x:f>IF(H250="Win",1,0)</x:f>
        <x:v>1</x:v>
      </x:c>
      <x:c r="J250" s="7" t="n">
        <x:f>F250-G250</x:f>
        <x:v>9</x:v>
      </x:c>
      <x:c r="K250" s="7" t="n">
        <x:f>F250+G250</x:f>
        <x:v>17</x:v>
      </x:c>
      <x:c r="L250" s="7" t="n">
        <x:v>17</x:v>
      </x:c>
      <x:c r="M250" s="7" t="n">
        <x:v>8</x:v>
      </x:c>
      <x:c r="N250" s="7" t="n">
        <x:v>4</x:v>
      </x:c>
      <x:c r="O250" s="9" t="n">
        <x:f>IF(M250=0,"n.a.",L250/M250)</x:f>
        <x:v>2.125</x:v>
      </x:c>
      <x:c r="P250" s="9" t="n">
        <x:f>IF(K250=0,"n.a.",L250/K250)</x:f>
        <x:v>1</x:v>
      </x:c>
      <x:c r="Q250" s="9" t="n">
        <x:f>IF(K250=0,"n.a.",M250/K250)</x:f>
        <x:v>0.47058823529411764</x:v>
      </x:c>
      <x:c r="R250" s="9" t="n">
        <x:f>IF(K250=0,"n.a.",N250/K250)</x:f>
        <x:v>0.23529411764705882</x:v>
      </x:c>
      <x:c r="S250" s="7" t="n">
        <x:v>48</x:v>
      </x:c>
      <x:c r="T250" s="10" t="n">
        <x:v>0.19</x:v>
      </x:c>
      <x:c r="U250" s="7" t="n">
        <x:v>278</x:v>
      </x:c>
      <x:c r="V250" s="7" t="n">
        <x:v>925</x:v>
      </x:c>
    </x:row>
    <x:row r="251" ht="16" customHeight="1">
      <x:c r="A251" s="7" t="n">
        <x:v>248</x:v>
      </x:c>
      <x:c r="B251" s="8" t="n">
        <x:v>45921</x:v>
      </x:c>
      <x:c r="C251" s="7" t="str">
        <x:v>Corrode</x:v>
      </x:c>
      <x:c r="D251" s="7" t="str">
        <x:v>7th</x:v>
      </x:c>
      <x:c r="E251" s="7" t="str">
        <x:v>Breach</x:v>
      </x:c>
      <x:c r="F251" s="7" t="n">
        <x:v>13</x:v>
      </x:c>
      <x:c r="G251" s="7" t="n">
        <x:v>6</x:v>
      </x:c>
      <x:c r="H251" s="7" t="str">
        <x:f>IF(F251&gt;G251,"Win",IF(F251&lt;G251,"Loss","Draw"))</x:f>
        <x:v>Win</x:v>
      </x:c>
      <x:c r="I251" s="7" t="n">
        <x:f>IF(H251="Win",1,0)</x:f>
        <x:v>1</x:v>
      </x:c>
      <x:c r="J251" s="7" t="n">
        <x:f>F251-G251</x:f>
        <x:v>7</x:v>
      </x:c>
      <x:c r="K251" s="7" t="n">
        <x:f>F251+G251</x:f>
        <x:v>19</x:v>
      </x:c>
      <x:c r="L251" s="7" t="n">
        <x:v>11</x:v>
      </x:c>
      <x:c r="M251" s="7" t="n">
        <x:v>12</x:v>
      </x:c>
      <x:c r="N251" s="7" t="n">
        <x:v>5</x:v>
      </x:c>
      <x:c r="O251" s="9" t="n">
        <x:f>IF(M251=0,"n.a.",L251/M251)</x:f>
        <x:v>0.9166666666666666</x:v>
      </x:c>
      <x:c r="P251" s="9" t="n">
        <x:f>IF(K251=0,"n.a.",L251/K251)</x:f>
        <x:v>0.5789473684210527</x:v>
      </x:c>
      <x:c r="Q251" s="9" t="n">
        <x:f>IF(K251=0,"n.a.",M251/K251)</x:f>
        <x:v>0.631578947368421</x:v>
      </x:c>
      <x:c r="R251" s="9" t="n">
        <x:f>IF(K251=0,"n.a.",N251/K251)</x:f>
        <x:v>0.2631578947368421</x:v>
      </x:c>
      <x:c r="S251" s="7" t="n">
        <x:v>-29</x:v>
      </x:c>
      <x:c r="T251" s="10" t="n">
        <x:v>0.15</x:v>
      </x:c>
      <x:c r="U251" s="7" t="n">
        <x:v>158</x:v>
      </x:c>
      <x:c r="V251" s="7" t="n">
        <x:v>333</x:v>
      </x:c>
    </x:row>
    <x:row r="252" ht="16" customHeight="1">
      <x:c r="A252" s="7" t="n">
        <x:v>249</x:v>
      </x:c>
      <x:c r="B252" s="8" t="n">
        <x:v>45922</x:v>
      </x:c>
      <x:c r="C252" s="7" t="str">
        <x:v>Abyss</x:v>
      </x:c>
      <x:c r="D252" s="7" t="str">
        <x:v>4th</x:v>
      </x:c>
      <x:c r="E252" s="7" t="str">
        <x:v>Neon</x:v>
      </x:c>
      <x:c r="F252" s="7" t="n">
        <x:v>13</x:v>
      </x:c>
      <x:c r="G252" s="7" t="n">
        <x:v>10</x:v>
      </x:c>
      <x:c r="H252" s="7" t="str">
        <x:f>IF(F252&gt;G252,"Win",IF(F252&lt;G252,"Loss","Draw"))</x:f>
        <x:v>Win</x:v>
      </x:c>
      <x:c r="I252" s="7" t="n">
        <x:f>IF(H252="Win",1,0)</x:f>
        <x:v>1</x:v>
      </x:c>
      <x:c r="J252" s="7" t="n">
        <x:f>F252-G252</x:f>
        <x:v>3</x:v>
      </x:c>
      <x:c r="K252" s="7" t="n">
        <x:f>F252+G252</x:f>
        <x:v>23</x:v>
      </x:c>
      <x:c r="L252" s="7" t="n">
        <x:v>18</x:v>
      </x:c>
      <x:c r="M252" s="7" t="n">
        <x:v>18</x:v>
      </x:c>
      <x:c r="N252" s="7" t="n">
        <x:v>4</x:v>
      </x:c>
      <x:c r="O252" s="9" t="n">
        <x:f>IF(M252=0,"n.a.",L252/M252)</x:f>
        <x:v>1</x:v>
      </x:c>
      <x:c r="P252" s="9" t="n">
        <x:f>IF(K252=0,"n.a.",L252/K252)</x:f>
        <x:v>0.782608695652174</x:v>
      </x:c>
      <x:c r="Q252" s="9" t="n">
        <x:f>IF(K252=0,"n.a.",M252/K252)</x:f>
        <x:v>0.782608695652174</x:v>
      </x:c>
      <x:c r="R252" s="9" t="n">
        <x:f>IF(K252=0,"n.a.",N252/K252)</x:f>
        <x:v>0.17391304347826086</x:v>
      </x:c>
      <x:c r="S252" s="7" t="n">
        <x:v>-4</x:v>
      </x:c>
      <x:c r="T252" s="10" t="n">
        <x:v>0.16</x:v>
      </x:c>
      <x:c r="U252" s="7" t="n">
        <x:v>228</x:v>
      </x:c>
      <x:c r="V252" s="7" t="n">
        <x:v>686</x:v>
      </x:c>
    </x:row>
    <x:row r="253" ht="16" customHeight="1">
      <x:c r="A253" s="7" t="n">
        <x:v>250</x:v>
      </x:c>
      <x:c r="B253" s="8" t="n">
        <x:v>45923</x:v>
      </x:c>
      <x:c r="C253" s="7" t="str">
        <x:v>Lotus</x:v>
      </x:c>
      <x:c r="D253" s="7" t="str">
        <x:v>5th</x:v>
      </x:c>
      <x:c r="E253" s="7" t="str">
        <x:v>Neon</x:v>
      </x:c>
      <x:c r="F253" s="7" t="n">
        <x:v>7</x:v>
      </x:c>
      <x:c r="G253" s="7" t="n">
        <x:v>13</x:v>
      </x:c>
      <x:c r="H253" s="7" t="str">
        <x:f>IF(F253&gt;G253,"Win",IF(F253&lt;G253,"Loss","Draw"))</x:f>
        <x:v>Loss</x:v>
      </x:c>
      <x:c r="I253" s="7" t="n">
        <x:f>IF(H253="Win",1,0)</x:f>
        <x:v>0</x:v>
      </x:c>
      <x:c r="J253" s="7" t="n">
        <x:f>F253-G253</x:f>
        <x:v>-6</x:v>
      </x:c>
      <x:c r="K253" s="7" t="n">
        <x:f>F253+G253</x:f>
        <x:v>20</x:v>
      </x:c>
      <x:c r="L253" s="7" t="n">
        <x:v>19</x:v>
      </x:c>
      <x:c r="M253" s="7" t="n">
        <x:v>14</x:v>
      </x:c>
      <x:c r="N253" s="7" t="n">
        <x:v>5</x:v>
      </x:c>
      <x:c r="O253" s="9" t="n">
        <x:f>IF(M253=0,"n.a.",L253/M253)</x:f>
        <x:v>1.3571428571428572</x:v>
      </x:c>
      <x:c r="P253" s="9" t="n">
        <x:f>IF(K253=0,"n.a.",L253/K253)</x:f>
        <x:v>0.95</x:v>
      </x:c>
      <x:c r="Q253" s="9" t="n">
        <x:f>IF(K253=0,"n.a.",M253/K253)</x:f>
        <x:v>0.7</x:v>
      </x:c>
      <x:c r="R253" s="9" t="n">
        <x:f>IF(K253=0,"n.a.",N253/K253)</x:f>
        <x:v>0.25</x:v>
      </x:c>
      <x:c r="S253" s="7" t="n">
        <x:v>16</x:v>
      </x:c>
      <x:c r="T253" s="10" t="n">
        <x:v>0.23</x:v>
      </x:c>
      <x:c r="U253" s="7" t="n">
        <x:v>241</x:v>
      </x:c>
      <x:c r="V253" s="7" t="n">
        <x:v>516</x:v>
      </x:c>
    </x:row>
    <x:row r="254" ht="16" customHeight="1">
      <x:c r="A254" s="7" t="n">
        <x:v>251</x:v>
      </x:c>
      <x:c r="B254" s="8" t="n">
        <x:v>45924</x:v>
      </x:c>
      <x:c r="C254" s="7" t="str">
        <x:v>Haven</x:v>
      </x:c>
      <x:c r="D254" s="7" t="str">
        <x:v>MVP</x:v>
      </x:c>
      <x:c r="E254" s="7" t="str">
        <x:v>Phoenix</x:v>
      </x:c>
      <x:c r="F254" s="7" t="n">
        <x:v>9</x:v>
      </x:c>
      <x:c r="G254" s="7" t="n">
        <x:v>13</x:v>
      </x:c>
      <x:c r="H254" s="7" t="str">
        <x:f>IF(F254&gt;G254,"Win",IF(F254&lt;G254,"Loss","Draw"))</x:f>
        <x:v>Loss</x:v>
      </x:c>
      <x:c r="I254" s="7" t="n">
        <x:f>IF(H254="Win",1,0)</x:f>
        <x:v>0</x:v>
      </x:c>
      <x:c r="J254" s="7" t="n">
        <x:f>F254-G254</x:f>
        <x:v>-4</x:v>
      </x:c>
      <x:c r="K254" s="7" t="n">
        <x:f>F254+G254</x:f>
        <x:v>22</x:v>
      </x:c>
      <x:c r="L254" s="7" t="n">
        <x:v>32</x:v>
      </x:c>
      <x:c r="M254" s="7" t="n">
        <x:v>16</x:v>
      </x:c>
      <x:c r="N254" s="7" t="n">
        <x:v>3</x:v>
      </x:c>
      <x:c r="O254" s="9" t="n">
        <x:f>IF(M254=0,"n.a.",L254/M254)</x:f>
        <x:v>2</x:v>
      </x:c>
      <x:c r="P254" s="9" t="n">
        <x:f>IF(K254=0,"n.a.",L254/K254)</x:f>
        <x:v>1.4545454545454546</x:v>
      </x:c>
      <x:c r="Q254" s="9" t="n">
        <x:f>IF(K254=0,"n.a.",M254/K254)</x:f>
        <x:v>0.7272727272727273</x:v>
      </x:c>
      <x:c r="R254" s="9" t="n">
        <x:f>IF(K254=0,"n.a.",N254/K254)</x:f>
        <x:v>0.13636363636363635</x:v>
      </x:c>
      <x:c r="S254" s="7" t="n">
        <x:v>112</x:v>
      </x:c>
      <x:c r="T254" s="10" t="n">
        <x:v>0.41</x:v>
      </x:c>
      <x:c r="U254" s="7" t="n">
        <x:v>407</x:v>
      </x:c>
      <x:c r="V254" s="7" t="n">
        <x:v>700</x:v>
      </x:c>
    </x:row>
    <x:row r="255" ht="16" customHeight="1">
      <x:c r="A255" s="7" t="n">
        <x:v>252</x:v>
      </x:c>
      <x:c r="B255" s="8" t="n">
        <x:v>45924</x:v>
      </x:c>
      <x:c r="C255" s="7" t="str">
        <x:v>Ascent</x:v>
      </x:c>
      <x:c r="D255" s="7" t="str">
        <x:v>MVP</x:v>
      </x:c>
      <x:c r="E255" s="7" t="str">
        <x:v>Neon</x:v>
      </x:c>
      <x:c r="F255" s="7" t="n">
        <x:v>13</x:v>
      </x:c>
      <x:c r="G255" s="7" t="n">
        <x:v>7</x:v>
      </x:c>
      <x:c r="H255" s="7" t="str">
        <x:f>IF(F255&gt;G255,"Win",IF(F255&lt;G255,"Loss","Draw"))</x:f>
        <x:v>Win</x:v>
      </x:c>
      <x:c r="I255" s="7" t="n">
        <x:f>IF(H255="Win",1,0)</x:f>
        <x:v>1</x:v>
      </x:c>
      <x:c r="J255" s="7" t="n">
        <x:f>F255-G255</x:f>
        <x:v>6</x:v>
      </x:c>
      <x:c r="K255" s="7" t="n">
        <x:f>F255+G255</x:f>
        <x:v>20</x:v>
      </x:c>
      <x:c r="L255" s="7" t="n">
        <x:v>23</x:v>
      </x:c>
      <x:c r="M255" s="7" t="n">
        <x:v>13</x:v>
      </x:c>
      <x:c r="N255" s="7" t="n">
        <x:v>2</x:v>
      </x:c>
      <x:c r="O255" s="9" t="n">
        <x:f>IF(M255=0,"n.a.",L255/M255)</x:f>
        <x:v>1.7692307692307692</x:v>
      </x:c>
      <x:c r="P255" s="9" t="n">
        <x:f>IF(K255=0,"n.a.",L255/K255)</x:f>
        <x:v>1.15</x:v>
      </x:c>
      <x:c r="Q255" s="9" t="n">
        <x:f>IF(K255=0,"n.a.",M255/K255)</x:f>
        <x:v>0.65</x:v>
      </x:c>
      <x:c r="R255" s="9" t="n">
        <x:f>IF(K255=0,"n.a.",N255/K255)</x:f>
        <x:v>0.1</x:v>
      </x:c>
      <x:c r="S255" s="7" t="n">
        <x:v>70</x:v>
      </x:c>
      <x:c r="T255" s="10" t="n">
        <x:v>0.25</x:v>
      </x:c>
      <x:c r="U255" s="7" t="n">
        <x:v>308</x:v>
      </x:c>
      <x:c r="V255" s="7" t="n">
        <x:v>761</x:v>
      </x:c>
    </x:row>
    <x:row r="256" ht="16" customHeight="1">
      <x:c r="A256" s="7" t="n">
        <x:v>253</x:v>
      </x:c>
      <x:c r="B256" s="8" t="n">
        <x:v>45924</x:v>
      </x:c>
      <x:c r="C256" s="7" t="str">
        <x:v>Sunset</x:v>
      </x:c>
      <x:c r="D256" s="7" t="str">
        <x:v>MVP</x:v>
      </x:c>
      <x:c r="E256" s="7" t="str">
        <x:v>Astra</x:v>
      </x:c>
      <x:c r="F256" s="7" t="n">
        <x:v>15</x:v>
      </x:c>
      <x:c r="G256" s="7" t="n">
        <x:v>13</x:v>
      </x:c>
      <x:c r="H256" s="7" t="str">
        <x:f>IF(F256&gt;G256,"Win",IF(F256&lt;G256,"Loss","Draw"))</x:f>
        <x:v>Win</x:v>
      </x:c>
      <x:c r="I256" s="7" t="n">
        <x:f>IF(H256="Win",1,0)</x:f>
        <x:v>1</x:v>
      </x:c>
      <x:c r="J256" s="7" t="n">
        <x:f>F256-G256</x:f>
        <x:v>2</x:v>
      </x:c>
      <x:c r="K256" s="7" t="n">
        <x:f>F256+G256</x:f>
        <x:v>28</x:v>
      </x:c>
      <x:c r="L256" s="7" t="n">
        <x:v>34</x:v>
      </x:c>
      <x:c r="M256" s="7" t="n">
        <x:v>17</x:v>
      </x:c>
      <x:c r="N256" s="7" t="n">
        <x:v>7</x:v>
      </x:c>
      <x:c r="O256" s="9" t="n">
        <x:f>IF(M256=0,"n.a.",L256/M256)</x:f>
        <x:v>2</x:v>
      </x:c>
      <x:c r="P256" s="9" t="n">
        <x:f>IF(K256=0,"n.a.",L256/K256)</x:f>
        <x:v>1.2142857142857142</x:v>
      </x:c>
      <x:c r="Q256" s="9" t="n">
        <x:f>IF(K256=0,"n.a.",M256/K256)</x:f>
        <x:v>0.6071428571428571</x:v>
      </x:c>
      <x:c r="R256" s="9" t="n">
        <x:f>IF(K256=0,"n.a.",N256/K256)</x:f>
        <x:v>0.25</x:v>
      </x:c>
      <x:c r="S256" s="7" t="n">
        <x:v>95</x:v>
      </x:c>
      <x:c r="T256" s="10" t="n">
        <x:v>0.35</x:v>
      </x:c>
      <x:c r="U256" s="7" t="n">
        <x:v>342</x:v>
      </x:c>
      <x:c r="V256" s="7" t="n">
        <x:v>958</x:v>
      </x:c>
    </x:row>
    <x:row r="257" ht="16" customHeight="1">
      <x:c r="A257" s="7" t="n">
        <x:v>254</x:v>
      </x:c>
      <x:c r="B257" s="8" t="n">
        <x:v>45924</x:v>
      </x:c>
      <x:c r="C257" s="7" t="str">
        <x:v>Bind</x:v>
      </x:c>
      <x:c r="D257" s="7" t="str">
        <x:v>9th</x:v>
      </x:c>
      <x:c r="E257" s="7" t="str">
        <x:v>Neon</x:v>
      </x:c>
      <x:c r="F257" s="7" t="n">
        <x:v>10</x:v>
      </x:c>
      <x:c r="G257" s="7" t="n">
        <x:v>13</x:v>
      </x:c>
      <x:c r="H257" s="7" t="str">
        <x:f>IF(F257&gt;G257,"Win",IF(F257&lt;G257,"Loss","Draw"))</x:f>
        <x:v>Loss</x:v>
      </x:c>
      <x:c r="I257" s="7" t="n">
        <x:f>IF(H257="Win",1,0)</x:f>
        <x:v>0</x:v>
      </x:c>
      <x:c r="J257" s="7" t="n">
        <x:f>F257-G257</x:f>
        <x:v>-3</x:v>
      </x:c>
      <x:c r="K257" s="7" t="n">
        <x:f>F257+G257</x:f>
        <x:v>23</x:v>
      </x:c>
      <x:c r="L257" s="7" t="n">
        <x:v>10</x:v>
      </x:c>
      <x:c r="M257" s="7" t="n">
        <x:v>19</x:v>
      </x:c>
      <x:c r="N257" s="7" t="n">
        <x:v>2</x:v>
      </x:c>
      <x:c r="O257" s="9" t="n">
        <x:f>IF(M257=0,"n.a.",L257/M257)</x:f>
        <x:v>0.5263157894736842</x:v>
      </x:c>
      <x:c r="P257" s="9" t="n">
        <x:f>IF(K257=0,"n.a.",L257/K257)</x:f>
        <x:v>0.43478260869565216</x:v>
      </x:c>
      <x:c r="Q257" s="9" t="n">
        <x:f>IF(K257=0,"n.a.",M257/K257)</x:f>
        <x:v>0.8260869565217391</x:v>
      </x:c>
      <x:c r="R257" s="9" t="n">
        <x:f>IF(K257=0,"n.a.",N257/K257)</x:f>
        <x:v>0.08695652173913043</x:v>
      </x:c>
      <x:c r="S257" s="7" t="n">
        <x:v>-61</x:v>
      </x:c>
      <x:c r="T257" s="10" t="n">
        <x:v>0.21</x:v>
      </x:c>
      <x:c r="U257" s="7" t="n">
        <x:v>143</x:v>
      </x:c>
      <x:c r="V257" s="7" t="n">
        <x:v>179</x:v>
      </x:c>
    </x:row>
    <x:row r="258" ht="16" customHeight="1">
      <x:c r="A258" s="7" t="n">
        <x:v>255</x:v>
      </x:c>
      <x:c r="B258" s="8" t="n">
        <x:v>45925</x:v>
      </x:c>
      <x:c r="C258" s="7" t="str">
        <x:v>Ascent</x:v>
      </x:c>
      <x:c r="D258" s="7" t="str">
        <x:v>6th</x:v>
      </x:c>
      <x:c r="E258" s="7" t="str">
        <x:v>Phoenix</x:v>
      </x:c>
      <x:c r="F258" s="7" t="n">
        <x:v>7</x:v>
      </x:c>
      <x:c r="G258" s="7" t="n">
        <x:v>13</x:v>
      </x:c>
      <x:c r="H258" s="7" t="str">
        <x:f>IF(F258&gt;G258,"Win",IF(F258&lt;G258,"Loss","Draw"))</x:f>
        <x:v>Loss</x:v>
      </x:c>
      <x:c r="I258" s="7" t="n">
        <x:f>IF(H258="Win",1,0)</x:f>
        <x:v>0</x:v>
      </x:c>
      <x:c r="J258" s="7" t="n">
        <x:f>F258-G258</x:f>
        <x:v>-6</x:v>
      </x:c>
      <x:c r="K258" s="7" t="n">
        <x:f>F258+G258</x:f>
        <x:v>20</x:v>
      </x:c>
      <x:c r="L258" s="7" t="n">
        <x:v>13</x:v>
      </x:c>
      <x:c r="M258" s="7" t="n">
        <x:v>19</x:v>
      </x:c>
      <x:c r="N258" s="7" t="n">
        <x:v>1</x:v>
      </x:c>
      <x:c r="O258" s="9" t="n">
        <x:f>IF(M258=0,"n.a.",L258/M258)</x:f>
        <x:v>0.6842105263157895</x:v>
      </x:c>
      <x:c r="P258" s="9" t="n">
        <x:f>IF(K258=0,"n.a.",L258/K258)</x:f>
        <x:v>0.65</x:v>
      </x:c>
      <x:c r="Q258" s="9" t="n">
        <x:f>IF(K258=0,"n.a.",M258/K258)</x:f>
        <x:v>0.95</x:v>
      </x:c>
      <x:c r="R258" s="9" t="n">
        <x:f>IF(K258=0,"n.a.",N258/K258)</x:f>
        <x:v>0.05</x:v>
      </x:c>
      <x:c r="S258" s="7" t="n">
        <x:v>-95</x:v>
      </x:c>
      <x:c r="T258" s="10" t="n">
        <x:v>0.39</x:v>
      </x:c>
      <x:c r="U258" s="7" t="n">
        <x:v>182</x:v>
      </x:c>
      <x:c r="V258" s="7" t="n">
        <x:v>182</x:v>
      </x:c>
    </x:row>
    <x:row r="259" ht="16" customHeight="1">
      <x:c r="A259" s="7" t="n">
        <x:v>256</x:v>
      </x:c>
      <x:c r="B259" s="8" t="n">
        <x:v>45925</x:v>
      </x:c>
      <x:c r="C259" s="7" t="str">
        <x:v>Bind</x:v>
      </x:c>
      <x:c r="D259" s="7" t="str">
        <x:v>MVP</x:v>
      </x:c>
      <x:c r="E259" s="7" t="str">
        <x:v>Astra</x:v>
      </x:c>
      <x:c r="F259" s="7" t="n">
        <x:v>13</x:v>
      </x:c>
      <x:c r="G259" s="7" t="n">
        <x:v>2</x:v>
      </x:c>
      <x:c r="H259" s="7" t="str">
        <x:f>IF(F259&gt;G259,"Win",IF(F259&lt;G259,"Loss","Draw"))</x:f>
        <x:v>Win</x:v>
      </x:c>
      <x:c r="I259" s="7" t="n">
        <x:f>IF(H259="Win",1,0)</x:f>
        <x:v>1</x:v>
      </x:c>
      <x:c r="J259" s="7" t="n">
        <x:f>F259-G259</x:f>
        <x:v>11</x:v>
      </x:c>
      <x:c r="K259" s="7" t="n">
        <x:f>F259+G259</x:f>
        <x:v>15</x:v>
      </x:c>
      <x:c r="L259" s="7" t="n">
        <x:v>19</x:v>
      </x:c>
      <x:c r="M259" s="7" t="n">
        <x:v>9</x:v>
      </x:c>
      <x:c r="N259" s="7" t="n">
        <x:v>1</x:v>
      </x:c>
      <x:c r="O259" s="9" t="n">
        <x:f>IF(M259=0,"n.a.",L259/M259)</x:f>
        <x:v>2.111111111111111</x:v>
      </x:c>
      <x:c r="P259" s="9" t="n">
        <x:f>IF(K259=0,"n.a.",L259/K259)</x:f>
        <x:v>1.2666666666666666</x:v>
      </x:c>
      <x:c r="Q259" s="9" t="n">
        <x:f>IF(K259=0,"n.a.",M259/K259)</x:f>
        <x:v>0.6</x:v>
      </x:c>
      <x:c r="R259" s="9" t="n">
        <x:f>IF(K259=0,"n.a.",N259/K259)</x:f>
        <x:v>0.06666666666666667</x:v>
      </x:c>
      <x:c r="S259" s="7" t="n">
        <x:v>83</x:v>
      </x:c>
      <x:c r="T259" s="10" t="n">
        <x:v>0.43</x:v>
      </x:c>
      <x:c r="U259" s="7" t="n">
        <x:v>337</x:v>
      </x:c>
      <x:c r="V259" s="7" t="n">
        <x:v>929</x:v>
      </x:c>
    </x:row>
    <x:row r="260" ht="16" customHeight="1">
      <x:c r="A260" s="7" t="n">
        <x:v>257</x:v>
      </x:c>
      <x:c r="B260" s="8" t="n">
        <x:v>45925</x:v>
      </x:c>
      <x:c r="C260" s="7" t="str">
        <x:v>Abyss</x:v>
      </x:c>
      <x:c r="D260" s="7" t="str">
        <x:v>6th</x:v>
      </x:c>
      <x:c r="E260" s="7" t="str">
        <x:v>Phoenix</x:v>
      </x:c>
      <x:c r="F260" s="7" t="n">
        <x:v>13</x:v>
      </x:c>
      <x:c r="G260" s="7" t="n">
        <x:v>9</x:v>
      </x:c>
      <x:c r="H260" s="7" t="str">
        <x:f>IF(F260&gt;G260,"Win",IF(F260&lt;G260,"Loss","Draw"))</x:f>
        <x:v>Win</x:v>
      </x:c>
      <x:c r="I260" s="7" t="n">
        <x:f>IF(H260="Win",1,0)</x:f>
        <x:v>1</x:v>
      </x:c>
      <x:c r="J260" s="7" t="n">
        <x:f>F260-G260</x:f>
        <x:v>4</x:v>
      </x:c>
      <x:c r="K260" s="7" t="n">
        <x:f>F260+G260</x:f>
        <x:v>22</x:v>
      </x:c>
      <x:c r="L260" s="7" t="n">
        <x:v>16</x:v>
      </x:c>
      <x:c r="M260" s="7" t="n">
        <x:v>18</x:v>
      </x:c>
      <x:c r="N260" s="7" t="n">
        <x:v>3</x:v>
      </x:c>
      <x:c r="O260" s="9" t="n">
        <x:f>IF(M260=0,"n.a.",L260/M260)</x:f>
        <x:v>0.8888888888888888</x:v>
      </x:c>
      <x:c r="P260" s="9" t="n">
        <x:f>IF(K260=0,"n.a.",L260/K260)</x:f>
        <x:v>0.7272727272727273</x:v>
      </x:c>
      <x:c r="Q260" s="9" t="n">
        <x:f>IF(K260=0,"n.a.",M260/K260)</x:f>
        <x:v>0.8181818181818182</x:v>
      </x:c>
      <x:c r="R260" s="9" t="n">
        <x:f>IF(K260=0,"n.a.",N260/K260)</x:f>
        <x:v>0.13636363636363635</x:v>
      </x:c>
      <x:c r="S260" s="7" t="n">
        <x:v>-56</x:v>
      </x:c>
      <x:c r="T260" s="10" t="n">
        <x:v>0.26</x:v>
      </x:c>
      <x:c r="U260" s="7" t="n">
        <x:v>211</x:v>
      </x:c>
      <x:c r="V260" s="7" t="n">
        <x:v>608</x:v>
      </x:c>
    </x:row>
    <x:row r="261" ht="16" customHeight="1">
      <x:c r="A261" s="7" t="n">
        <x:v>258</x:v>
      </x:c>
      <x:c r="B261" s="8" t="n">
        <x:v>45925</x:v>
      </x:c>
      <x:c r="C261" s="7" t="str">
        <x:v>Lotus</x:v>
      </x:c>
      <x:c r="D261" s="7" t="str">
        <x:v>8th</x:v>
      </x:c>
      <x:c r="E261" s="7" t="str">
        <x:v>Neon</x:v>
      </x:c>
      <x:c r="F261" s="7" t="n">
        <x:v>8</x:v>
      </x:c>
      <x:c r="G261" s="7" t="n">
        <x:v>13</x:v>
      </x:c>
      <x:c r="H261" s="7" t="str">
        <x:f>IF(F261&gt;G261,"Win",IF(F261&lt;G261,"Loss","Draw"))</x:f>
        <x:v>Loss</x:v>
      </x:c>
      <x:c r="I261" s="7" t="n">
        <x:f>IF(H261="Win",1,0)</x:f>
        <x:v>0</x:v>
      </x:c>
      <x:c r="J261" s="7" t="n">
        <x:f>F261-G261</x:f>
        <x:v>-5</x:v>
      </x:c>
      <x:c r="K261" s="7" t="n">
        <x:f>F261+G261</x:f>
        <x:v>21</x:v>
      </x:c>
      <x:c r="L261" s="7" t="n">
        <x:v>15</x:v>
      </x:c>
      <x:c r="M261" s="7" t="n">
        <x:v>14</x:v>
      </x:c>
      <x:c r="N261" s="7" t="n">
        <x:v>3</x:v>
      </x:c>
      <x:c r="O261" s="9" t="n">
        <x:f>IF(M261=0,"n.a.",L261/M261)</x:f>
        <x:v>1.0714285714285714</x:v>
      </x:c>
      <x:c r="P261" s="9" t="n">
        <x:f>IF(K261=0,"n.a.",L261/K261)</x:f>
        <x:v>0.7142857142857143</x:v>
      </x:c>
      <x:c r="Q261" s="9" t="n">
        <x:f>IF(K261=0,"n.a.",M261/K261)</x:f>
        <x:v>0.6666666666666666</x:v>
      </x:c>
      <x:c r="R261" s="9" t="n">
        <x:f>IF(K261=0,"n.a.",N261/K261)</x:f>
        <x:v>0.14285714285714285</x:v>
      </x:c>
      <x:c r="S261" s="7" t="n">
        <x:v>-14</x:v>
      </x:c>
      <x:c r="T261" s="10" t="n">
        <x:v>0.25</x:v>
      </x:c>
      <x:c r="U261" s="7" t="n">
        <x:v>193</x:v>
      </x:c>
      <x:c r="V261" s="7" t="n">
        <x:v>341</x:v>
      </x:c>
    </x:row>
    <x:row r="262" ht="16" customHeight="1">
      <x:c r="A262" s="7" t="n">
        <x:v>259</x:v>
      </x:c>
      <x:c r="B262" s="8" t="n">
        <x:v>45925</x:v>
      </x:c>
      <x:c r="C262" s="7" t="str">
        <x:v>Bind</x:v>
      </x:c>
      <x:c r="D262" s="7" t="str">
        <x:v>9th</x:v>
      </x:c>
      <x:c r="E262" s="7" t="str">
        <x:v>Neon</x:v>
      </x:c>
      <x:c r="F262" s="7" t="n">
        <x:v>14</x:v>
      </x:c>
      <x:c r="G262" s="7" t="n">
        <x:v>12</x:v>
      </x:c>
      <x:c r="H262" s="7" t="str">
        <x:f>IF(F262&gt;G262,"Win",IF(F262&lt;G262,"Loss","Draw"))</x:f>
        <x:v>Win</x:v>
      </x:c>
      <x:c r="I262" s="7" t="n">
        <x:f>IF(H262="Win",1,0)</x:f>
        <x:v>1</x:v>
      </x:c>
      <x:c r="J262" s="7" t="n">
        <x:f>F262-G262</x:f>
        <x:v>2</x:v>
      </x:c>
      <x:c r="K262" s="7" t="n">
        <x:f>F262+G262</x:f>
        <x:v>26</x:v>
      </x:c>
      <x:c r="L262" s="7" t="n">
        <x:v>13</x:v>
      </x:c>
      <x:c r="M262" s="7" t="n">
        <x:v>21</x:v>
      </x:c>
      <x:c r="N262" s="7" t="n">
        <x:v>3</x:v>
      </x:c>
      <x:c r="O262" s="9" t="n">
        <x:f>IF(M262=0,"n.a.",L262/M262)</x:f>
        <x:v>0.6190476190476191</x:v>
      </x:c>
      <x:c r="P262" s="9" t="n">
        <x:f>IF(K262=0,"n.a.",L262/K262)</x:f>
        <x:v>0.5</x:v>
      </x:c>
      <x:c r="Q262" s="9" t="n">
        <x:f>IF(K262=0,"n.a.",M262/K262)</x:f>
        <x:v>0.8076923076923077</x:v>
      </x:c>
      <x:c r="R262" s="9" t="n">
        <x:f>IF(K262=0,"n.a.",N262/K262)</x:f>
        <x:v>0.11538461538461539</x:v>
      </x:c>
      <x:c r="S262" s="7" t="n">
        <x:v>-62</x:v>
      </x:c>
      <x:c r="T262" s="10" t="n">
        <x:v>0.18</x:v>
      </x:c>
      <x:c r="U262" s="7" t="n">
        <x:v>136</x:v>
      </x:c>
      <x:c r="V262" s="7" t="n">
        <x:v>229</x:v>
      </x:c>
    </x:row>
    <x:row r="263" ht="16" customHeight="1">
      <x:c r="A263" s="7" t="n">
        <x:v>260</x:v>
      </x:c>
      <x:c r="B263" s="8" t="n">
        <x:v>45925</x:v>
      </x:c>
      <x:c r="C263" s="7" t="str">
        <x:v>Lotus</x:v>
      </x:c>
      <x:c r="D263" s="7" t="str">
        <x:v>8th</x:v>
      </x:c>
      <x:c r="E263" s="7" t="str">
        <x:v>Phoenix</x:v>
      </x:c>
      <x:c r="F263" s="7" t="n">
        <x:v>6</x:v>
      </x:c>
      <x:c r="G263" s="7" t="n">
        <x:v>13</x:v>
      </x:c>
      <x:c r="H263" s="7" t="str">
        <x:f>IF(F263&gt;G263,"Win",IF(F263&lt;G263,"Loss","Draw"))</x:f>
        <x:v>Loss</x:v>
      </x:c>
      <x:c r="I263" s="7" t="n">
        <x:f>IF(H263="Win",1,0)</x:f>
        <x:v>0</x:v>
      </x:c>
      <x:c r="J263" s="7" t="n">
        <x:f>F263-G263</x:f>
        <x:v>-7</x:v>
      </x:c>
      <x:c r="K263" s="7" t="n">
        <x:f>F263+G263</x:f>
        <x:v>19</x:v>
      </x:c>
      <x:c r="L263" s="7" t="n">
        <x:v>11</x:v>
      </x:c>
      <x:c r="M263" s="7" t="n">
        <x:v>11</x:v>
      </x:c>
      <x:c r="N263" s="7" t="n">
        <x:v>1</x:v>
      </x:c>
      <x:c r="O263" s="9" t="n">
        <x:f>IF(M263=0,"n.a.",L263/M263)</x:f>
        <x:v>1</x:v>
      </x:c>
      <x:c r="P263" s="9" t="n">
        <x:f>IF(K263=0,"n.a.",L263/K263)</x:f>
        <x:v>0.5789473684210527</x:v>
      </x:c>
      <x:c r="Q263" s="9" t="n">
        <x:f>IF(K263=0,"n.a.",M263/K263)</x:f>
        <x:v>0.5789473684210527</x:v>
      </x:c>
      <x:c r="R263" s="9" t="n">
        <x:f>IF(K263=0,"n.a.",N263/K263)</x:f>
        <x:v>0.05263157894736842</x:v>
      </x:c>
      <x:c r="S263" s="7" t="n">
        <x:v>-16</x:v>
      </x:c>
      <x:c r="T263" s="10" t="n">
        <x:v>0.24</x:v>
      </x:c>
      <x:c r="U263" s="7" t="n">
        <x:v>154</x:v>
      </x:c>
      <x:c r="V263" s="7" t="n">
        <x:v>218</x:v>
      </x:c>
    </x:row>
    <x:row r="264" ht="16" customHeight="1">
      <x:c r="A264" s="7" t="n">
        <x:v>261</x:v>
      </x:c>
      <x:c r="B264" s="8" t="n">
        <x:v>45925</x:v>
      </x:c>
      <x:c r="C264" s="7" t="str">
        <x:v>Haven</x:v>
      </x:c>
      <x:c r="D264" s="7" t="str">
        <x:v>7th</x:v>
      </x:c>
      <x:c r="E264" s="7" t="str">
        <x:v>Neon</x:v>
      </x:c>
      <x:c r="F264" s="7" t="n">
        <x:v>13</x:v>
      </x:c>
      <x:c r="G264" s="7" t="n">
        <x:v>15</x:v>
      </x:c>
      <x:c r="H264" s="7" t="str">
        <x:f>IF(F264&gt;G264,"Win",IF(F264&lt;G264,"Loss","Draw"))</x:f>
        <x:v>Loss</x:v>
      </x:c>
      <x:c r="I264" s="7" t="n">
        <x:f>IF(H264="Win",1,0)</x:f>
        <x:v>0</x:v>
      </x:c>
      <x:c r="J264" s="7" t="n">
        <x:f>F264-G264</x:f>
        <x:v>-2</x:v>
      </x:c>
      <x:c r="K264" s="7" t="n">
        <x:f>F264+G264</x:f>
        <x:v>28</x:v>
      </x:c>
      <x:c r="L264" s="7" t="n">
        <x:v>19</x:v>
      </x:c>
      <x:c r="M264" s="7" t="n">
        <x:v>26</x:v>
      </x:c>
      <x:c r="N264" s="7" t="n">
        <x:v>2</x:v>
      </x:c>
      <x:c r="O264" s="9" t="n">
        <x:f>IF(M264=0,"n.a.",L264/M264)</x:f>
        <x:v>0.7307692307692307</x:v>
      </x:c>
      <x:c r="P264" s="9" t="n">
        <x:f>IF(K264=0,"n.a.",L264/K264)</x:f>
        <x:v>0.6785714285714286</x:v>
      </x:c>
      <x:c r="Q264" s="9" t="n">
        <x:f>IF(K264=0,"n.a.",M264/K264)</x:f>
        <x:v>0.9285714285714286</x:v>
      </x:c>
      <x:c r="R264" s="9" t="n">
        <x:f>IF(K264=0,"n.a.",N264/K264)</x:f>
        <x:v>0.07142857142857142</x:v>
      </x:c>
      <x:c r="S264" s="7" t="n">
        <x:v>-56</x:v>
      </x:c>
      <x:c r="T264" s="10" t="n">
        <x:v>0.17</x:v>
      </x:c>
      <x:c r="U264" s="7" t="n">
        <x:v>194</x:v>
      </x:c>
      <x:c r="V264" s="7" t="n">
        <x:v>394</x:v>
      </x:c>
    </x:row>
    <x:row r="265" ht="16" customHeight="1">
      <x:c r="A265" s="7" t="n">
        <x:v>262</x:v>
      </x:c>
      <x:c r="B265" s="8" t="n">
        <x:v>45926</x:v>
      </x:c>
      <x:c r="C265" s="7" t="str">
        <x:v>Corrode</x:v>
      </x:c>
      <x:c r="D265" s="7" t="str">
        <x:v>4th</x:v>
      </x:c>
      <x:c r="E265" s="7" t="str">
        <x:v>Chamber</x:v>
      </x:c>
      <x:c r="F265" s="7" t="n">
        <x:v>13</x:v>
      </x:c>
      <x:c r="G265" s="7" t="n">
        <x:v>8</x:v>
      </x:c>
      <x:c r="H265" s="7" t="str">
        <x:f>IF(F265&gt;G265,"Win",IF(F265&lt;G265,"Loss","Draw"))</x:f>
        <x:v>Win</x:v>
      </x:c>
      <x:c r="I265" s="7" t="n">
        <x:f>IF(H265="Win",1,0)</x:f>
        <x:v>1</x:v>
      </x:c>
      <x:c r="J265" s="7" t="n">
        <x:f>F265-G265</x:f>
        <x:v>5</x:v>
      </x:c>
      <x:c r="K265" s="7" t="n">
        <x:f>F265+G265</x:f>
        <x:v>21</x:v>
      </x:c>
      <x:c r="L265" s="7" t="n">
        <x:v>17</x:v>
      </x:c>
      <x:c r="M265" s="7" t="n">
        <x:v>14</x:v>
      </x:c>
      <x:c r="N265" s="7" t="n">
        <x:v>3</x:v>
      </x:c>
      <x:c r="O265" s="9" t="n">
        <x:f>IF(M265=0,"n.a.",L265/M265)</x:f>
        <x:v>1.2142857142857142</x:v>
      </x:c>
      <x:c r="P265" s="9" t="n">
        <x:f>IF(K265=0,"n.a.",L265/K265)</x:f>
        <x:v>0.8095238095238095</x:v>
      </x:c>
      <x:c r="Q265" s="9" t="n">
        <x:f>IF(K265=0,"n.a.",M265/K265)</x:f>
        <x:v>0.6666666666666666</x:v>
      </x:c>
      <x:c r="R265" s="9" t="n">
        <x:f>IF(K265=0,"n.a.",N265/K265)</x:f>
        <x:v>0.14285714285714285</x:v>
      </x:c>
      <x:c r="S265" s="7" t="n">
        <x:v>19</x:v>
      </x:c>
      <x:c r="T265" s="10" t="n">
        <x:v>0.11</x:v>
      </x:c>
      <x:c r="U265" s="7" t="n">
        <x:v>231</x:v>
      </x:c>
      <x:c r="V265" s="7" t="n">
        <x:v>727</x:v>
      </x:c>
    </x:row>
    <x:row r="266" ht="16" customHeight="1">
      <x:c r="A266" s="7" t="n">
        <x:v>263</x:v>
      </x:c>
      <x:c r="B266" s="8" t="n">
        <x:v>45926</x:v>
      </x:c>
      <x:c r="C266" s="7" t="str">
        <x:v>Haven</x:v>
      </x:c>
      <x:c r="D266" s="7" t="str">
        <x:v>3rd</x:v>
      </x:c>
      <x:c r="E266" s="7" t="str">
        <x:v>Neon</x:v>
      </x:c>
      <x:c r="F266" s="7" t="n">
        <x:v>14</x:v>
      </x:c>
      <x:c r="G266" s="7" t="n">
        <x:v>12</x:v>
      </x:c>
      <x:c r="H266" s="7" t="str">
        <x:f>IF(F266&gt;G266,"Win",IF(F266&lt;G266,"Loss","Draw"))</x:f>
        <x:v>Win</x:v>
      </x:c>
      <x:c r="I266" s="7" t="n">
        <x:f>IF(H266="Win",1,0)</x:f>
        <x:v>1</x:v>
      </x:c>
      <x:c r="J266" s="7" t="n">
        <x:f>F266-G266</x:f>
        <x:v>2</x:v>
      </x:c>
      <x:c r="K266" s="7" t="n">
        <x:f>F266+G266</x:f>
        <x:v>26</x:v>
      </x:c>
      <x:c r="L266" s="7" t="n">
        <x:v>28</x:v>
      </x:c>
      <x:c r="M266" s="7" t="n">
        <x:v>19</x:v>
      </x:c>
      <x:c r="N266" s="7" t="n">
        <x:v>6</x:v>
      </x:c>
      <x:c r="O266" s="9" t="n">
        <x:f>IF(M266=0,"n.a.",L266/M266)</x:f>
        <x:v>1.4736842105263157</x:v>
      </x:c>
      <x:c r="P266" s="9" t="n">
        <x:f>IF(K266=0,"n.a.",L266/K266)</x:f>
        <x:v>1.0769230769230769</x:v>
      </x:c>
      <x:c r="Q266" s="9" t="n">
        <x:f>IF(K266=0,"n.a.",M266/K266)</x:f>
        <x:v>0.7307692307692307</x:v>
      </x:c>
      <x:c r="R266" s="9" t="n">
        <x:f>IF(K266=0,"n.a.",N266/K266)</x:f>
        <x:v>0.23076923076923078</x:v>
      </x:c>
      <x:c r="S266" s="7" t="n">
        <x:v>57</x:v>
      </x:c>
      <x:c r="T266" s="10" t="n">
        <x:v>0.17</x:v>
      </x:c>
      <x:c r="U266" s="7" t="n">
        <x:v>304</x:v>
      </x:c>
      <x:c r="V266" s="7" t="n">
        <x:v>869</x:v>
      </x:c>
    </x:row>
    <x:row r="267" ht="16" customHeight="1">
      <x:c r="A267" s="7" t="n">
        <x:v>264</x:v>
      </x:c>
      <x:c r="B267" s="8" t="n">
        <x:v>45926</x:v>
      </x:c>
      <x:c r="C267" s="7" t="str">
        <x:v>Ascent</x:v>
      </x:c>
      <x:c r="D267" s="7" t="str">
        <x:v>10th</x:v>
      </x:c>
      <x:c r="E267" s="7" t="str">
        <x:v>Sage</x:v>
      </x:c>
      <x:c r="F267" s="7" t="n">
        <x:v>13</x:v>
      </x:c>
      <x:c r="G267" s="7" t="n">
        <x:v>11</x:v>
      </x:c>
      <x:c r="H267" s="7" t="str">
        <x:f>IF(F267&gt;G267,"Win",IF(F267&lt;G267,"Loss","Draw"))</x:f>
        <x:v>Win</x:v>
      </x:c>
      <x:c r="I267" s="7" t="n">
        <x:f>IF(H267="Win",1,0)</x:f>
        <x:v>1</x:v>
      </x:c>
      <x:c r="J267" s="7" t="n">
        <x:f>F267-G267</x:f>
        <x:v>2</x:v>
      </x:c>
      <x:c r="K267" s="7" t="n">
        <x:f>F267+G267</x:f>
        <x:v>24</x:v>
      </x:c>
      <x:c r="L267" s="7" t="n">
        <x:v>10</x:v>
      </x:c>
      <x:c r="M267" s="7" t="n">
        <x:v>17</x:v>
      </x:c>
      <x:c r="N267" s="7" t="n">
        <x:v>7</x:v>
      </x:c>
      <x:c r="O267" s="9" t="n">
        <x:f>IF(M267=0,"n.a.",L267/M267)</x:f>
        <x:v>0.5882352941176471</x:v>
      </x:c>
      <x:c r="P267" s="9" t="n">
        <x:f>IF(K267=0,"n.a.",L267/K267)</x:f>
        <x:v>0.4166666666666667</x:v>
      </x:c>
      <x:c r="Q267" s="9" t="n">
        <x:f>IF(K267=0,"n.a.",M267/K267)</x:f>
        <x:v>0.7083333333333334</x:v>
      </x:c>
      <x:c r="R267" s="9" t="n">
        <x:f>IF(K267=0,"n.a.",N267/K267)</x:f>
        <x:v>0.2916666666666667</x:v>
      </x:c>
      <x:c r="S267" s="7" t="n">
        <x:v>-54</x:v>
      </x:c>
      <x:c r="T267" s="10" t="n">
        <x:v>0.38</x:v>
      </x:c>
      <x:c r="U267" s="7" t="n">
        <x:v>112</x:v>
      </x:c>
      <x:c r="V267" s="7" t="n">
        <x:v>255</x:v>
      </x:c>
    </x:row>
    <x:row r="268" ht="16" customHeight="1">
      <x:c r="A268" s="7" t="n">
        <x:v>265</x:v>
      </x:c>
      <x:c r="B268" s="8" t="n">
        <x:v>45926</x:v>
      </x:c>
      <x:c r="C268" s="7" t="str">
        <x:v>Lotus</x:v>
      </x:c>
      <x:c r="D268" s="7" t="str">
        <x:v>7th</x:v>
      </x:c>
      <x:c r="E268" s="7" t="str">
        <x:v>Sova</x:v>
      </x:c>
      <x:c r="F268" s="7" t="n">
        <x:v>13</x:v>
      </x:c>
      <x:c r="G268" s="7" t="n">
        <x:v>7</x:v>
      </x:c>
      <x:c r="H268" s="7" t="str">
        <x:f>IF(F268&gt;G268,"Win",IF(F268&lt;G268,"Loss","Draw"))</x:f>
        <x:v>Win</x:v>
      </x:c>
      <x:c r="I268" s="7" t="n">
        <x:f>IF(H268="Win",1,0)</x:f>
        <x:v>1</x:v>
      </x:c>
      <x:c r="J268" s="7" t="n">
        <x:f>F268-G268</x:f>
        <x:v>6</x:v>
      </x:c>
      <x:c r="K268" s="7" t="n">
        <x:f>F268+G268</x:f>
        <x:v>20</x:v>
      </x:c>
      <x:c r="L268" s="7" t="n">
        <x:v>10</x:v>
      </x:c>
      <x:c r="M268" s="7" t="n">
        <x:v>13</x:v>
      </x:c>
      <x:c r="N268" s="7" t="n">
        <x:v>4</x:v>
      </x:c>
      <x:c r="O268" s="9" t="n">
        <x:f>IF(M268=0,"n.a.",L268/M268)</x:f>
        <x:v>0.7692307692307693</x:v>
      </x:c>
      <x:c r="P268" s="9" t="n">
        <x:f>IF(K268=0,"n.a.",L268/K268)</x:f>
        <x:v>0.5</x:v>
      </x:c>
      <x:c r="Q268" s="9" t="n">
        <x:f>IF(K268=0,"n.a.",M268/K268)</x:f>
        <x:v>0.65</x:v>
      </x:c>
      <x:c r="R268" s="9" t="n">
        <x:f>IF(K268=0,"n.a.",N268/K268)</x:f>
        <x:v>0.2</x:v>
      </x:c>
      <x:c r="S268" s="7" t="n">
        <x:v>-5</x:v>
      </x:c>
      <x:c r="T268" s="10" t="n">
        <x:v>0.47</x:v>
      </x:c>
      <x:c r="U268" s="7" t="n">
        <x:v>152</x:v>
      </x:c>
      <x:c r="V268" s="7" t="n">
        <x:v>408</x:v>
      </x:c>
    </x:row>
    <x:row r="269" ht="16" customHeight="1">
      <x:c r="A269" s="7" t="n">
        <x:v>266</x:v>
      </x:c>
      <x:c r="B269" s="8" t="n">
        <x:v>45927</x:v>
      </x:c>
      <x:c r="C269" s="7" t="str">
        <x:v>Sunset</x:v>
      </x:c>
      <x:c r="D269" s="7" t="str">
        <x:v>10th</x:v>
      </x:c>
      <x:c r="E269" s="7" t="str">
        <x:v>Neon</x:v>
      </x:c>
      <x:c r="F269" s="7" t="n">
        <x:v>9</x:v>
      </x:c>
      <x:c r="G269" s="7" t="n">
        <x:v>13</x:v>
      </x:c>
      <x:c r="H269" s="7" t="str">
        <x:f>IF(F269&gt;G269,"Win",IF(F269&lt;G269,"Loss","Draw"))</x:f>
        <x:v>Loss</x:v>
      </x:c>
      <x:c r="I269" s="7" t="n">
        <x:f>IF(H269="Win",1,0)</x:f>
        <x:v>0</x:v>
      </x:c>
      <x:c r="J269" s="7" t="n">
        <x:f>F269-G269</x:f>
        <x:v>-4</x:v>
      </x:c>
      <x:c r="K269" s="7" t="n">
        <x:f>F269+G269</x:f>
        <x:v>22</x:v>
      </x:c>
      <x:c r="L269" s="7" t="n">
        <x:v>2</x:v>
      </x:c>
      <x:c r="M269" s="7" t="n">
        <x:v>5</x:v>
      </x:c>
      <x:c r="N269" s="7" t="n">
        <x:v>1</x:v>
      </x:c>
      <x:c r="O269" s="9" t="n">
        <x:f>IF(M269=0,"n.a.",L269/M269)</x:f>
        <x:v>0.4</x:v>
      </x:c>
      <x:c r="P269" s="9" t="n">
        <x:f>IF(K269=0,"n.a.",L269/K269)</x:f>
        <x:v>0.09090909090909091</x:v>
      </x:c>
      <x:c r="Q269" s="9" t="n">
        <x:f>IF(K269=0,"n.a.",M269/K269)</x:f>
        <x:v>0.22727272727272727</x:v>
      </x:c>
      <x:c r="R269" s="9" t="n">
        <x:f>IF(K269=0,"n.a.",N269/K269)</x:f>
        <x:v>0.045454545454545456</x:v>
      </x:c>
      <x:c r="S269" s="7" t="n">
        <x:v>-14</x:v>
      </x:c>
      <x:c r="T269" s="10" t="n">
        <x:v>0.38</x:v>
      </x:c>
      <x:c r="U269" s="7" t="n">
        <x:v>31</x:v>
      </x:c>
      <x:c r="V269" s="7" t="n">
        <x:v>181</x:v>
      </x:c>
    </x:row>
    <x:row r="270" ht="16" customHeight="1">
      <x:c r="A270" s="7" t="n">
        <x:v>267</x:v>
      </x:c>
      <x:c r="B270" s="8" t="n">
        <x:v>45927</x:v>
      </x:c>
      <x:c r="C270" s="7" t="str">
        <x:v>Bind</x:v>
      </x:c>
      <x:c r="D270" s="7" t="str">
        <x:v>3rd</x:v>
      </x:c>
      <x:c r="E270" s="7" t="str">
        <x:v>Phoenix</x:v>
      </x:c>
      <x:c r="F270" s="7" t="n">
        <x:v>13</x:v>
      </x:c>
      <x:c r="G270" s="7" t="n">
        <x:v>6</x:v>
      </x:c>
      <x:c r="H270" s="7" t="str">
        <x:f>IF(F270&gt;G270,"Win",IF(F270&lt;G270,"Loss","Draw"))</x:f>
        <x:v>Win</x:v>
      </x:c>
      <x:c r="I270" s="7" t="n">
        <x:f>IF(H270="Win",1,0)</x:f>
        <x:v>1</x:v>
      </x:c>
      <x:c r="J270" s="7" t="n">
        <x:f>F270-G270</x:f>
        <x:v>7</x:v>
      </x:c>
      <x:c r="K270" s="7" t="n">
        <x:f>F270+G270</x:f>
        <x:v>19</x:v>
      </x:c>
      <x:c r="L270" s="7" t="n">
        <x:v>17</x:v>
      </x:c>
      <x:c r="M270" s="7" t="n">
        <x:v>12</x:v>
      </x:c>
      <x:c r="N270" s="7" t="n">
        <x:v>3</x:v>
      </x:c>
      <x:c r="O270" s="9" t="n">
        <x:f>IF(M270=0,"n.a.",L270/M270)</x:f>
        <x:v>1.4166666666666667</x:v>
      </x:c>
      <x:c r="P270" s="9" t="n">
        <x:f>IF(K270=0,"n.a.",L270/K270)</x:f>
        <x:v>0.8947368421052632</x:v>
      </x:c>
      <x:c r="Q270" s="9" t="n">
        <x:f>IF(K270=0,"n.a.",M270/K270)</x:f>
        <x:v>0.631578947368421</x:v>
      </x:c>
      <x:c r="R270" s="9" t="n">
        <x:f>IF(K270=0,"n.a.",N270/K270)</x:f>
        <x:v>0.15789473684210525</x:v>
      </x:c>
      <x:c r="S270" s="7" t="n">
        <x:v>16</x:v>
      </x:c>
      <x:c r="T270" s="10" t="n">
        <x:v>0.35</x:v>
      </x:c>
      <x:c r="U270" s="7" t="n">
        <x:v>243</x:v>
      </x:c>
      <x:c r="V270" s="7" t="n">
        <x:v>766</x:v>
      </x:c>
    </x:row>
    <x:row r="271" ht="16" customHeight="1">
      <x:c r="A271" s="7" t="n">
        <x:v>268</x:v>
      </x:c>
      <x:c r="B271" s="8" t="n">
        <x:v>45927</x:v>
      </x:c>
      <x:c r="C271" s="7" t="str">
        <x:v>Corrode</x:v>
      </x:c>
      <x:c r="D271" s="7" t="str">
        <x:v>MVP</x:v>
      </x:c>
      <x:c r="E271" s="7" t="str">
        <x:v>Neon</x:v>
      </x:c>
      <x:c r="F271" s="7" t="n">
        <x:v>3</x:v>
      </x:c>
      <x:c r="G271" s="7" t="n">
        <x:v>13</x:v>
      </x:c>
      <x:c r="H271" s="7" t="str">
        <x:f>IF(F271&gt;G271,"Win",IF(F271&lt;G271,"Loss","Draw"))</x:f>
        <x:v>Loss</x:v>
      </x:c>
      <x:c r="I271" s="7" t="n">
        <x:f>IF(H271="Win",1,0)</x:f>
        <x:v>0</x:v>
      </x:c>
      <x:c r="J271" s="7" t="n">
        <x:f>F271-G271</x:f>
        <x:v>-10</x:v>
      </x:c>
      <x:c r="K271" s="7" t="n">
        <x:f>F271+G271</x:f>
        <x:v>16</x:v>
      </x:c>
      <x:c r="L271" s="7" t="n">
        <x:v>14</x:v>
      </x:c>
      <x:c r="M271" s="7" t="n">
        <x:v>14</x:v>
      </x:c>
      <x:c r="N271" s="7" t="n">
        <x:v>3</x:v>
      </x:c>
      <x:c r="O271" s="9" t="n">
        <x:f>IF(M271=0,"n.a.",L271/M271)</x:f>
        <x:v>1</x:v>
      </x:c>
      <x:c r="P271" s="9" t="n">
        <x:f>IF(K271=0,"n.a.",L271/K271)</x:f>
        <x:v>0.875</x:v>
      </x:c>
      <x:c r="Q271" s="9" t="n">
        <x:f>IF(K271=0,"n.a.",M271/K271)</x:f>
        <x:v>0.875</x:v>
      </x:c>
      <x:c r="R271" s="9" t="n">
        <x:f>IF(K271=0,"n.a.",N271/K271)</x:f>
        <x:v>0.1875</x:v>
      </x:c>
      <x:c r="S271" s="7" t="n">
        <x:v>6</x:v>
      </x:c>
      <x:c r="T271" s="10" t="n">
        <x:v>0.2</x:v>
      </x:c>
      <x:c r="U271" s="7" t="n">
        <x:v>256</x:v>
      </x:c>
      <x:c r="V271" s="7" t="n">
        <x:v>581</x:v>
      </x:c>
    </x:row>
    <x:row r="272" ht="16" customHeight="1">
      <x:c r="A272" s="7" t="n">
        <x:v>269</x:v>
      </x:c>
      <x:c r="B272" s="8" t="n">
        <x:v>45927</x:v>
      </x:c>
      <x:c r="C272" s="7" t="str">
        <x:v>Corrode</x:v>
      </x:c>
      <x:c r="D272" s="7" t="str">
        <x:v>5th</x:v>
      </x:c>
      <x:c r="E272" s="7" t="str">
        <x:v>Chamber</x:v>
      </x:c>
      <x:c r="F272" s="7" t="n">
        <x:v>6</x:v>
      </x:c>
      <x:c r="G272" s="7" t="n">
        <x:v>13</x:v>
      </x:c>
      <x:c r="H272" s="7" t="str">
        <x:f>IF(F272&gt;G272,"Win",IF(F272&lt;G272,"Loss","Draw"))</x:f>
        <x:v>Loss</x:v>
      </x:c>
      <x:c r="I272" s="7" t="n">
        <x:f>IF(H272="Win",1,0)</x:f>
        <x:v>0</x:v>
      </x:c>
      <x:c r="J272" s="7" t="n">
        <x:f>F272-G272</x:f>
        <x:v>-7</x:v>
      </x:c>
      <x:c r="K272" s="7" t="n">
        <x:f>F272+G272</x:f>
        <x:v>19</x:v>
      </x:c>
      <x:c r="L272" s="7" t="n">
        <x:v>10</x:v>
      </x:c>
      <x:c r="M272" s="7" t="n">
        <x:v>15</x:v>
      </x:c>
      <x:c r="N272" s="7" t="n">
        <x:v>1</x:v>
      </x:c>
      <x:c r="O272" s="9" t="n">
        <x:f>IF(M272=0,"n.a.",L272/M272)</x:f>
        <x:v>0.6666666666666666</x:v>
      </x:c>
      <x:c r="P272" s="9" t="n">
        <x:f>IF(K272=0,"n.a.",L272/K272)</x:f>
        <x:v>0.5263157894736842</x:v>
      </x:c>
      <x:c r="Q272" s="9" t="n">
        <x:f>IF(K272=0,"n.a.",M272/K272)</x:f>
        <x:v>0.7894736842105263</x:v>
      </x:c>
      <x:c r="R272" s="9" t="n">
        <x:f>IF(K272=0,"n.a.",N272/K272)</x:f>
        <x:v>0.05263157894736842</x:v>
      </x:c>
      <x:c r="S272" s="7" t="n">
        <x:v>-5</x:v>
      </x:c>
      <x:c r="T272" s="10" t="n">
        <x:v>0.37</x:v>
      </x:c>
      <x:c r="U272" s="7" t="n">
        <x:v>177</x:v>
      </x:c>
      <x:c r="V272" s="7" t="n">
        <x:v>295</x:v>
      </x:c>
    </x:row>
    <x:row r="273" ht="16" customHeight="1">
      <x:c r="A273" s="7" t="n">
        <x:v>270</x:v>
      </x:c>
      <x:c r="B273" s="8" t="n">
        <x:v>45927</x:v>
      </x:c>
      <x:c r="C273" s="7" t="str">
        <x:v>Haven</x:v>
      </x:c>
      <x:c r="D273" s="7" t="str">
        <x:v>9th</x:v>
      </x:c>
      <x:c r="E273" s="7" t="str">
        <x:v>Neon</x:v>
      </x:c>
      <x:c r="F273" s="7" t="n">
        <x:v>2</x:v>
      </x:c>
      <x:c r="G273" s="7" t="n">
        <x:v>13</x:v>
      </x:c>
      <x:c r="H273" s="7" t="str">
        <x:f>IF(F273&gt;G273,"Win",IF(F273&lt;G273,"Loss","Draw"))</x:f>
        <x:v>Loss</x:v>
      </x:c>
      <x:c r="I273" s="7" t="n">
        <x:f>IF(H273="Win",1,0)</x:f>
        <x:v>0</x:v>
      </x:c>
      <x:c r="J273" s="7" t="n">
        <x:f>F273-G273</x:f>
        <x:v>-11</x:v>
      </x:c>
      <x:c r="K273" s="7" t="n">
        <x:f>F273+G273</x:f>
        <x:v>15</x:v>
      </x:c>
      <x:c r="L273" s="7" t="n">
        <x:v>6</x:v>
      </x:c>
      <x:c r="M273" s="7" t="n">
        <x:v>12</x:v>
      </x:c>
      <x:c r="N273" s="7" t="n">
        <x:v>1</x:v>
      </x:c>
      <x:c r="O273" s="9" t="n">
        <x:f>IF(M273=0,"n.a.",L273/M273)</x:f>
        <x:v>0.5</x:v>
      </x:c>
      <x:c r="P273" s="9" t="n">
        <x:f>IF(K273=0,"n.a.",L273/K273)</x:f>
        <x:v>0.4</x:v>
      </x:c>
      <x:c r="Q273" s="9" t="n">
        <x:f>IF(K273=0,"n.a.",M273/K273)</x:f>
        <x:v>0.8</x:v>
      </x:c>
      <x:c r="R273" s="9" t="n">
        <x:f>IF(K273=0,"n.a.",N273/K273)</x:f>
        <x:v>0.06666666666666667</x:v>
      </x:c>
      <x:c r="S273" s="7" t="n">
        <x:v>-46</x:v>
      </x:c>
      <x:c r="T273" s="10" t="n">
        <x:v>0.06</x:v>
      </x:c>
      <x:c r="U273" s="7" t="n">
        <x:v>133</x:v>
      </x:c>
      <x:c r="V273" s="7" t="n">
        <x:v>100</x:v>
      </x:c>
    </x:row>
    <x:row r="274" ht="16" customHeight="1">
      <x:c r="A274" s="7" t="n">
        <x:v>271</x:v>
      </x:c>
      <x:c r="B274" s="8" t="n">
        <x:v>45927</x:v>
      </x:c>
      <x:c r="C274" s="7" t="str">
        <x:v>Sunset</x:v>
      </x:c>
      <x:c r="D274" s="7" t="str">
        <x:v>4th</x:v>
      </x:c>
      <x:c r="E274" s="7" t="str">
        <x:v>Astra</x:v>
      </x:c>
      <x:c r="F274" s="7" t="n">
        <x:v>8</x:v>
      </x:c>
      <x:c r="G274" s="7" t="n">
        <x:v>13</x:v>
      </x:c>
      <x:c r="H274" s="7" t="str">
        <x:f>IF(F274&gt;G274,"Win",IF(F274&lt;G274,"Loss","Draw"))</x:f>
        <x:v>Loss</x:v>
      </x:c>
      <x:c r="I274" s="7" t="n">
        <x:f>IF(H274="Win",1,0)</x:f>
        <x:v>0</x:v>
      </x:c>
      <x:c r="J274" s="7" t="n">
        <x:f>F274-G274</x:f>
        <x:v>-5</x:v>
      </x:c>
      <x:c r="K274" s="7" t="n">
        <x:f>F274+G274</x:f>
        <x:v>21</x:v>
      </x:c>
      <x:c r="L274" s="7" t="n">
        <x:v>17</x:v>
      </x:c>
      <x:c r="M274" s="7" t="n">
        <x:v>16</x:v>
      </x:c>
      <x:c r="N274" s="7" t="n">
        <x:v>4</x:v>
      </x:c>
      <x:c r="O274" s="9" t="n">
        <x:f>IF(M274=0,"n.a.",L274/M274)</x:f>
        <x:v>1.0625</x:v>
      </x:c>
      <x:c r="P274" s="9" t="n">
        <x:f>IF(K274=0,"n.a.",L274/K274)</x:f>
        <x:v>0.8095238095238095</x:v>
      </x:c>
      <x:c r="Q274" s="9" t="n">
        <x:f>IF(K274=0,"n.a.",M274/K274)</x:f>
        <x:v>0.7619047619047619</x:v>
      </x:c>
      <x:c r="R274" s="9" t="n">
        <x:f>IF(K274=0,"n.a.",N274/K274)</x:f>
        <x:v>0.19047619047619047</x:v>
      </x:c>
      <x:c r="S274" s="7" t="n">
        <x:v>34</x:v>
      </x:c>
      <x:c r="T274" s="10" t="n">
        <x:v>0.17</x:v>
      </x:c>
      <x:c r="U274" s="7" t="n">
        <x:v>232</x:v>
      </x:c>
      <x:c r="V274" s="7" t="n">
        <x:v>493</x:v>
      </x:c>
    </x:row>
    <x:row r="275" ht="16" customHeight="1">
      <x:c r="A275" s="7" t="n">
        <x:v>272</x:v>
      </x:c>
      <x:c r="B275" s="8" t="n">
        <x:v>45927</x:v>
      </x:c>
      <x:c r="C275" s="7" t="str">
        <x:v>Abyss</x:v>
      </x:c>
      <x:c r="D275" s="7" t="str">
        <x:v>3rd</x:v>
      </x:c>
      <x:c r="E275" s="7" t="str">
        <x:v>Neon</x:v>
      </x:c>
      <x:c r="F275" s="7" t="n">
        <x:v>6</x:v>
      </x:c>
      <x:c r="G275" s="7" t="n">
        <x:v>13</x:v>
      </x:c>
      <x:c r="H275" s="7" t="str">
        <x:f>IF(F275&gt;G275,"Win",IF(F275&lt;G275,"Loss","Draw"))</x:f>
        <x:v>Loss</x:v>
      </x:c>
      <x:c r="I275" s="7" t="n">
        <x:f>IF(H275="Win",1,0)</x:f>
        <x:v>0</x:v>
      </x:c>
      <x:c r="J275" s="7" t="n">
        <x:f>F275-G275</x:f>
        <x:v>-7</x:v>
      </x:c>
      <x:c r="K275" s="7" t="n">
        <x:f>F275+G275</x:f>
        <x:v>19</x:v>
      </x:c>
      <x:c r="L275" s="7" t="n">
        <x:v>14</x:v>
      </x:c>
      <x:c r="M275" s="7" t="n">
        <x:v>17</x:v>
      </x:c>
      <x:c r="N275" s="7" t="n">
        <x:v>2</x:v>
      </x:c>
      <x:c r="O275" s="9" t="n">
        <x:f>IF(M275=0,"n.a.",L275/M275)</x:f>
        <x:v>0.8235294117647058</x:v>
      </x:c>
      <x:c r="P275" s="9" t="n">
        <x:f>IF(K275=0,"n.a.",L275/K275)</x:f>
        <x:v>0.7368421052631579</x:v>
      </x:c>
      <x:c r="Q275" s="9" t="n">
        <x:f>IF(K275=0,"n.a.",M275/K275)</x:f>
        <x:v>0.8947368421052632</x:v>
      </x:c>
      <x:c r="R275" s="9" t="n">
        <x:f>IF(K275=0,"n.a.",N275/K275)</x:f>
        <x:v>0.10526315789473684</x:v>
      </x:c>
      <x:c r="S275" s="7" t="n">
        <x:v>-57</x:v>
      </x:c>
      <x:c r="T275" s="10" t="n">
        <x:v>0.14</x:v>
      </x:c>
      <x:c r="U275" s="7" t="n">
        <x:v>207</x:v>
      </x:c>
      <x:c r="V275" s="7" t="n">
        <x:v>242</x:v>
      </x:c>
    </x:row>
    <x:row r="276" ht="16" customHeight="1">
      <x:c r="A276" s="7" t="n">
        <x:v>273</x:v>
      </x:c>
      <x:c r="B276" s="8" t="n">
        <x:v>45927</x:v>
      </x:c>
      <x:c r="C276" s="7" t="str">
        <x:v>Bind</x:v>
      </x:c>
      <x:c r="D276" s="7" t="str">
        <x:v>9th</x:v>
      </x:c>
      <x:c r="E276" s="7" t="str">
        <x:v>Astra</x:v>
      </x:c>
      <x:c r="F276" s="7" t="n">
        <x:v>9</x:v>
      </x:c>
      <x:c r="G276" s="7" t="n">
        <x:v>13</x:v>
      </x:c>
      <x:c r="H276" s="7" t="str">
        <x:f>IF(F276&gt;G276,"Win",IF(F276&lt;G276,"Loss","Draw"))</x:f>
        <x:v>Loss</x:v>
      </x:c>
      <x:c r="I276" s="7" t="n">
        <x:f>IF(H276="Win",1,0)</x:f>
        <x:v>0</x:v>
      </x:c>
      <x:c r="J276" s="7" t="n">
        <x:f>F276-G276</x:f>
        <x:v>-4</x:v>
      </x:c>
      <x:c r="K276" s="7" t="n">
        <x:f>F276+G276</x:f>
        <x:v>22</x:v>
      </x:c>
      <x:c r="L276" s="7" t="n">
        <x:v>5</x:v>
      </x:c>
      <x:c r="M276" s="7" t="n">
        <x:v>19</x:v>
      </x:c>
      <x:c r="N276" s="7" t="n">
        <x:v>10</x:v>
      </x:c>
      <x:c r="O276" s="9" t="n">
        <x:f>IF(M276=0,"n.a.",L276/M276)</x:f>
        <x:v>0.2631578947368421</x:v>
      </x:c>
      <x:c r="P276" s="9" t="n">
        <x:f>IF(K276=0,"n.a.",L276/K276)</x:f>
        <x:v>0.22727272727272727</x:v>
      </x:c>
      <x:c r="Q276" s="9" t="n">
        <x:f>IF(K276=0,"n.a.",M276/K276)</x:f>
        <x:v>0.8636363636363636</x:v>
      </x:c>
      <x:c r="R276" s="9" t="n">
        <x:f>IF(K276=0,"n.a.",N276/K276)</x:f>
        <x:v>0.45454545454545453</x:v>
      </x:c>
      <x:c r="S276" s="7" t="n">
        <x:v>-100</x:v>
      </x:c>
      <x:c r="T276" s="10" t="n">
        <x:v>0.28</x:v>
      </x:c>
      <x:c r="U276" s="7" t="n">
        <x:v>99</x:v>
      </x:c>
      <x:c r="V276" s="7" t="n">
        <x:v>205</x:v>
      </x:c>
    </x:row>
    <x:row r="277" ht="16" customHeight="1">
      <x:c r="A277" s="7" t="n">
        <x:v>274</x:v>
      </x:c>
      <x:c r="B277" s="8" t="n">
        <x:v>45927</x:v>
      </x:c>
      <x:c r="C277" s="7" t="str">
        <x:v>Sunset</x:v>
      </x:c>
      <x:c r="D277" s="7" t="str">
        <x:v>MVP</x:v>
      </x:c>
      <x:c r="E277" s="7" t="str">
        <x:v>Astra</x:v>
      </x:c>
      <x:c r="F277" s="7" t="n">
        <x:v>13</x:v>
      </x:c>
      <x:c r="G277" s="7" t="n">
        <x:v>6</x:v>
      </x:c>
      <x:c r="H277" s="7" t="str">
        <x:f>IF(F277&gt;G277,"Win",IF(F277&lt;G277,"Loss","Draw"))</x:f>
        <x:v>Win</x:v>
      </x:c>
      <x:c r="I277" s="7" t="n">
        <x:f>IF(H277="Win",1,0)</x:f>
        <x:v>1</x:v>
      </x:c>
      <x:c r="J277" s="7" t="n">
        <x:f>F277-G277</x:f>
        <x:v>7</x:v>
      </x:c>
      <x:c r="K277" s="7" t="n">
        <x:f>F277+G277</x:f>
        <x:v>19</x:v>
      </x:c>
      <x:c r="L277" s="7" t="n">
        <x:v>23</x:v>
      </x:c>
      <x:c r="M277" s="7" t="n">
        <x:v>15</x:v>
      </x:c>
      <x:c r="N277" s="7" t="n">
        <x:v>4</x:v>
      </x:c>
      <x:c r="O277" s="9" t="n">
        <x:f>IF(M277=0,"n.a.",L277/M277)</x:f>
        <x:v>1.5333333333333334</x:v>
      </x:c>
      <x:c r="P277" s="9" t="n">
        <x:f>IF(K277=0,"n.a.",L277/K277)</x:f>
        <x:v>1.2105263157894737</x:v>
      </x:c>
      <x:c r="Q277" s="9" t="n">
        <x:f>IF(K277=0,"n.a.",M277/K277)</x:f>
        <x:v>0.7894736842105263</x:v>
      </x:c>
      <x:c r="R277" s="9" t="n">
        <x:f>IF(K277=0,"n.a.",N277/K277)</x:f>
        <x:v>0.21052631578947367</x:v>
      </x:c>
      <x:c r="S277" s="7" t="n">
        <x:v>32</x:v>
      </x:c>
      <x:c r="T277" s="10" t="n">
        <x:v>0.28</x:v>
      </x:c>
      <x:c r="U277" s="7" t="n">
        <x:v>320</x:v>
      </x:c>
      <x:c r="V277" s="7" t="n">
        <x:v>754</x:v>
      </x:c>
    </x:row>
    <x:row r="278" ht="16" customHeight="1">
      <x:c r="A278" s="7" t="n">
        <x:v>275</x:v>
      </x:c>
      <x:c r="B278" s="8" t="n">
        <x:v>45937</x:v>
      </x:c>
      <x:c r="C278" s="7" t="str">
        <x:v>Ascent</x:v>
      </x:c>
      <x:c r="D278" s="7" t="str">
        <x:v>5th</x:v>
      </x:c>
      <x:c r="E278" s="7" t="str">
        <x:v>Neon</x:v>
      </x:c>
      <x:c r="F278" s="7" t="n">
        <x:v>8</x:v>
      </x:c>
      <x:c r="G278" s="7" t="n">
        <x:v>13</x:v>
      </x:c>
      <x:c r="H278" s="7" t="str">
        <x:f>IF(F278&gt;G278,"Win",IF(F278&lt;G278,"Loss","Draw"))</x:f>
        <x:v>Loss</x:v>
      </x:c>
      <x:c r="I278" s="7" t="n">
        <x:f>IF(H278="Win",1,0)</x:f>
        <x:v>0</x:v>
      </x:c>
      <x:c r="J278" s="7" t="n">
        <x:f>F278-G278</x:f>
        <x:v>-5</x:v>
      </x:c>
      <x:c r="K278" s="7" t="n">
        <x:f>F278+G278</x:f>
        <x:v>21</x:v>
      </x:c>
      <x:c r="L278" s="7" t="n">
        <x:v>18</x:v>
      </x:c>
      <x:c r="M278" s="7" t="n">
        <x:v>17</x:v>
      </x:c>
      <x:c r="N278" s="7" t="n">
        <x:v>0</x:v>
      </x:c>
      <x:c r="O278" s="9" t="n">
        <x:f>IF(M278=0,"n.a.",L278/M278)</x:f>
        <x:v>1.0588235294117647</x:v>
      </x:c>
      <x:c r="P278" s="9" t="n">
        <x:f>IF(K278=0,"n.a.",L278/K278)</x:f>
        <x:v>0.8571428571428571</x:v>
      </x:c>
      <x:c r="Q278" s="9" t="n">
        <x:f>IF(K278=0,"n.a.",M278/K278)</x:f>
        <x:v>0.8095238095238095</x:v>
      </x:c>
      <x:c r="R278" s="9" t="n">
        <x:f>IF(K278=0,"n.a.",N278/K278)</x:f>
        <x:v>0</x:v>
      </x:c>
      <x:c r="S278" s="7" t="n">
        <x:v>-14</x:v>
      </x:c>
      <x:c r="T278" s="10" t="n">
        <x:v>0.24</x:v>
      </x:c>
      <x:c r="U278" s="7" t="n">
        <x:v>225</x:v>
      </x:c>
      <x:c r="V278" s="7" t="n">
        <x:v>460</x:v>
      </x:c>
    </x:row>
    <x:row r="279" ht="16" customHeight="1">
      <x:c r="A279" s="7" t="n">
        <x:v>276</x:v>
      </x:c>
      <x:c r="B279" s="8" t="n">
        <x:v>45937</x:v>
      </x:c>
      <x:c r="C279" s="7" t="str">
        <x:v>Ascent</x:v>
      </x:c>
      <x:c r="D279" s="7" t="str">
        <x:v>2nd</x:v>
      </x:c>
      <x:c r="E279" s="7" t="str">
        <x:v>Astra</x:v>
      </x:c>
      <x:c r="F279" s="7" t="n">
        <x:v>13</x:v>
      </x:c>
      <x:c r="G279" s="7" t="n">
        <x:v>8</x:v>
      </x:c>
      <x:c r="H279" s="7" t="str">
        <x:f>IF(F279&gt;G279,"Win",IF(F279&lt;G279,"Loss","Draw"))</x:f>
        <x:v>Win</x:v>
      </x:c>
      <x:c r="I279" s="7" t="n">
        <x:f>IF(H279="Win",1,0)</x:f>
        <x:v>1</x:v>
      </x:c>
      <x:c r="J279" s="7" t="n">
        <x:f>F279-G279</x:f>
        <x:v>5</x:v>
      </x:c>
      <x:c r="K279" s="7" t="n">
        <x:f>F279+G279</x:f>
        <x:v>21</x:v>
      </x:c>
      <x:c r="L279" s="7" t="n">
        <x:v>19</x:v>
      </x:c>
      <x:c r="M279" s="7" t="n">
        <x:v>15</x:v>
      </x:c>
      <x:c r="N279" s="7" t="n">
        <x:v>12</x:v>
      </x:c>
      <x:c r="O279" s="9" t="n">
        <x:f>IF(M279=0,"n.a.",L279/M279)</x:f>
        <x:v>1.2666666666666666</x:v>
      </x:c>
      <x:c r="P279" s="9" t="n">
        <x:f>IF(K279=0,"n.a.",L279/K279)</x:f>
        <x:v>0.9047619047619048</x:v>
      </x:c>
      <x:c r="Q279" s="9" t="n">
        <x:f>IF(K279=0,"n.a.",M279/K279)</x:f>
        <x:v>0.7142857142857143</x:v>
      </x:c>
      <x:c r="R279" s="9" t="n">
        <x:f>IF(K279=0,"n.a.",N279/K279)</x:f>
        <x:v>0.5714285714285714</x:v>
      </x:c>
      <x:c r="S279" s="7" t="n">
        <x:v>37</x:v>
      </x:c>
      <x:c r="T279" s="10" t="n">
        <x:v>0.09</x:v>
      </x:c>
      <x:c r="U279" s="7" t="n">
        <x:v>261</x:v>
      </x:c>
      <x:c r="V279" s="7" t="n">
        <x:v>871</x:v>
      </x:c>
    </x:row>
    <x:row r="280" ht="16" customHeight="1">
      <x:c r="A280" s="7" t="n">
        <x:v>277</x:v>
      </x:c>
      <x:c r="B280" s="8" t="n">
        <x:v>45938</x:v>
      </x:c>
      <x:c r="C280" s="7" t="str">
        <x:v>Haven</x:v>
      </x:c>
      <x:c r="D280" s="7" t="str">
        <x:v>6th</x:v>
      </x:c>
      <x:c r="E280" s="7" t="str">
        <x:v>Neon</x:v>
      </x:c>
      <x:c r="F280" s="7" t="n">
        <x:v>11</x:v>
      </x:c>
      <x:c r="G280" s="7" t="n">
        <x:v>13</x:v>
      </x:c>
      <x:c r="H280" s="7" t="str">
        <x:f>IF(F280&gt;G280,"Win",IF(F280&lt;G280,"Loss","Draw"))</x:f>
        <x:v>Loss</x:v>
      </x:c>
      <x:c r="I280" s="7" t="n">
        <x:f>IF(H280="Win",1,0)</x:f>
        <x:v>0</x:v>
      </x:c>
      <x:c r="J280" s="7" t="n">
        <x:f>F280-G280</x:f>
        <x:v>-2</x:v>
      </x:c>
      <x:c r="K280" s="7" t="n">
        <x:f>F280+G280</x:f>
        <x:v>24</x:v>
      </x:c>
      <x:c r="L280" s="7" t="n">
        <x:v>19</x:v>
      </x:c>
      <x:c r="M280" s="7" t="n">
        <x:v>17</x:v>
      </x:c>
      <x:c r="N280" s="7" t="n">
        <x:v>3</x:v>
      </x:c>
      <x:c r="O280" s="9" t="n">
        <x:f>IF(M280=0,"n.a.",L280/M280)</x:f>
        <x:v>1.1176470588235294</x:v>
      </x:c>
      <x:c r="P280" s="9" t="n">
        <x:f>IF(K280=0,"n.a.",L280/K280)</x:f>
        <x:v>0.7916666666666666</x:v>
      </x:c>
      <x:c r="Q280" s="9" t="n">
        <x:f>IF(K280=0,"n.a.",M280/K280)</x:f>
        <x:v>0.7083333333333334</x:v>
      </x:c>
      <x:c r="R280" s="9" t="n">
        <x:f>IF(K280=0,"n.a.",N280/K280)</x:f>
        <x:v>0.125</x:v>
      </x:c>
      <x:c r="S280" s="7" t="n">
        <x:v>-18</x:v>
      </x:c>
      <x:c r="T280" s="10" t="n">
        <x:v>0.24</x:v>
      </x:c>
      <x:c r="U280" s="7" t="n">
        <x:v>201</x:v>
      </x:c>
      <x:c r="V280" s="7" t="n">
        <x:v>411</x:v>
      </x:c>
    </x:row>
    <x:row r="281" ht="16" customHeight="1">
      <x:c r="A281" s="7" t="n">
        <x:v>278</x:v>
      </x:c>
      <x:c r="B281" s="8" t="n">
        <x:v>45939</x:v>
      </x:c>
      <x:c r="C281" s="7" t="str">
        <x:v>Ascent</x:v>
      </x:c>
      <x:c r="D281" s="7" t="str">
        <x:v>3rd</x:v>
      </x:c>
      <x:c r="E281" s="7" t="str">
        <x:v>Neon</x:v>
      </x:c>
      <x:c r="F281" s="7" t="n">
        <x:v>14</x:v>
      </x:c>
      <x:c r="G281" s="7" t="n">
        <x:v>14</x:v>
      </x:c>
      <x:c r="H281" s="7" t="str">
        <x:f>IF(F281&gt;G281,"Win",IF(F281&lt;G281,"Loss","Draw"))</x:f>
        <x:v>Draw</x:v>
      </x:c>
      <x:c r="I281" s="7" t="n">
        <x:f>IF(H281="Win",1,0)</x:f>
        <x:v>0</x:v>
      </x:c>
      <x:c r="J281" s="7" t="n">
        <x:f>F281-G281</x:f>
        <x:v>0</x:v>
      </x:c>
      <x:c r="K281" s="7" t="n">
        <x:f>F281+G281</x:f>
        <x:v>28</x:v>
      </x:c>
      <x:c r="L281" s="7" t="n">
        <x:v>23</x:v>
      </x:c>
      <x:c r="M281" s="7" t="n">
        <x:v>22</x:v>
      </x:c>
      <x:c r="N281" s="7" t="n">
        <x:v>4</x:v>
      </x:c>
      <x:c r="O281" s="9" t="n">
        <x:f>IF(M281=0,"n.a.",L281/M281)</x:f>
        <x:v>1.0454545454545454</x:v>
      </x:c>
      <x:c r="P281" s="9" t="n">
        <x:f>IF(K281=0,"n.a.",L281/K281)</x:f>
        <x:v>0.8214285714285714</x:v>
      </x:c>
      <x:c r="Q281" s="9" t="n">
        <x:f>IF(K281=0,"n.a.",M281/K281)</x:f>
        <x:v>0.7857142857142857</x:v>
      </x:c>
      <x:c r="R281" s="9" t="n">
        <x:f>IF(K281=0,"n.a.",N281/K281)</x:f>
        <x:v>0.14285714285714285</x:v>
      </x:c>
      <x:c r="S281" s="7" t="n">
        <x:v>-14</x:v>
      </x:c>
      <x:c r="T281" s="10" t="n">
        <x:v>0.28</x:v>
      </x:c>
      <x:c r="U281" s="7" t="n">
        <x:v>239</x:v>
      </x:c>
      <x:c r="V281" s="7" t="n">
        <x:v>503</x:v>
      </x:c>
    </x:row>
    <x:row r="282" ht="16" customHeight="1">
      <x:c r="A282" s="7" t="n">
        <x:v>279</x:v>
      </x:c>
      <x:c r="B282" s="8" t="n">
        <x:v>45939</x:v>
      </x:c>
      <x:c r="C282" s="7" t="str">
        <x:v>Sunset</x:v>
      </x:c>
      <x:c r="D282" s="7" t="str">
        <x:v>MVP</x:v>
      </x:c>
      <x:c r="E282" s="7" t="str">
        <x:v>Neon</x:v>
      </x:c>
      <x:c r="F282" s="7" t="n">
        <x:v>13</x:v>
      </x:c>
      <x:c r="G282" s="7" t="n">
        <x:v>8</x:v>
      </x:c>
      <x:c r="H282" s="7" t="str">
        <x:f>IF(F282&gt;G282,"Win",IF(F282&lt;G282,"Loss","Draw"))</x:f>
        <x:v>Win</x:v>
      </x:c>
      <x:c r="I282" s="7" t="n">
        <x:f>IF(H282="Win",1,0)</x:f>
        <x:v>1</x:v>
      </x:c>
      <x:c r="J282" s="7" t="n">
        <x:f>F282-G282</x:f>
        <x:v>5</x:v>
      </x:c>
      <x:c r="K282" s="7" t="n">
        <x:f>F282+G282</x:f>
        <x:v>21</x:v>
      </x:c>
      <x:c r="L282" s="7" t="n">
        <x:v>33</x:v>
      </x:c>
      <x:c r="M282" s="7" t="n">
        <x:v>13</x:v>
      </x:c>
      <x:c r="N282" s="7" t="n">
        <x:v>4</x:v>
      </x:c>
      <x:c r="O282" s="9" t="n">
        <x:f>IF(M282=0,"n.a.",L282/M282)</x:f>
        <x:v>2.5384615384615383</x:v>
      </x:c>
      <x:c r="P282" s="9" t="n">
        <x:f>IF(K282=0,"n.a.",L282/K282)</x:f>
        <x:v>1.5714285714285714</x:v>
      </x:c>
      <x:c r="Q282" s="9" t="n">
        <x:f>IF(K282=0,"n.a.",M282/K282)</x:f>
        <x:v>0.6190476190476191</x:v>
      </x:c>
      <x:c r="R282" s="9" t="n">
        <x:f>IF(K282=0,"n.a.",N282/K282)</x:f>
        <x:v>0.19047619047619047</x:v>
      </x:c>
      <x:c r="S282" s="7" t="n">
        <x:v>128</x:v>
      </x:c>
      <x:c r="T282" s="10" t="n">
        <x:v>0.33</x:v>
      </x:c>
      <x:c r="U282" s="7" t="n">
        <x:v>442</x:v>
      </x:c>
      <x:c r="V282" s="7" t="n">
        <x:v>978</x:v>
      </x:c>
    </x:row>
    <x:row r="283" ht="16" customHeight="1">
      <x:c r="A283" s="7" t="n">
        <x:v>280</x:v>
      </x:c>
      <x:c r="B283" s="8" t="n">
        <x:v>45939</x:v>
      </x:c>
      <x:c r="C283" s="7" t="str">
        <x:v>Haven</x:v>
      </x:c>
      <x:c r="D283" s="7" t="str">
        <x:v>9th</x:v>
      </x:c>
      <x:c r="E283" s="7" t="str">
        <x:v>Omen</x:v>
      </x:c>
      <x:c r="F283" s="7" t="n">
        <x:v>13</x:v>
      </x:c>
      <x:c r="G283" s="7" t="n">
        <x:v>15</x:v>
      </x:c>
      <x:c r="H283" s="7" t="str">
        <x:f>IF(F283&gt;G283,"Win",IF(F283&lt;G283,"Loss","Draw"))</x:f>
        <x:v>Loss</x:v>
      </x:c>
      <x:c r="I283" s="7" t="n">
        <x:f>IF(H283="Win",1,0)</x:f>
        <x:v>0</x:v>
      </x:c>
      <x:c r="J283" s="7" t="n">
        <x:f>F283-G283</x:f>
        <x:v>-2</x:v>
      </x:c>
      <x:c r="K283" s="7" t="n">
        <x:f>F283+G283</x:f>
        <x:v>28</x:v>
      </x:c>
      <x:c r="L283" s="7" t="n">
        <x:v>13</x:v>
      </x:c>
      <x:c r="M283" s="7" t="n">
        <x:v>25</x:v>
      </x:c>
      <x:c r="N283" s="7" t="n">
        <x:v>3</x:v>
      </x:c>
      <x:c r="O283" s="9" t="n">
        <x:f>IF(M283=0,"n.a.",L283/M283)</x:f>
        <x:v>0.52</x:v>
      </x:c>
      <x:c r="P283" s="9" t="n">
        <x:f>IF(K283=0,"n.a.",L283/K283)</x:f>
        <x:v>0.4642857142857143</x:v>
      </x:c>
      <x:c r="Q283" s="9" t="n">
        <x:f>IF(K283=0,"n.a.",M283/K283)</x:f>
        <x:v>0.8928571428571429</x:v>
      </x:c>
      <x:c r="R283" s="9" t="n">
        <x:f>IF(K283=0,"n.a.",N283/K283)</x:f>
        <x:v>0.10714285714285714</x:v>
      </x:c>
      <x:c r="S283" s="7" t="n">
        <x:v>-96</x:v>
      </x:c>
      <x:c r="T283" s="10" t="n">
        <x:v>0.16</x:v>
      </x:c>
      <x:c r="U283" s="7" t="n">
        <x:v>122</x:v>
      </x:c>
      <x:c r="V283" s="7" t="n">
        <x:v>184</x:v>
      </x:c>
    </x:row>
    <x:row r="284" ht="16" customHeight="1">
      <x:c r="A284" s="7" t="n">
        <x:v>281</x:v>
      </x:c>
      <x:c r="B284" s="8" t="n">
        <x:v>45939</x:v>
      </x:c>
      <x:c r="C284" s="7" t="str">
        <x:v>Corrode</x:v>
      </x:c>
      <x:c r="D284" s="7" t="str">
        <x:v>6th</x:v>
      </x:c>
      <x:c r="E284" s="7" t="str">
        <x:v>Neon</x:v>
      </x:c>
      <x:c r="F284" s="7" t="n">
        <x:v>8</x:v>
      </x:c>
      <x:c r="G284" s="7" t="n">
        <x:v>13</x:v>
      </x:c>
      <x:c r="H284" s="7" t="str">
        <x:f>IF(F284&gt;G284,"Win",IF(F284&lt;G284,"Loss","Draw"))</x:f>
        <x:v>Loss</x:v>
      </x:c>
      <x:c r="I284" s="7" t="n">
        <x:f>IF(H284="Win",1,0)</x:f>
        <x:v>0</x:v>
      </x:c>
      <x:c r="J284" s="7" t="n">
        <x:f>F284-G284</x:f>
        <x:v>-5</x:v>
      </x:c>
      <x:c r="K284" s="7" t="n">
        <x:f>F284+G284</x:f>
        <x:v>21</x:v>
      </x:c>
      <x:c r="L284" s="7" t="n">
        <x:v>14</x:v>
      </x:c>
      <x:c r="M284" s="7" t="n">
        <x:v>17</x:v>
      </x:c>
      <x:c r="N284" s="7" t="n">
        <x:v>2</x:v>
      </x:c>
      <x:c r="O284" s="9" t="n">
        <x:f>IF(M284=0,"n.a.",L284/M284)</x:f>
        <x:v>0.8235294117647058</x:v>
      </x:c>
      <x:c r="P284" s="9" t="n">
        <x:f>IF(K284=0,"n.a.",L284/K284)</x:f>
        <x:v>0.6666666666666666</x:v>
      </x:c>
      <x:c r="Q284" s="9" t="n">
        <x:f>IF(K284=0,"n.a.",M284/K284)</x:f>
        <x:v>0.8095238095238095</x:v>
      </x:c>
      <x:c r="R284" s="9" t="n">
        <x:f>IF(K284=0,"n.a.",N284/K284)</x:f>
        <x:v>0.09523809523809523</x:v>
      </x:c>
      <x:c r="S284" s="7" t="n">
        <x:v>-29</x:v>
      </x:c>
      <x:c r="T284" s="10" t="n">
        <x:v>0.22</x:v>
      </x:c>
      <x:c r="U284" s="7" t="n">
        <x:v>190</x:v>
      </x:c>
      <x:c r="V284" s="7" t="n">
        <x:v>288</x:v>
      </x:c>
    </x:row>
    <x:row r="285" ht="16" customHeight="1">
      <x:c r="A285" s="7" t="n">
        <x:v>282</x:v>
      </x:c>
      <x:c r="B285" s="8" t="n">
        <x:v>45939</x:v>
      </x:c>
      <x:c r="C285" s="7" t="str">
        <x:v>Sunset</x:v>
      </x:c>
      <x:c r="D285" s="7" t="str">
        <x:v>2nd</x:v>
      </x:c>
      <x:c r="E285" s="7" t="str">
        <x:v>Neon</x:v>
      </x:c>
      <x:c r="F285" s="7" t="n">
        <x:v>9</x:v>
      </x:c>
      <x:c r="G285" s="7" t="n">
        <x:v>7</x:v>
      </x:c>
      <x:c r="H285" s="7" t="str">
        <x:f>IF(F285&gt;G285,"Win",IF(F285&lt;G285,"Loss","Draw"))</x:f>
        <x:v>Win</x:v>
      </x:c>
      <x:c r="I285" s="7" t="n">
        <x:f>IF(H285="Win",1,0)</x:f>
        <x:v>1</x:v>
      </x:c>
      <x:c r="J285" s="7" t="n">
        <x:f>F285-G285</x:f>
        <x:v>2</x:v>
      </x:c>
      <x:c r="K285" s="7" t="n">
        <x:f>F285+G285</x:f>
        <x:v>16</x:v>
      </x:c>
      <x:c r="L285" s="7" t="n">
        <x:v>17</x:v>
      </x:c>
      <x:c r="M285" s="7" t="n">
        <x:v>10</x:v>
      </x:c>
      <x:c r="N285" s="7" t="n">
        <x:v>6</x:v>
      </x:c>
      <x:c r="O285" s="9" t="n">
        <x:f>IF(M285=0,"n.a.",L285/M285)</x:f>
        <x:v>1.7</x:v>
      </x:c>
      <x:c r="P285" s="9" t="n">
        <x:f>IF(K285=0,"n.a.",L285/K285)</x:f>
        <x:v>1.0625</x:v>
      </x:c>
      <x:c r="Q285" s="9" t="n">
        <x:f>IF(K285=0,"n.a.",M285/K285)</x:f>
        <x:v>0.625</x:v>
      </x:c>
      <x:c r="R285" s="9" t="n">
        <x:f>IF(K285=0,"n.a.",N285/K285)</x:f>
        <x:v>0.375</x:v>
      </x:c>
      <x:c r="S285" s="7" t="n">
        <x:v>78</x:v>
      </x:c>
      <x:c r="T285" s="10" t="n">
        <x:v>0.27</x:v>
      </x:c>
      <x:c r="U285" s="7" t="n">
        <x:v>278</x:v>
      </x:c>
      <x:c r="V285" s="7" t="n">
        <x:v>940</x:v>
      </x:c>
    </x:row>
    <x:row r="286" ht="16" customHeight="1">
      <x:c r="A286" s="7" t="n">
        <x:v>283</x:v>
      </x:c>
      <x:c r="B286" s="8" t="n">
        <x:v>45941</x:v>
      </x:c>
      <x:c r="C286" s="7" t="str">
        <x:v>Haven</x:v>
      </x:c>
      <x:c r="D286" s="7" t="str">
        <x:v>MVP</x:v>
      </x:c>
      <x:c r="E286" s="7" t="str">
        <x:v>Neon</x:v>
      </x:c>
      <x:c r="F286" s="7" t="n">
        <x:v>9</x:v>
      </x:c>
      <x:c r="G286" s="7" t="n">
        <x:v>13</x:v>
      </x:c>
      <x:c r="H286" s="7" t="str">
        <x:f>IF(F286&gt;G286,"Win",IF(F286&lt;G286,"Loss","Draw"))</x:f>
        <x:v>Loss</x:v>
      </x:c>
      <x:c r="I286" s="7" t="n">
        <x:f>IF(H286="Win",1,0)</x:f>
        <x:v>0</x:v>
      </x:c>
      <x:c r="J286" s="7" t="n">
        <x:f>F286-G286</x:f>
        <x:v>-4</x:v>
      </x:c>
      <x:c r="K286" s="7" t="n">
        <x:f>F286+G286</x:f>
        <x:v>22</x:v>
      </x:c>
      <x:c r="L286" s="7" t="n">
        <x:v>26</x:v>
      </x:c>
      <x:c r="M286" s="7" t="n">
        <x:v>17</x:v>
      </x:c>
      <x:c r="N286" s="7" t="n">
        <x:v>2</x:v>
      </x:c>
      <x:c r="O286" s="9" t="n">
        <x:f>IF(M286=0,"n.a.",L286/M286)</x:f>
        <x:v>1.5294117647058822</x:v>
      </x:c>
      <x:c r="P286" s="9" t="n">
        <x:f>IF(K286=0,"n.a.",L286/K286)</x:f>
        <x:v>1.1818181818181819</x:v>
      </x:c>
      <x:c r="Q286" s="9" t="n">
        <x:f>IF(K286=0,"n.a.",M286/K286)</x:f>
        <x:v>0.7727272727272727</x:v>
      </x:c>
      <x:c r="R286" s="9" t="n">
        <x:f>IF(K286=0,"n.a.",N286/K286)</x:f>
        <x:v>0.09090909090909091</x:v>
      </x:c>
      <x:c r="S286" s="7" t="n">
        <x:v>73</x:v>
      </x:c>
      <x:c r="T286" s="10" t="n">
        <x:v>0.29</x:v>
      </x:c>
      <x:c r="U286" s="7" t="n">
        <x:v>324</x:v>
      </x:c>
      <x:c r="V286" s="7" t="n">
        <x:v>843</x:v>
      </x:c>
    </x:row>
    <x:row r="287" ht="16" customHeight="1">
      <x:c r="A287" s="7" t="n">
        <x:v>284</x:v>
      </x:c>
      <x:c r="B287" s="8" t="n">
        <x:v>45941</x:v>
      </x:c>
      <x:c r="C287" s="7" t="str">
        <x:v>Ascent</x:v>
      </x:c>
      <x:c r="D287" s="7" t="str">
        <x:v>MVP</x:v>
      </x:c>
      <x:c r="E287" s="7" t="str">
        <x:v>Neon</x:v>
      </x:c>
      <x:c r="F287" s="7" t="n">
        <x:v>10</x:v>
      </x:c>
      <x:c r="G287" s="7" t="n">
        <x:v>13</x:v>
      </x:c>
      <x:c r="H287" s="7" t="str">
        <x:f>IF(F287&gt;G287,"Win",IF(F287&lt;G287,"Loss","Draw"))</x:f>
        <x:v>Loss</x:v>
      </x:c>
      <x:c r="I287" s="7" t="n">
        <x:f>IF(H287="Win",1,0)</x:f>
        <x:v>0</x:v>
      </x:c>
      <x:c r="J287" s="7" t="n">
        <x:f>F287-G287</x:f>
        <x:v>-3</x:v>
      </x:c>
      <x:c r="K287" s="7" t="n">
        <x:f>F287+G287</x:f>
        <x:v>23</x:v>
      </x:c>
      <x:c r="L287" s="7" t="n">
        <x:v>25</x:v>
      </x:c>
      <x:c r="M287" s="7" t="n">
        <x:v>18</x:v>
      </x:c>
      <x:c r="N287" s="7" t="n">
        <x:v>2</x:v>
      </x:c>
      <x:c r="O287" s="9" t="n">
        <x:f>IF(M287=0,"n.a.",L287/M287)</x:f>
        <x:v>1.3888888888888888</x:v>
      </x:c>
      <x:c r="P287" s="9" t="n">
        <x:f>IF(K287=0,"n.a.",L287/K287)</x:f>
        <x:v>1.0869565217391304</x:v>
      </x:c>
      <x:c r="Q287" s="9" t="n">
        <x:f>IF(K287=0,"n.a.",M287/K287)</x:f>
        <x:v>0.782608695652174</x:v>
      </x:c>
      <x:c r="R287" s="9" t="n">
        <x:f>IF(K287=0,"n.a.",N287/K287)</x:f>
        <x:v>0.08695652173913043</x:v>
      </x:c>
      <x:c r="S287" s="7" t="n">
        <x:v>29</x:v>
      </x:c>
      <x:c r="T287" s="10" t="n">
        <x:v>0.25</x:v>
      </x:c>
      <x:c r="U287" s="7" t="n">
        <x:v>296</x:v>
      </x:c>
      <x:c r="V287" s="7" t="n">
        <x:v>720</x:v>
      </x:c>
    </x:row>
    <x:row r="288" ht="16" customHeight="1">
      <x:c r="A288" s="7" t="n">
        <x:v>285</x:v>
      </x:c>
      <x:c r="B288" s="8" t="n">
        <x:v>45944</x:v>
      </x:c>
      <x:c r="C288" s="7" t="str">
        <x:v>Sunset</x:v>
      </x:c>
      <x:c r="D288" s="7" t="str">
        <x:v>9th</x:v>
      </x:c>
      <x:c r="E288" s="7" t="str">
        <x:v>Neon</x:v>
      </x:c>
      <x:c r="F288" s="7" t="n">
        <x:v>6</x:v>
      </x:c>
      <x:c r="G288" s="7" t="n">
        <x:v>13</x:v>
      </x:c>
      <x:c r="H288" s="7" t="str">
        <x:f>IF(F288&gt;G288,"Win",IF(F288&lt;G288,"Loss","Draw"))</x:f>
        <x:v>Loss</x:v>
      </x:c>
      <x:c r="I288" s="7" t="n">
        <x:f>IF(H288="Win",1,0)</x:f>
        <x:v>0</x:v>
      </x:c>
      <x:c r="J288" s="7" t="n">
        <x:f>F288-G288</x:f>
        <x:v>-7</x:v>
      </x:c>
      <x:c r="K288" s="7" t="n">
        <x:f>F288+G288</x:f>
        <x:v>19</x:v>
      </x:c>
      <x:c r="L288" s="7" t="n">
        <x:v>10</x:v>
      </x:c>
      <x:c r="M288" s="7" t="n">
        <x:v>15</x:v>
      </x:c>
      <x:c r="N288" s="7" t="n">
        <x:v>3</x:v>
      </x:c>
      <x:c r="O288" s="9" t="n">
        <x:f>IF(M288=0,"n.a.",L288/M288)</x:f>
        <x:v>0.6666666666666666</x:v>
      </x:c>
      <x:c r="P288" s="9" t="n">
        <x:f>IF(K288=0,"n.a.",L288/K288)</x:f>
        <x:v>0.5263157894736842</x:v>
      </x:c>
      <x:c r="Q288" s="9" t="n">
        <x:f>IF(K288=0,"n.a.",M288/K288)</x:f>
        <x:v>0.7894736842105263</x:v>
      </x:c>
      <x:c r="R288" s="9" t="n">
        <x:f>IF(K288=0,"n.a.",N288/K288)</x:f>
        <x:v>0.15789473684210525</x:v>
      </x:c>
      <x:c r="S288" s="7" t="n">
        <x:v>-26</x:v>
      </x:c>
      <x:c r="T288" s="10" t="n">
        <x:v>0.14</x:v>
      </x:c>
      <x:c r="U288" s="7" t="n">
        <x:v>169</x:v>
      </x:c>
      <x:c r="V288" s="7" t="n">
        <x:v>335</x:v>
      </x:c>
    </x:row>
    <x:row r="289" ht="16" customHeight="1">
      <x:c r="A289" s="7" t="n">
        <x:v>286</x:v>
      </x:c>
      <x:c r="B289" s="8" t="n">
        <x:v>45944</x:v>
      </x:c>
      <x:c r="C289" s="7" t="str">
        <x:v>Corrode</x:v>
      </x:c>
      <x:c r="D289" s="7" t="str">
        <x:v>MVP</x:v>
      </x:c>
      <x:c r="E289" s="7" t="str">
        <x:v>Neon</x:v>
      </x:c>
      <x:c r="F289" s="7" t="n">
        <x:v>13</x:v>
      </x:c>
      <x:c r="G289" s="7" t="n">
        <x:v>5</x:v>
      </x:c>
      <x:c r="H289" s="7" t="str">
        <x:f>IF(F289&gt;G289,"Win",IF(F289&lt;G289,"Loss","Draw"))</x:f>
        <x:v>Win</x:v>
      </x:c>
      <x:c r="I289" s="7" t="n">
        <x:f>IF(H289="Win",1,0)</x:f>
        <x:v>1</x:v>
      </x:c>
      <x:c r="J289" s="7" t="n">
        <x:f>F289-G289</x:f>
        <x:v>8</x:v>
      </x:c>
      <x:c r="K289" s="7" t="n">
        <x:f>F289+G289</x:f>
        <x:v>18</x:v>
      </x:c>
      <x:c r="L289" s="7" t="n">
        <x:v>26</x:v>
      </x:c>
      <x:c r="M289" s="7" t="n">
        <x:v>12</x:v>
      </x:c>
      <x:c r="N289" s="7" t="n">
        <x:v>2</x:v>
      </x:c>
      <x:c r="O289" s="9" t="n">
        <x:f>IF(M289=0,"n.a.",L289/M289)</x:f>
        <x:v>2.1666666666666665</x:v>
      </x:c>
      <x:c r="P289" s="9" t="n">
        <x:f>IF(K289=0,"n.a.",L289/K289)</x:f>
        <x:v>1.4444444444444444</x:v>
      </x:c>
      <x:c r="Q289" s="9" t="n">
        <x:f>IF(K289=0,"n.a.",M289/K289)</x:f>
        <x:v>0.6666666666666666</x:v>
      </x:c>
      <x:c r="R289" s="9" t="n">
        <x:f>IF(K289=0,"n.a.",N289/K289)</x:f>
        <x:v>0.1111111111111111</x:v>
      </x:c>
      <x:c r="S289" s="7" t="n">
        <x:v>138</x:v>
      </x:c>
      <x:c r="T289" s="10" t="n">
        <x:v>0.24</x:v>
      </x:c>
      <x:c r="U289" s="7" t="n">
        <x:v>414</x:v>
      </x:c>
      <x:c r="V289" s="7" t="n">
        <x:v>865</x:v>
      </x:c>
    </x:row>
    <x:row r="290" ht="16" customHeight="1">
      <x:c r="A290" s="7" t="n">
        <x:v>287</x:v>
      </x:c>
      <x:c r="B290" s="8" t="n">
        <x:v>45944</x:v>
      </x:c>
      <x:c r="C290" s="7" t="str">
        <x:v>Bind</x:v>
      </x:c>
      <x:c r="D290" s="7" t="str">
        <x:v>2nd</x:v>
      </x:c>
      <x:c r="E290" s="7" t="str">
        <x:v>Astra</x:v>
      </x:c>
      <x:c r="F290" s="7" t="n">
        <x:v>13</x:v>
      </x:c>
      <x:c r="G290" s="7" t="n">
        <x:v>5</x:v>
      </x:c>
      <x:c r="H290" s="7" t="str">
        <x:f>IF(F290&gt;G290,"Win",IF(F290&lt;G290,"Loss","Draw"))</x:f>
        <x:v>Win</x:v>
      </x:c>
      <x:c r="I290" s="7" t="n">
        <x:f>IF(H290="Win",1,0)</x:f>
        <x:v>1</x:v>
      </x:c>
      <x:c r="J290" s="7" t="n">
        <x:f>F290-G290</x:f>
        <x:v>8</x:v>
      </x:c>
      <x:c r="K290" s="7" t="n">
        <x:f>F290+G290</x:f>
        <x:v>18</x:v>
      </x:c>
      <x:c r="L290" s="7" t="n">
        <x:v>20</x:v>
      </x:c>
      <x:c r="M290" s="7" t="n">
        <x:v>10</x:v>
      </x:c>
      <x:c r="N290" s="7" t="n">
        <x:v>5</x:v>
      </x:c>
      <x:c r="O290" s="9" t="n">
        <x:f>IF(M290=0,"n.a.",L290/M290)</x:f>
        <x:v>2</x:v>
      </x:c>
      <x:c r="P290" s="9" t="n">
        <x:f>IF(K290=0,"n.a.",L290/K290)</x:f>
        <x:v>1.1111111111111112</x:v>
      </x:c>
      <x:c r="Q290" s="9" t="n">
        <x:f>IF(K290=0,"n.a.",M290/K290)</x:f>
        <x:v>0.5555555555555556</x:v>
      </x:c>
      <x:c r="R290" s="9" t="n">
        <x:f>IF(K290=0,"n.a.",N290/K290)</x:f>
        <x:v>0.2777777777777778</x:v>
      </x:c>
      <x:c r="S290" s="7" t="n">
        <x:v>50</x:v>
      </x:c>
      <x:c r="T290" s="10" t="n">
        <x:v>0.47</x:v>
      </x:c>
      <x:c r="U290" s="7" t="n">
        <x:v>268</x:v>
      </x:c>
      <x:c r="V290" s="7" t="n">
        <x:v>878</x:v>
      </x:c>
    </x:row>
    <x:row r="291" ht="16" customHeight="1">
      <x:c r="A291" s="7" t="n">
        <x:v>288</x:v>
      </x:c>
      <x:c r="B291" s="8" t="n">
        <x:v>45945</x:v>
      </x:c>
      <x:c r="C291" s="7" t="str">
        <x:v>Abyss</x:v>
      </x:c>
      <x:c r="D291" s="7" t="str">
        <x:v>4th</x:v>
      </x:c>
      <x:c r="E291" s="7" t="str">
        <x:v>Astra</x:v>
      </x:c>
      <x:c r="F291" s="7" t="n">
        <x:v>10</x:v>
      </x:c>
      <x:c r="G291" s="7" t="n">
        <x:v>13</x:v>
      </x:c>
      <x:c r="H291" s="7" t="str">
        <x:f>IF(F291&gt;G291,"Win",IF(F291&lt;G291,"Loss","Draw"))</x:f>
        <x:v>Loss</x:v>
      </x:c>
      <x:c r="I291" s="7" t="n">
        <x:f>IF(H291="Win",1,0)</x:f>
        <x:v>0</x:v>
      </x:c>
      <x:c r="J291" s="7" t="n">
        <x:f>F291-G291</x:f>
        <x:v>-3</x:v>
      </x:c>
      <x:c r="K291" s="7" t="n">
        <x:f>F291+G291</x:f>
        <x:v>23</x:v>
      </x:c>
      <x:c r="L291" s="7" t="n">
        <x:v>19</x:v>
      </x:c>
      <x:c r="M291" s="7" t="n">
        <x:v>18</x:v>
      </x:c>
      <x:c r="N291" s="7" t="n">
        <x:v>11</x:v>
      </x:c>
      <x:c r="O291" s="9" t="n">
        <x:f>IF(M291=0,"n.a.",L291/M291)</x:f>
        <x:v>1.0555555555555556</x:v>
      </x:c>
      <x:c r="P291" s="9" t="n">
        <x:f>IF(K291=0,"n.a.",L291/K291)</x:f>
        <x:v>0.8260869565217391</x:v>
      </x:c>
      <x:c r="Q291" s="9" t="n">
        <x:f>IF(K291=0,"n.a.",M291/K291)</x:f>
        <x:v>0.782608695652174</x:v>
      </x:c>
      <x:c r="R291" s="9" t="n">
        <x:f>IF(K291=0,"n.a.",N291/K291)</x:f>
        <x:v>0.4782608695652174</x:v>
      </x:c>
      <x:c r="S291" s="7" t="n">
        <x:v>2</x:v>
      </x:c>
      <x:c r="T291" s="10" t="n">
        <x:v>0.28</x:v>
      </x:c>
      <x:c r="U291" s="7" t="n">
        <x:v>235</x:v>
      </x:c>
      <x:c r="V291" s="7" t="n">
        <x:v>645</x:v>
      </x:c>
    </x:row>
    <x:row r="292" ht="16" customHeight="1">
      <x:c r="A292" s="7" t="n">
        <x:v>289</x:v>
      </x:c>
      <x:c r="B292" s="8" t="n">
        <x:v>45945</x:v>
      </x:c>
      <x:c r="C292" s="7" t="str">
        <x:v>Haven</x:v>
      </x:c>
      <x:c r="D292" s="7" t="str">
        <x:v>7th</x:v>
      </x:c>
      <x:c r="E292" s="7" t="str">
        <x:v>Neon</x:v>
      </x:c>
      <x:c r="F292" s="7" t="n">
        <x:v>4</x:v>
      </x:c>
      <x:c r="G292" s="7" t="n">
        <x:v>13</x:v>
      </x:c>
      <x:c r="H292" s="7" t="str">
        <x:f>IF(F292&gt;G292,"Win",IF(F292&lt;G292,"Loss","Draw"))</x:f>
        <x:v>Loss</x:v>
      </x:c>
      <x:c r="I292" s="7" t="n">
        <x:f>IF(H292="Win",1,0)</x:f>
        <x:v>0</x:v>
      </x:c>
      <x:c r="J292" s="7" t="n">
        <x:f>F292-G292</x:f>
        <x:v>-9</x:v>
      </x:c>
      <x:c r="K292" s="7" t="n">
        <x:f>F292+G292</x:f>
        <x:v>17</x:v>
      </x:c>
      <x:c r="L292" s="7" t="n">
        <x:v>9</x:v>
      </x:c>
      <x:c r="M292" s="7" t="n">
        <x:v>16</x:v>
      </x:c>
      <x:c r="N292" s="7" t="n">
        <x:v>1</x:v>
      </x:c>
      <x:c r="O292" s="9" t="n">
        <x:f>IF(M292=0,"n.a.",L292/M292)</x:f>
        <x:v>0.5625</x:v>
      </x:c>
      <x:c r="P292" s="9" t="n">
        <x:f>IF(K292=0,"n.a.",L292/K292)</x:f>
        <x:v>0.5294117647058824</x:v>
      </x:c>
      <x:c r="Q292" s="9" t="n">
        <x:f>IF(K292=0,"n.a.",M292/K292)</x:f>
        <x:v>0.9411764705882353</x:v>
      </x:c>
      <x:c r="R292" s="9" t="n">
        <x:f>IF(K292=0,"n.a.",N292/K292)</x:f>
        <x:v>0.058823529411764705</x:v>
      </x:c>
      <x:c r="S292" s="7" t="n">
        <x:v>-71</x:v>
      </x:c>
      <x:c r="T292" s="10" t="n">
        <x:v>0.16</x:v>
      </x:c>
      <x:c r="U292" s="7" t="n">
        <x:v>153</x:v>
      </x:c>
      <x:c r="V292" s="7" t="n">
        <x:v>110</x:v>
      </x:c>
    </x:row>
    <x:row r="293" ht="16" customHeight="1">
      <x:c r="A293" s="7" t="n">
        <x:v>290</x:v>
      </x:c>
      <x:c r="B293" s="8" t="n">
        <x:v>45947</x:v>
      </x:c>
      <x:c r="C293" s="7" t="str">
        <x:v>Bind</x:v>
      </x:c>
      <x:c r="D293" s="7" t="str">
        <x:v>5th</x:v>
      </x:c>
      <x:c r="E293" s="7" t="str">
        <x:v>Sova</x:v>
      </x:c>
      <x:c r="F293" s="7" t="n">
        <x:v>14</x:v>
      </x:c>
      <x:c r="G293" s="7" t="n">
        <x:v>16</x:v>
      </x:c>
      <x:c r="H293" s="7" t="str">
        <x:f>IF(F293&gt;G293,"Win",IF(F293&lt;G293,"Loss","Draw"))</x:f>
        <x:v>Loss</x:v>
      </x:c>
      <x:c r="I293" s="7" t="n">
        <x:f>IF(H293="Win",1,0)</x:f>
        <x:v>0</x:v>
      </x:c>
      <x:c r="J293" s="7" t="n">
        <x:f>F293-G293</x:f>
        <x:v>-2</x:v>
      </x:c>
      <x:c r="K293" s="7" t="n">
        <x:f>F293+G293</x:f>
        <x:v>30</x:v>
      </x:c>
      <x:c r="L293" s="7" t="n">
        <x:v>23</x:v>
      </x:c>
      <x:c r="M293" s="7" t="n">
        <x:v>25</x:v>
      </x:c>
      <x:c r="N293" s="7" t="n">
        <x:v>8</x:v>
      </x:c>
      <x:c r="O293" s="9" t="n">
        <x:f>IF(M293=0,"n.a.",L293/M293)</x:f>
        <x:v>0.92</x:v>
      </x:c>
      <x:c r="P293" s="9" t="n">
        <x:f>IF(K293=0,"n.a.",L293/K293)</x:f>
        <x:v>0.7666666666666667</x:v>
      </x:c>
      <x:c r="Q293" s="9" t="n">
        <x:f>IF(K293=0,"n.a.",M293/K293)</x:f>
        <x:v>0.8333333333333334</x:v>
      </x:c>
      <x:c r="R293" s="9" t="n">
        <x:f>IF(K293=0,"n.a.",N293/K293)</x:f>
        <x:v>0.26666666666666666</x:v>
      </x:c>
      <x:c r="S293" s="7" t="n">
        <x:v>0</x:v>
      </x:c>
      <x:c r="T293" s="10" t="n">
        <x:v>0.23</x:v>
      </x:c>
      <x:c r="U293" s="7" t="n">
        <x:v>229</x:v>
      </x:c>
      <x:c r="V293" s="7" t="n">
        <x:v>612</x:v>
      </x:c>
    </x:row>
    <x:row r="294" ht="16" customHeight="1">
      <x:c r="A294" s="7" t="n">
        <x:v>291</x:v>
      </x:c>
      <x:c r="B294" s="8" t="n">
        <x:v>45948</x:v>
      </x:c>
      <x:c r="C294" s="7" t="str">
        <x:v>Sunset</x:v>
      </x:c>
      <x:c r="D294" s="7" t="str">
        <x:v>MVP</x:v>
      </x:c>
      <x:c r="E294" s="7" t="str">
        <x:v>Neon</x:v>
      </x:c>
      <x:c r="F294" s="7" t="n">
        <x:v>13</x:v>
      </x:c>
      <x:c r="G294" s="7" t="n">
        <x:v>13</x:v>
      </x:c>
      <x:c r="H294" s="7" t="str">
        <x:f>IF(F294&gt;G294,"Win",IF(F294&lt;G294,"Loss","Draw"))</x:f>
        <x:v>Draw</x:v>
      </x:c>
      <x:c r="I294" s="7" t="n">
        <x:f>IF(H294="Win",1,0)</x:f>
        <x:v>0</x:v>
      </x:c>
      <x:c r="J294" s="7" t="n">
        <x:f>F294-G294</x:f>
        <x:v>0</x:v>
      </x:c>
      <x:c r="K294" s="7" t="n">
        <x:f>F294+G294</x:f>
        <x:v>26</x:v>
      </x:c>
      <x:c r="L294" s="7" t="n">
        <x:v>29</x:v>
      </x:c>
      <x:c r="M294" s="7" t="n">
        <x:v>19</x:v>
      </x:c>
      <x:c r="N294" s="7" t="n">
        <x:v>2</x:v>
      </x:c>
      <x:c r="O294" s="9" t="n">
        <x:f>IF(M294=0,"n.a.",L294/M294)</x:f>
        <x:v>1.5263157894736843</x:v>
      </x:c>
      <x:c r="P294" s="9" t="n">
        <x:f>IF(K294=0,"n.a.",L294/K294)</x:f>
        <x:v>1.1153846153846154</x:v>
      </x:c>
      <x:c r="Q294" s="9" t="n">
        <x:f>IF(K294=0,"n.a.",M294/K294)</x:f>
        <x:v>0.7307692307692307</x:v>
      </x:c>
      <x:c r="R294" s="9" t="n">
        <x:f>IF(K294=0,"n.a.",N294/K294)</x:f>
        <x:v>0.07692307692307693</x:v>
      </x:c>
      <x:c r="S294" s="7" t="n">
        <x:v>32</x:v>
      </x:c>
      <x:c r="T294" s="10" t="n">
        <x:v>0.27</x:v>
      </x:c>
      <x:c r="U294" s="7" t="n">
        <x:v>300</x:v>
      </x:c>
      <x:c r="V294" s="7" t="n">
        <x:v>721</x:v>
      </x:c>
    </x:row>
    <x:row r="295" ht="16" customHeight="1">
      <x:c r="A295" s="7" t="n">
        <x:v>292</x:v>
      </x:c>
      <x:c r="B295" s="8" t="n">
        <x:v>45952</x:v>
      </x:c>
      <x:c r="C295" s="7" t="str">
        <x:v>Haven</x:v>
      </x:c>
      <x:c r="D295" s="7" t="str">
        <x:v>4th</x:v>
      </x:c>
      <x:c r="E295" s="7" t="str">
        <x:v>Neon</x:v>
      </x:c>
      <x:c r="F295" s="7" t="n">
        <x:v>5</x:v>
      </x:c>
      <x:c r="G295" s="7" t="n">
        <x:v>13</x:v>
      </x:c>
      <x:c r="H295" s="7" t="str">
        <x:f>IF(F295&gt;G295,"Win",IF(F295&lt;G295,"Loss","Draw"))</x:f>
        <x:v>Loss</x:v>
      </x:c>
      <x:c r="I295" s="7" t="n">
        <x:f>IF(H295="Win",1,0)</x:f>
        <x:v>0</x:v>
      </x:c>
      <x:c r="J295" s="7" t="n">
        <x:f>F295-G295</x:f>
        <x:v>-8</x:v>
      </x:c>
      <x:c r="K295" s="7" t="n">
        <x:f>F295+G295</x:f>
        <x:v>18</x:v>
      </x:c>
      <x:c r="L295" s="7" t="n">
        <x:v>14</x:v>
      </x:c>
      <x:c r="M295" s="7" t="n">
        <x:v>16</x:v>
      </x:c>
      <x:c r="N295" s="7" t="n">
        <x:v>3</x:v>
      </x:c>
      <x:c r="O295" s="9" t="n">
        <x:f>IF(M295=0,"n.a.",L295/M295)</x:f>
        <x:v>0.875</x:v>
      </x:c>
      <x:c r="P295" s="9" t="n">
        <x:f>IF(K295=0,"n.a.",L295/K295)</x:f>
        <x:v>0.7777777777777778</x:v>
      </x:c>
      <x:c r="Q295" s="9" t="n">
        <x:f>IF(K295=0,"n.a.",M295/K295)</x:f>
        <x:v>0.8888888888888888</x:v>
      </x:c>
      <x:c r="R295" s="9" t="n">
        <x:f>IF(K295=0,"n.a.",N295/K295)</x:f>
        <x:v>0.16666666666666666</x:v>
      </x:c>
      <x:c r="S295" s="7" t="n">
        <x:v>3</x:v>
      </x:c>
      <x:c r="T295" s="10" t="n">
        <x:v>0.25</x:v>
      </x:c>
      <x:c r="U295" s="7" t="n">
        <x:v>231</x:v>
      </x:c>
      <x:c r="V295" s="7" t="n">
        <x:v>583</x:v>
      </x:c>
    </x:row>
    <x:row r="296" ht="16" customHeight="1">
      <x:c r="A296" s="7" t="n">
        <x:v>293</x:v>
      </x:c>
      <x:c r="B296" s="8" t="n">
        <x:v>45962</x:v>
      </x:c>
      <x:c r="C296" s="7" t="str">
        <x:v>Abyss</x:v>
      </x:c>
      <x:c r="D296" s="7" t="str">
        <x:v>4th</x:v>
      </x:c>
      <x:c r="E296" s="7" t="str">
        <x:v>Neon</x:v>
      </x:c>
      <x:c r="F296" s="7" t="n">
        <x:v>10</x:v>
      </x:c>
      <x:c r="G296" s="7" t="n">
        <x:v>13</x:v>
      </x:c>
      <x:c r="H296" s="7" t="str">
        <x:f>IF(F296&gt;G296,"Win",IF(F296&lt;G296,"Loss","Draw"))</x:f>
        <x:v>Loss</x:v>
      </x:c>
      <x:c r="I296" s="7" t="n">
        <x:f>IF(H296="Win",1,0)</x:f>
        <x:v>0</x:v>
      </x:c>
      <x:c r="J296" s="7" t="n">
        <x:f>F296-G296</x:f>
        <x:v>-3</x:v>
      </x:c>
      <x:c r="K296" s="7" t="n">
        <x:f>F296+G296</x:f>
        <x:v>23</x:v>
      </x:c>
      <x:c r="L296" s="7" t="n">
        <x:v>18</x:v>
      </x:c>
      <x:c r="M296" s="7" t="n">
        <x:v>21</x:v>
      </x:c>
      <x:c r="N296" s="7" t="n">
        <x:v>1</x:v>
      </x:c>
      <x:c r="O296" s="9" t="n">
        <x:f>IF(M296=0,"n.a.",L296/M296)</x:f>
        <x:v>0.8571428571428571</x:v>
      </x:c>
      <x:c r="P296" s="9" t="n">
        <x:f>IF(K296=0,"n.a.",L296/K296)</x:f>
        <x:v>0.782608695652174</x:v>
      </x:c>
      <x:c r="Q296" s="9" t="n">
        <x:f>IF(K296=0,"n.a.",M296/K296)</x:f>
        <x:v>0.9130434782608695</x:v>
      </x:c>
      <x:c r="R296" s="9" t="n">
        <x:f>IF(K296=0,"n.a.",N296/K296)</x:f>
        <x:v>0.043478260869565216</x:v>
      </x:c>
      <x:c r="S296" s="7" t="n">
        <x:v>-14</x:v>
      </x:c>
      <x:c r="T296" s="10" t="n">
        <x:v>0.13</x:v>
      </x:c>
      <x:c r="U296" s="7" t="n">
        <x:v>229</x:v>
      </x:c>
      <x:c r="V296" s="7" t="n">
        <x:v>523</x:v>
      </x:c>
    </x:row>
    <x:row r="297" ht="16" customHeight="1">
      <x:c r="A297" s="7" t="n">
        <x:v>294</x:v>
      </x:c>
      <x:c r="B297" s="8" t="n">
        <x:v>45969</x:v>
      </x:c>
      <x:c r="C297" s="7" t="str">
        <x:v>Pearl</x:v>
      </x:c>
      <x:c r="D297" s="7" t="str">
        <x:v>7th</x:v>
      </x:c>
      <x:c r="E297" s="7" t="str">
        <x:v>Neon</x:v>
      </x:c>
      <x:c r="F297" s="7" t="n">
        <x:v>5</x:v>
      </x:c>
      <x:c r="G297" s="7" t="n">
        <x:v>13</x:v>
      </x:c>
      <x:c r="H297" s="7" t="str">
        <x:f>IF(F297&gt;G297,"Win",IF(F297&lt;G297,"Loss","Draw"))</x:f>
        <x:v>Loss</x:v>
      </x:c>
      <x:c r="I297" s="7" t="n">
        <x:f>IF(H297="Win",1,0)</x:f>
        <x:v>0</x:v>
      </x:c>
      <x:c r="J297" s="7" t="n">
        <x:f>F297-G297</x:f>
        <x:v>-8</x:v>
      </x:c>
      <x:c r="K297" s="7" t="n">
        <x:f>F297+G297</x:f>
        <x:v>18</x:v>
      </x:c>
      <x:c r="L297" s="7" t="n">
        <x:v>9</x:v>
      </x:c>
      <x:c r="M297" s="7" t="n">
        <x:v>19</x:v>
      </x:c>
      <x:c r="N297" s="7" t="n">
        <x:v>2</x:v>
      </x:c>
      <x:c r="O297" s="9" t="n">
        <x:f>IF(M297=0,"n.a.",L297/M297)</x:f>
        <x:v>0.47368421052631576</x:v>
      </x:c>
      <x:c r="P297" s="9" t="n">
        <x:f>IF(K297=0,"n.a.",L297/K297)</x:f>
        <x:v>0.5</x:v>
      </x:c>
      <x:c r="Q297" s="9" t="n">
        <x:f>IF(K297=0,"n.a.",M297/K297)</x:f>
        <x:v>1.0555555555555556</x:v>
      </x:c>
      <x:c r="R297" s="9" t="n">
        <x:f>IF(K297=0,"n.a.",N297/K297)</x:f>
        <x:v>0.1111111111111111</x:v>
      </x:c>
      <x:c r="S297" s="7" t="n">
        <x:v>-84</x:v>
      </x:c>
      <x:c r="T297" s="10" t="n">
        <x:v>0.3</x:v>
      </x:c>
      <x:c r="U297" s="7" t="n">
        <x:v>155</x:v>
      </x:c>
      <x:c r="V297" s="7" t="n">
        <x:v>125</x:v>
      </x:c>
    </x:row>
    <x:row r="298" ht="16" customHeight="1">
      <x:c r="A298" s="7" t="n">
        <x:v>295</x:v>
      </x:c>
      <x:c r="B298" s="8" t="n">
        <x:v>45969</x:v>
      </x:c>
      <x:c r="C298" s="7" t="str">
        <x:v>Bind</x:v>
      </x:c>
      <x:c r="D298" s="7" t="str">
        <x:v>4th</x:v>
      </x:c>
      <x:c r="E298" s="7" t="str">
        <x:v>Neon</x:v>
      </x:c>
      <x:c r="F298" s="7" t="n">
        <x:v>14</x:v>
      </x:c>
      <x:c r="G298" s="7" t="n">
        <x:v>12</x:v>
      </x:c>
      <x:c r="H298" s="7" t="str">
        <x:f>IF(F298&gt;G298,"Win",IF(F298&lt;G298,"Loss","Draw"))</x:f>
        <x:v>Win</x:v>
      </x:c>
      <x:c r="I298" s="7" t="n">
        <x:f>IF(H298="Win",1,0)</x:f>
        <x:v>1</x:v>
      </x:c>
      <x:c r="J298" s="7" t="n">
        <x:f>F298-G298</x:f>
        <x:v>2</x:v>
      </x:c>
      <x:c r="K298" s="7" t="n">
        <x:f>F298+G298</x:f>
        <x:v>26</x:v>
      </x:c>
      <x:c r="L298" s="7" t="n">
        <x:v>22</x:v>
      </x:c>
      <x:c r="M298" s="7" t="n">
        <x:v>20</x:v>
      </x:c>
      <x:c r="N298" s="7" t="n">
        <x:v>6</x:v>
      </x:c>
      <x:c r="O298" s="9" t="n">
        <x:f>IF(M298=0,"n.a.",L298/M298)</x:f>
        <x:v>1.1</x:v>
      </x:c>
      <x:c r="P298" s="9" t="n">
        <x:f>IF(K298=0,"n.a.",L298/K298)</x:f>
        <x:v>0.8461538461538461</x:v>
      </x:c>
      <x:c r="Q298" s="9" t="n">
        <x:f>IF(K298=0,"n.a.",M298/K298)</x:f>
        <x:v>0.7692307692307693</x:v>
      </x:c>
      <x:c r="R298" s="9" t="n">
        <x:f>IF(K298=0,"n.a.",N298/K298)</x:f>
        <x:v>0.23076923076923078</x:v>
      </x:c>
      <x:c r="S298" s="7" t="n">
        <x:v>30</x:v>
      </x:c>
      <x:c r="T298" s="10" t="n">
        <x:v>0.22</x:v>
      </x:c>
      <x:c r="U298" s="7" t="n">
        <x:v>263</x:v>
      </x:c>
      <x:c r="V298" s="7" t="n">
        <x:v>800</x:v>
      </x:c>
    </x:row>
    <x:row r="299" ht="16" customHeight="1">
      <x:c r="A299" s="7" t="n">
        <x:v>296</x:v>
      </x:c>
      <x:c r="B299" s="8" t="n">
        <x:v>45969</x:v>
      </x:c>
      <x:c r="C299" s="7" t="str">
        <x:v>Corrode</x:v>
      </x:c>
      <x:c r="D299" s="7" t="str">
        <x:v>7th</x:v>
      </x:c>
      <x:c r="E299" s="7" t="str">
        <x:v>Neon</x:v>
      </x:c>
      <x:c r="F299" s="7" t="n">
        <x:v>3</x:v>
      </x:c>
      <x:c r="G299" s="7" t="n">
        <x:v>13</x:v>
      </x:c>
      <x:c r="H299" s="7" t="str">
        <x:f>IF(F299&gt;G299,"Win",IF(F299&lt;G299,"Loss","Draw"))</x:f>
        <x:v>Loss</x:v>
      </x:c>
      <x:c r="I299" s="7" t="n">
        <x:f>IF(H299="Win",1,0)</x:f>
        <x:v>0</x:v>
      </x:c>
      <x:c r="J299" s="7" t="n">
        <x:f>F299-G299</x:f>
        <x:v>-10</x:v>
      </x:c>
      <x:c r="K299" s="7" t="n">
        <x:f>F299+G299</x:f>
        <x:v>16</x:v>
      </x:c>
      <x:c r="L299" s="7" t="n">
        <x:v>10</x:v>
      </x:c>
      <x:c r="M299" s="7" t="n">
        <x:v>15</x:v>
      </x:c>
      <x:c r="N299" s="7" t="n">
        <x:v>0</x:v>
      </x:c>
      <x:c r="O299" s="9" t="n">
        <x:f>IF(M299=0,"n.a.",L299/M299)</x:f>
        <x:v>0.6666666666666666</x:v>
      </x:c>
      <x:c r="P299" s="9" t="n">
        <x:f>IF(K299=0,"n.a.",L299/K299)</x:f>
        <x:v>0.625</x:v>
      </x:c>
      <x:c r="Q299" s="9" t="n">
        <x:f>IF(K299=0,"n.a.",M299/K299)</x:f>
        <x:v>0.9375</x:v>
      </x:c>
      <x:c r="R299" s="9" t="n">
        <x:f>IF(K299=0,"n.a.",N299/K299)</x:f>
        <x:v>0</x:v>
      </x:c>
      <x:c r="S299" s="7" t="n">
        <x:v>-76</x:v>
      </x:c>
      <x:c r="T299" s="10" t="n">
        <x:v>0.28</x:v>
      </x:c>
      <x:c r="U299" s="7" t="n">
        <x:v>171</x:v>
      </x:c>
      <x:c r="V299" s="7" t="n">
        <x:v>163</x:v>
      </x:c>
    </x:row>
    <x:row r="300" ht="16" customHeight="1">
      <x:c r="A300" s="7" t="n">
        <x:v>297</x:v>
      </x:c>
      <x:c r="B300" s="8" t="n">
        <x:v>45969</x:v>
      </x:c>
      <x:c r="C300" s="7" t="str">
        <x:v>Abyss</x:v>
      </x:c>
      <x:c r="D300" s="7" t="str">
        <x:v>6th</x:v>
      </x:c>
      <x:c r="E300" s="7" t="str">
        <x:v>Neon</x:v>
      </x:c>
      <x:c r="F300" s="7" t="n">
        <x:v>5</x:v>
      </x:c>
      <x:c r="G300" s="7" t="n">
        <x:v>13</x:v>
      </x:c>
      <x:c r="H300" s="7" t="str">
        <x:f>IF(F300&gt;G300,"Win",IF(F300&lt;G300,"Loss","Draw"))</x:f>
        <x:v>Loss</x:v>
      </x:c>
      <x:c r="I300" s="7" t="n">
        <x:f>IF(H300="Win",1,0)</x:f>
        <x:v>0</x:v>
      </x:c>
      <x:c r="J300" s="7" t="n">
        <x:f>F300-G300</x:f>
        <x:v>-8</x:v>
      </x:c>
      <x:c r="K300" s="7" t="n">
        <x:f>F300+G300</x:f>
        <x:v>18</x:v>
      </x:c>
      <x:c r="L300" s="7" t="n">
        <x:v>13</x:v>
      </x:c>
      <x:c r="M300" s="7" t="n">
        <x:v>13</x:v>
      </x:c>
      <x:c r="N300" s="7" t="n">
        <x:v>3</x:v>
      </x:c>
      <x:c r="O300" s="9" t="n">
        <x:f>IF(M300=0,"n.a.",L300/M300)</x:f>
        <x:v>1</x:v>
      </x:c>
      <x:c r="P300" s="9" t="n">
        <x:f>IF(K300=0,"n.a.",L300/K300)</x:f>
        <x:v>0.7222222222222222</x:v>
      </x:c>
      <x:c r="Q300" s="9" t="n">
        <x:f>IF(K300=0,"n.a.",M300/K300)</x:f>
        <x:v>0.7222222222222222</x:v>
      </x:c>
      <x:c r="R300" s="9" t="n">
        <x:f>IF(K300=0,"n.a.",N300/K300)</x:f>
        <x:v>0.16666666666666666</x:v>
      </x:c>
      <x:c r="S300" s="7" t="n">
        <x:v>6</x:v>
      </x:c>
      <x:c r="T300" s="10" t="n">
        <x:v>0.35</x:v>
      </x:c>
      <x:c r="U300" s="7" t="n">
        <x:v>216</x:v>
      </x:c>
      <x:c r="V300" s="7" t="n">
        <x:v>385</x:v>
      </x:c>
    </x:row>
    <x:row r="301" ht="16" customHeight="1">
      <x:c r="A301" s="7" t="n">
        <x:v>298</x:v>
      </x:c>
      <x:c r="B301" s="8" t="n">
        <x:v>45969</x:v>
      </x:c>
      <x:c r="C301" s="7" t="str">
        <x:v>Haven</x:v>
      </x:c>
      <x:c r="D301" s="7" t="str">
        <x:v>2nd</x:v>
      </x:c>
      <x:c r="E301" s="7" t="str">
        <x:v>Neon</x:v>
      </x:c>
      <x:c r="F301" s="7" t="n">
        <x:v>13</x:v>
      </x:c>
      <x:c r="G301" s="7" t="n">
        <x:v>7</x:v>
      </x:c>
      <x:c r="H301" s="7" t="str">
        <x:f>IF(F301&gt;G301,"Win",IF(F301&lt;G301,"Loss","Draw"))</x:f>
        <x:v>Win</x:v>
      </x:c>
      <x:c r="I301" s="7" t="n">
        <x:f>IF(H301="Win",1,0)</x:f>
        <x:v>1</x:v>
      </x:c>
      <x:c r="J301" s="7" t="n">
        <x:f>F301-G301</x:f>
        <x:v>6</x:v>
      </x:c>
      <x:c r="K301" s="7" t="n">
        <x:f>F301+G301</x:f>
        <x:v>20</x:v>
      </x:c>
      <x:c r="L301" s="7" t="n">
        <x:v>22</x:v>
      </x:c>
      <x:c r="M301" s="7" t="n">
        <x:v>11</x:v>
      </x:c>
      <x:c r="N301" s="7" t="n">
        <x:v>4</x:v>
      </x:c>
      <x:c r="O301" s="9" t="n">
        <x:f>IF(M301=0,"n.a.",L301/M301)</x:f>
        <x:v>2</x:v>
      </x:c>
      <x:c r="P301" s="9" t="n">
        <x:f>IF(K301=0,"n.a.",L301/K301)</x:f>
        <x:v>1.1</x:v>
      </x:c>
      <x:c r="Q301" s="9" t="n">
        <x:f>IF(K301=0,"n.a.",M301/K301)</x:f>
        <x:v>0.55</x:v>
      </x:c>
      <x:c r="R301" s="9" t="n">
        <x:f>IF(K301=0,"n.a.",N301/K301)</x:f>
        <x:v>0.2</x:v>
      </x:c>
      <x:c r="S301" s="7" t="n">
        <x:v>36</x:v>
      </x:c>
      <x:c r="T301" s="10" t="n">
        <x:v>0.17</x:v>
      </x:c>
      <x:c r="U301" s="7" t="n">
        <x:v>277</x:v>
      </x:c>
      <x:c r="V301" s="7" t="n">
        <x:v>799</x:v>
      </x:c>
    </x:row>
    <x:row r="302" ht="16" customHeight="1">
      <x:c r="A302" s="7" t="n">
        <x:v>299</x:v>
      </x:c>
      <x:c r="B302" s="8" t="n">
        <x:v>45973</x:v>
      </x:c>
      <x:c r="C302" s="7" t="str">
        <x:v>Split</x:v>
      </x:c>
      <x:c r="D302" s="7" t="str">
        <x:v>2nd</x:v>
      </x:c>
      <x:c r="E302" s="7" t="str">
        <x:v>Neon</x:v>
      </x:c>
      <x:c r="F302" s="7" t="n">
        <x:v>7</x:v>
      </x:c>
      <x:c r="G302" s="7" t="n">
        <x:v>13</x:v>
      </x:c>
      <x:c r="H302" s="7" t="str">
        <x:f>IF(F302&gt;G302,"Win",IF(F302&lt;G302,"Loss","Draw"))</x:f>
        <x:v>Loss</x:v>
      </x:c>
      <x:c r="I302" s="7" t="n">
        <x:f>IF(H302="Win",1,0)</x:f>
        <x:v>0</x:v>
      </x:c>
      <x:c r="J302" s="7" t="n">
        <x:f>F302-G302</x:f>
        <x:v>-6</x:v>
      </x:c>
      <x:c r="K302" s="7" t="n">
        <x:f>F302+G302</x:f>
        <x:v>20</x:v>
      </x:c>
      <x:c r="L302" s="7" t="n">
        <x:v>17</x:v>
      </x:c>
      <x:c r="M302" s="7" t="n">
        <x:v>17</x:v>
      </x:c>
      <x:c r="N302" s="7" t="n">
        <x:v>3</x:v>
      </x:c>
      <x:c r="O302" s="9" t="n">
        <x:f>IF(M302=0,"n.a.",L302/M302)</x:f>
        <x:v>1</x:v>
      </x:c>
      <x:c r="P302" s="9" t="n">
        <x:f>IF(K302=0,"n.a.",L302/K302)</x:f>
        <x:v>0.85</x:v>
      </x:c>
      <x:c r="Q302" s="9" t="n">
        <x:f>IF(K302=0,"n.a.",M302/K302)</x:f>
        <x:v>0.85</x:v>
      </x:c>
      <x:c r="R302" s="9" t="n">
        <x:f>IF(K302=0,"n.a.",N302/K302)</x:f>
        <x:v>0.15</x:v>
      </x:c>
      <x:c r="S302" s="7" t="n">
        <x:v>-12</x:v>
      </x:c>
      <x:c r="T302" s="10" t="n">
        <x:v>0.23</x:v>
      </x:c>
      <x:c r="U302" s="7" t="n">
        <x:v>254</x:v>
      </x:c>
      <x:c r="V302" s="7" t="n">
        <x:v>454</x:v>
      </x:c>
    </x:row>
    <x:row r="303" ht="16" customHeight="1">
      <x:c r="A303" s="7" t="n">
        <x:v>300</x:v>
      </x:c>
      <x:c r="B303" s="8" t="n">
        <x:v>45973</x:v>
      </x:c>
      <x:c r="C303" s="7" t="str">
        <x:v>Bind</x:v>
      </x:c>
      <x:c r="D303" s="7" t="str">
        <x:v>5th</x:v>
      </x:c>
      <x:c r="E303" s="7" t="str">
        <x:v>Neon</x:v>
      </x:c>
      <x:c r="F303" s="7" t="n">
        <x:v>13</x:v>
      </x:c>
      <x:c r="G303" s="7" t="n">
        <x:v>11</x:v>
      </x:c>
      <x:c r="H303" s="7" t="str">
        <x:f>IF(F303&gt;G303,"Win",IF(F303&lt;G303,"Loss","Draw"))</x:f>
        <x:v>Win</x:v>
      </x:c>
      <x:c r="I303" s="7" t="n">
        <x:f>IF(H303="Win",1,0)</x:f>
        <x:v>1</x:v>
      </x:c>
      <x:c r="J303" s="7" t="n">
        <x:f>F303-G303</x:f>
        <x:v>2</x:v>
      </x:c>
      <x:c r="K303" s="7" t="n">
        <x:f>F303+G303</x:f>
        <x:v>24</x:v>
      </x:c>
      <x:c r="L303" s="7" t="n">
        <x:v>18</x:v>
      </x:c>
      <x:c r="M303" s="7" t="n">
        <x:v>20</x:v>
      </x:c>
      <x:c r="N303" s="7" t="n">
        <x:v>4</x:v>
      </x:c>
      <x:c r="O303" s="9" t="n">
        <x:f>IF(M303=0,"n.a.",L303/M303)</x:f>
        <x:v>0.9</x:v>
      </x:c>
      <x:c r="P303" s="9" t="n">
        <x:f>IF(K303=0,"n.a.",L303/K303)</x:f>
        <x:v>0.75</x:v>
      </x:c>
      <x:c r="Q303" s="9" t="n">
        <x:f>IF(K303=0,"n.a.",M303/K303)</x:f>
        <x:v>0.8333333333333334</x:v>
      </x:c>
      <x:c r="R303" s="9" t="n">
        <x:f>IF(K303=0,"n.a.",N303/K303)</x:f>
        <x:v>0.16666666666666666</x:v>
      </x:c>
      <x:c r="S303" s="7" t="n">
        <x:v>-9</x:v>
      </x:c>
      <x:c r="T303" s="10" t="n">
        <x:v>0.19</x:v>
      </x:c>
      <x:c r="U303" s="7" t="n">
        <x:v>227</x:v>
      </x:c>
      <x:c r="V303" s="7" t="n">
        <x:v>586</x:v>
      </x:c>
    </x:row>
    <x:row r="304" ht="16" customHeight="1">
      <x:c r="A304" s="7" t="n">
        <x:v>301</x:v>
      </x:c>
      <x:c r="B304" s="8" t="n">
        <x:v>45976</x:v>
      </x:c>
      <x:c r="C304" s="7" t="str">
        <x:v>Abyss</x:v>
      </x:c>
      <x:c r="D304" s="7" t="str">
        <x:v>9th</x:v>
      </x:c>
      <x:c r="E304" s="7" t="str">
        <x:v>Neon</x:v>
      </x:c>
      <x:c r="F304" s="7" t="n">
        <x:v>4</x:v>
      </x:c>
      <x:c r="G304" s="7" t="n">
        <x:v>13</x:v>
      </x:c>
      <x:c r="H304" s="7" t="str">
        <x:f>IF(F304&gt;G304,"Win",IF(F304&lt;G304,"Loss","Draw"))</x:f>
        <x:v>Loss</x:v>
      </x:c>
      <x:c r="I304" s="7" t="n">
        <x:f>IF(H304="Win",1,0)</x:f>
        <x:v>0</x:v>
      </x:c>
      <x:c r="J304" s="7" t="n">
        <x:f>F304-G304</x:f>
        <x:v>-9</x:v>
      </x:c>
      <x:c r="K304" s="7" t="n">
        <x:f>F304+G304</x:f>
        <x:v>17</x:v>
      </x:c>
      <x:c r="L304" s="7" t="n">
        <x:v>6</x:v>
      </x:c>
      <x:c r="M304" s="7" t="n">
        <x:v>16</x:v>
      </x:c>
      <x:c r="N304" s="7" t="n">
        <x:v>0</x:v>
      </x:c>
      <x:c r="O304" s="9" t="n">
        <x:f>IF(M304=0,"n.a.",L304/M304)</x:f>
        <x:v>0.375</x:v>
      </x:c>
      <x:c r="P304" s="9" t="n">
        <x:f>IF(K304=0,"n.a.",L304/K304)</x:f>
        <x:v>0.35294117647058826</x:v>
      </x:c>
      <x:c r="Q304" s="9" t="n">
        <x:f>IF(K304=0,"n.a.",M304/K304)</x:f>
        <x:v>0.9411764705882353</x:v>
      </x:c>
      <x:c r="R304" s="9" t="n">
        <x:f>IF(K304=0,"n.a.",N304/K304)</x:f>
        <x:v>0</x:v>
      </x:c>
      <x:c r="S304" s="7" t="n">
        <x:v>-96</x:v>
      </x:c>
      <x:c r="T304" s="10" t="n">
        <x:v>0.1</x:v>
      </x:c>
      <x:c r="U304" s="7" t="n">
        <x:v>108</x:v>
      </x:c>
      <x:c r="V304" s="7" t="n">
        <x:v>100</x:v>
      </x:c>
    </x:row>
    <x:row r="305" ht="16" customHeight="1">
      <x:c r="A305" s="7" t="n">
        <x:v>302</x:v>
      </x:c>
      <x:c r="B305" s="8" t="n">
        <x:v>45976</x:v>
      </x:c>
      <x:c r="C305" s="7" t="str">
        <x:v>Sunset</x:v>
      </x:c>
      <x:c r="D305" s="7" t="str">
        <x:v>MVP</x:v>
      </x:c>
      <x:c r="E305" s="7" t="str">
        <x:v>Neon</x:v>
      </x:c>
      <x:c r="F305" s="7" t="n">
        <x:v>10</x:v>
      </x:c>
      <x:c r="G305" s="7" t="n">
        <x:v>13</x:v>
      </x:c>
      <x:c r="H305" s="7" t="str">
        <x:f>IF(F305&gt;G305,"Win",IF(F305&lt;G305,"Loss","Draw"))</x:f>
        <x:v>Loss</x:v>
      </x:c>
      <x:c r="I305" s="7" t="n">
        <x:f>IF(H305="Win",1,0)</x:f>
        <x:v>0</x:v>
      </x:c>
      <x:c r="J305" s="7" t="n">
        <x:f>F305-G305</x:f>
        <x:v>-3</x:v>
      </x:c>
      <x:c r="K305" s="7" t="n">
        <x:f>F305+G305</x:f>
        <x:v>23</x:v>
      </x:c>
      <x:c r="L305" s="7" t="n">
        <x:v>27</x:v>
      </x:c>
      <x:c r="M305" s="7" t="n">
        <x:v>19</x:v>
      </x:c>
      <x:c r="N305" s="7" t="n">
        <x:v>2</x:v>
      </x:c>
      <x:c r="O305" s="9" t="n">
        <x:f>IF(M305=0,"n.a.",L305/M305)</x:f>
        <x:v>1.4210526315789473</x:v>
      </x:c>
      <x:c r="P305" s="9" t="n">
        <x:f>IF(K305=0,"n.a.",L305/K305)</x:f>
        <x:v>1.173913043478261</x:v>
      </x:c>
      <x:c r="Q305" s="9" t="n">
        <x:f>IF(K305=0,"n.a.",M305/K305)</x:f>
        <x:v>0.8260869565217391</x:v>
      </x:c>
      <x:c r="R305" s="9" t="n">
        <x:f>IF(K305=0,"n.a.",N305/K305)</x:f>
        <x:v>0.08695652173913043</x:v>
      </x:c>
      <x:c r="S305" s="7" t="n">
        <x:v>68</x:v>
      </x:c>
      <x:c r="T305" s="10" t="n">
        <x:v>0.35</x:v>
      </x:c>
      <x:c r="U305" s="7" t="n">
        <x:v>350</x:v>
      </x:c>
      <x:c r="V305" s="7" t="n">
        <x:v>870</x:v>
      </x:c>
    </x:row>
    <x:row r="306" ht="16" customHeight="1">
      <x:c r="A306" s="7" t="n">
        <x:v>303</x:v>
      </x:c>
      <x:c r="B306" s="8" t="n">
        <x:v>45977</x:v>
      </x:c>
      <x:c r="C306" s="7" t="str">
        <x:v>Abyss</x:v>
      </x:c>
      <x:c r="D306" s="7" t="str">
        <x:v>4th</x:v>
      </x:c>
      <x:c r="E306" s="7" t="str">
        <x:v>Astra</x:v>
      </x:c>
      <x:c r="F306" s="7" t="n">
        <x:v>13</x:v>
      </x:c>
      <x:c r="G306" s="7" t="n">
        <x:v>0</x:v>
      </x:c>
      <x:c r="H306" s="7" t="str">
        <x:f>IF(F306&gt;G306,"Win",IF(F306&lt;G306,"Loss","Draw"))</x:f>
        <x:v>Win</x:v>
      </x:c>
      <x:c r="I306" s="7" t="n">
        <x:f>IF(H306="Win",1,0)</x:f>
        <x:v>1</x:v>
      </x:c>
      <x:c r="J306" s="7" t="n">
        <x:f>F306-G306</x:f>
        <x:v>13</x:v>
      </x:c>
      <x:c r="K306" s="7" t="n">
        <x:f>F306+G306</x:f>
        <x:v>13</x:v>
      </x:c>
      <x:c r="L306" s="7" t="n">
        <x:v>10</x:v>
      </x:c>
      <x:c r="M306" s="7" t="n">
        <x:v>7</x:v>
      </x:c>
      <x:c r="N306" s="7" t="n">
        <x:v>5</x:v>
      </x:c>
      <x:c r="O306" s="9" t="n">
        <x:f>IF(M306=0,"n.a.",L306/M306)</x:f>
        <x:v>1.4285714285714286</x:v>
      </x:c>
      <x:c r="P306" s="9" t="n">
        <x:f>IF(K306=0,"n.a.",L306/K306)</x:f>
        <x:v>0.7692307692307693</x:v>
      </x:c>
      <x:c r="Q306" s="9" t="n">
        <x:f>IF(K306=0,"n.a.",M306/K306)</x:f>
        <x:v>0.5384615384615384</x:v>
      </x:c>
      <x:c r="R306" s="9" t="n">
        <x:f>IF(K306=0,"n.a.",N306/K306)</x:f>
        <x:v>0.38461538461538464</x:v>
      </x:c>
      <x:c r="S306" s="7" t="n">
        <x:v>36</x:v>
      </x:c>
      <x:c r="T306" s="10" t="n">
        <x:v>0.26</x:v>
      </x:c>
      <x:c r="U306" s="7" t="n">
        <x:v>202</x:v>
      </x:c>
      <x:c r="V306" s="7" t="n">
        <x:v>772</x:v>
      </x:c>
    </x:row>
    <x:row r="307" ht="16" customHeight="1">
      <x:c r="A307" s="7" t="n">
        <x:v>304</x:v>
      </x:c>
      <x:c r="B307" s="8" t="n">
        <x:v>45978</x:v>
      </x:c>
      <x:c r="C307" s="7" t="str">
        <x:v>Haven</x:v>
      </x:c>
      <x:c r="D307" s="7" t="str">
        <x:v>5th</x:v>
      </x:c>
      <x:c r="E307" s="7" t="str">
        <x:v>Astra</x:v>
      </x:c>
      <x:c r="F307" s="7" t="n">
        <x:v>13</x:v>
      </x:c>
      <x:c r="G307" s="7" t="n">
        <x:v>9</x:v>
      </x:c>
      <x:c r="H307" s="7" t="str">
        <x:f>IF(F307&gt;G307,"Win",IF(F307&lt;G307,"Loss","Draw"))</x:f>
        <x:v>Win</x:v>
      </x:c>
      <x:c r="I307" s="7" t="n">
        <x:f>IF(H307="Win",1,0)</x:f>
        <x:v>1</x:v>
      </x:c>
      <x:c r="J307" s="7" t="n">
        <x:f>F307-G307</x:f>
        <x:v>4</x:v>
      </x:c>
      <x:c r="K307" s="7" t="n">
        <x:f>F307+G307</x:f>
        <x:v>22</x:v>
      </x:c>
      <x:c r="L307" s="7" t="n">
        <x:v>18</x:v>
      </x:c>
      <x:c r="M307" s="7" t="n">
        <x:v>13</x:v>
      </x:c>
      <x:c r="N307" s="7" t="n">
        <x:v>3</x:v>
      </x:c>
      <x:c r="O307" s="9" t="n">
        <x:f>IF(M307=0,"n.a.",L307/M307)</x:f>
        <x:v>1.3846153846153846</x:v>
      </x:c>
      <x:c r="P307" s="9" t="n">
        <x:f>IF(K307=0,"n.a.",L307/K307)</x:f>
        <x:v>0.8181818181818182</x:v>
      </x:c>
      <x:c r="Q307" s="9" t="n">
        <x:f>IF(K307=0,"n.a.",M307/K307)</x:f>
        <x:v>0.5909090909090909</x:v>
      </x:c>
      <x:c r="R307" s="9" t="n">
        <x:f>IF(K307=0,"n.a.",N307/K307)</x:f>
        <x:v>0.13636363636363635</x:v>
      </x:c>
      <x:c r="S307" s="7" t="n">
        <x:v>27</x:v>
      </x:c>
      <x:c r="T307" s="10" t="n">
        <x:v>0.31</x:v>
      </x:c>
      <x:c r="U307" s="7" t="n">
        <x:v>222</x:v>
      </x:c>
      <x:c r="V307" s="7" t="n">
        <x:v>562</x:v>
      </x:c>
    </x:row>
    <x:row r="308" ht="16" customHeight="1">
      <x:c r="A308" s="7" t="n">
        <x:v>305</x:v>
      </x:c>
      <x:c r="B308" s="8" t="n">
        <x:v>45980</x:v>
      </x:c>
      <x:c r="C308" s="7" t="str">
        <x:v>Corrode</x:v>
      </x:c>
      <x:c r="D308" s="7" t="str">
        <x:v>6th</x:v>
      </x:c>
      <x:c r="E308" s="7" t="str">
        <x:v>Gekko</x:v>
      </x:c>
      <x:c r="F308" s="7" t="n">
        <x:v>14</x:v>
      </x:c>
      <x:c r="G308" s="7" t="n">
        <x:v>14</x:v>
      </x:c>
      <x:c r="H308" s="7" t="str">
        <x:f>IF(F308&gt;G308,"Win",IF(F308&lt;G308,"Loss","Draw"))</x:f>
        <x:v>Draw</x:v>
      </x:c>
      <x:c r="I308" s="7" t="n">
        <x:f>IF(H308="Win",1,0)</x:f>
        <x:v>0</x:v>
      </x:c>
      <x:c r="J308" s="7" t="n">
        <x:f>F308-G308</x:f>
        <x:v>0</x:v>
      </x:c>
      <x:c r="K308" s="7" t="n">
        <x:f>F308+G308</x:f>
        <x:v>28</x:v>
      </x:c>
      <x:c r="L308" s="7" t="n">
        <x:v>19</x:v>
      </x:c>
      <x:c r="M308" s="7" t="n">
        <x:v>22</x:v>
      </x:c>
      <x:c r="N308" s="7" t="n">
        <x:v>5</x:v>
      </x:c>
      <x:c r="O308" s="9" t="n">
        <x:f>IF(M308=0,"n.a.",L308/M308)</x:f>
        <x:v>0.8636363636363636</x:v>
      </x:c>
      <x:c r="P308" s="9" t="n">
        <x:f>IF(K308=0,"n.a.",L308/K308)</x:f>
        <x:v>0.6785714285714286</x:v>
      </x:c>
      <x:c r="Q308" s="9" t="n">
        <x:f>IF(K308=0,"n.a.",M308/K308)</x:f>
        <x:v>0.7857142857142857</x:v>
      </x:c>
      <x:c r="R308" s="9" t="n">
        <x:f>IF(K308=0,"n.a.",N308/K308)</x:f>
        <x:v>0.17857142857142858</x:v>
      </x:c>
      <x:c r="S308" s="7" t="n">
        <x:v>6</x:v>
      </x:c>
      <x:c r="T308" s="10" t="n">
        <x:v>0.37</x:v>
      </x:c>
      <x:c r="U308" s="7" t="n">
        <x:v>219</x:v>
      </x:c>
      <x:c r="V308" s="7" t="n">
        <x:v>529</x:v>
      </x:c>
    </x:row>
    <x:row r="309" ht="16" customHeight="1">
      <x:c r="A309" s="7" t="n">
        <x:v>306</x:v>
      </x:c>
      <x:c r="B309" s="8" t="n">
        <x:v>45980</x:v>
      </x:c>
      <x:c r="C309" s="7" t="str">
        <x:v>Haven</x:v>
      </x:c>
      <x:c r="D309" s="7" t="str">
        <x:v>8th</x:v>
      </x:c>
      <x:c r="E309" s="7" t="str">
        <x:v>Neon</x:v>
      </x:c>
      <x:c r="F309" s="7" t="n">
        <x:v>5</x:v>
      </x:c>
      <x:c r="G309" s="7" t="n">
        <x:v>13</x:v>
      </x:c>
      <x:c r="H309" s="7" t="str">
        <x:f>IF(F309&gt;G309,"Win",IF(F309&lt;G309,"Loss","Draw"))</x:f>
        <x:v>Loss</x:v>
      </x:c>
      <x:c r="I309" s="7" t="n">
        <x:f>IF(H309="Win",1,0)</x:f>
        <x:v>0</x:v>
      </x:c>
      <x:c r="J309" s="7" t="n">
        <x:f>F309-G309</x:f>
        <x:v>-8</x:v>
      </x:c>
      <x:c r="K309" s="7" t="n">
        <x:f>F309+G309</x:f>
        <x:v>18</x:v>
      </x:c>
      <x:c r="L309" s="7" t="n">
        <x:v>12</x:v>
      </x:c>
      <x:c r="M309" s="7" t="n">
        <x:v>18</x:v>
      </x:c>
      <x:c r="N309" s="7" t="n">
        <x:v>3</x:v>
      </x:c>
      <x:c r="O309" s="9" t="n">
        <x:f>IF(M309=0,"n.a.",L309/M309)</x:f>
        <x:v>0.6666666666666666</x:v>
      </x:c>
      <x:c r="P309" s="9" t="n">
        <x:f>IF(K309=0,"n.a.",L309/K309)</x:f>
        <x:v>0.6666666666666666</x:v>
      </x:c>
      <x:c r="Q309" s="9" t="n">
        <x:f>IF(K309=0,"n.a.",M309/K309)</x:f>
        <x:v>1</x:v>
      </x:c>
      <x:c r="R309" s="9" t="n">
        <x:f>IF(K309=0,"n.a.",N309/K309)</x:f>
        <x:v>0.16666666666666666</x:v>
      </x:c>
      <x:c r="S309" s="7" t="n">
        <x:v>-46</x:v>
      </x:c>
      <x:c r="T309" s="10" t="n">
        <x:v>0.24</x:v>
      </x:c>
      <x:c r="U309" s="7" t="n">
        <x:v>202</x:v>
      </x:c>
      <x:c r="V309" s="7" t="n">
        <x:v>483</x:v>
      </x:c>
    </x:row>
    <x:row r="310" ht="16" customHeight="1">
      <x:c r="A310" s="7" t="n">
        <x:v>307</x:v>
      </x:c>
      <x:c r="B310" s="8" t="n">
        <x:v>45981</x:v>
      </x:c>
      <x:c r="C310" s="7" t="str">
        <x:v>Pearl</x:v>
      </x:c>
      <x:c r="D310" s="7" t="str">
        <x:v>4th</x:v>
      </x:c>
      <x:c r="E310" s="7" t="str">
        <x:v>Neon</x:v>
      </x:c>
      <x:c r="F310" s="7" t="n">
        <x:v>5</x:v>
      </x:c>
      <x:c r="G310" s="7" t="n">
        <x:v>13</x:v>
      </x:c>
      <x:c r="H310" s="7" t="str">
        <x:f>IF(F310&gt;G310,"Win",IF(F310&lt;G310,"Loss","Draw"))</x:f>
        <x:v>Loss</x:v>
      </x:c>
      <x:c r="I310" s="7" t="n">
        <x:f>IF(H310="Win",1,0)</x:f>
        <x:v>0</x:v>
      </x:c>
      <x:c r="J310" s="7" t="n">
        <x:f>F310-G310</x:f>
        <x:v>-8</x:v>
      </x:c>
      <x:c r="K310" s="7" t="n">
        <x:f>F310+G310</x:f>
        <x:v>18</x:v>
      </x:c>
      <x:c r="L310" s="7" t="n">
        <x:v>15</x:v>
      </x:c>
      <x:c r="M310" s="7" t="n">
        <x:v>17</x:v>
      </x:c>
      <x:c r="N310" s="7" t="n">
        <x:v>4</x:v>
      </x:c>
      <x:c r="O310" s="9" t="n">
        <x:f>IF(M310=0,"n.a.",L310/M310)</x:f>
        <x:v>0.8823529411764706</x:v>
      </x:c>
      <x:c r="P310" s="9" t="n">
        <x:f>IF(K310=0,"n.a.",L310/K310)</x:f>
        <x:v>0.8333333333333334</x:v>
      </x:c>
      <x:c r="Q310" s="9" t="n">
        <x:f>IF(K310=0,"n.a.",M310/K310)</x:f>
        <x:v>0.9444444444444444</x:v>
      </x:c>
      <x:c r="R310" s="9" t="n">
        <x:f>IF(K310=0,"n.a.",N310/K310)</x:f>
        <x:v>0.2222222222222222</x:v>
      </x:c>
      <x:c r="S310" s="7" t="n">
        <x:v>-3</x:v>
      </x:c>
      <x:c r="T310" s="10" t="n">
        <x:v>0.33</x:v>
      </x:c>
      <x:c r="U310" s="7" t="n">
        <x:v>241</x:v>
      </x:c>
      <x:c r="V310" s="7" t="n">
        <x:v>666</x:v>
      </x:c>
    </x:row>
    <x:row r="311" ht="16" customHeight="1">
      <x:c r="A311" s="7" t="n">
        <x:v>308</x:v>
      </x:c>
      <x:c r="B311" s="8" t="n">
        <x:v>45981</x:v>
      </x:c>
      <x:c r="C311" s="7" t="str">
        <x:v>Pearl</x:v>
      </x:c>
      <x:c r="D311" s="7" t="str">
        <x:v>5th</x:v>
      </x:c>
      <x:c r="E311" s="7" t="str">
        <x:v>Reyna</x:v>
      </x:c>
      <x:c r="F311" s="7" t="n">
        <x:v>4</x:v>
      </x:c>
      <x:c r="G311" s="7" t="n">
        <x:v>13</x:v>
      </x:c>
      <x:c r="H311" s="7" t="str">
        <x:f>IF(F311&gt;G311,"Win",IF(F311&lt;G311,"Loss","Draw"))</x:f>
        <x:v>Loss</x:v>
      </x:c>
      <x:c r="I311" s="7" t="n">
        <x:f>IF(H311="Win",1,0)</x:f>
        <x:v>0</x:v>
      </x:c>
      <x:c r="J311" s="7" t="n">
        <x:f>F311-G311</x:f>
        <x:v>-9</x:v>
      </x:c>
      <x:c r="K311" s="7" t="n">
        <x:f>F311+G311</x:f>
        <x:v>17</x:v>
      </x:c>
      <x:c r="L311" s="7" t="n">
        <x:v>14</x:v>
      </x:c>
      <x:c r="M311" s="7" t="n">
        <x:v>16</x:v>
      </x:c>
      <x:c r="N311" s="7" t="n">
        <x:v>3</x:v>
      </x:c>
      <x:c r="O311" s="9" t="n">
        <x:f>IF(M311=0,"n.a.",L311/M311)</x:f>
        <x:v>0.875</x:v>
      </x:c>
      <x:c r="P311" s="9" t="n">
        <x:f>IF(K311=0,"n.a.",L311/K311)</x:f>
        <x:v>0.8235294117647058</x:v>
      </x:c>
      <x:c r="Q311" s="9" t="n">
        <x:f>IF(K311=0,"n.a.",M311/K311)</x:f>
        <x:v>0.9411764705882353</x:v>
      </x:c>
      <x:c r="R311" s="9" t="n">
        <x:f>IF(K311=0,"n.a.",N311/K311)</x:f>
        <x:v>0.17647058823529413</x:v>
      </x:c>
      <x:c r="S311" s="7" t="n">
        <x:v>-24</x:v>
      </x:c>
      <x:c r="T311" s="10" t="n">
        <x:v>0.25</x:v>
      </x:c>
      <x:c r="U311" s="7" t="n">
        <x:v>241</x:v>
      </x:c>
      <x:c r="V311" s="7" t="n">
        <x:v>522</x:v>
      </x:c>
    </x:row>
    <x:row r="312" ht="16" customHeight="1">
      <x:c r="A312" s="7" t="n">
        <x:v>309</x:v>
      </x:c>
      <x:c r="B312" s="8" t="n">
        <x:v>45981</x:v>
      </x:c>
      <x:c r="C312" s="7" t="str">
        <x:v>Split</x:v>
      </x:c>
      <x:c r="D312" s="7" t="str">
        <x:v>3rd</x:v>
      </x:c>
      <x:c r="E312" s="7" t="str">
        <x:v>Neon</x:v>
      </x:c>
      <x:c r="F312" s="7" t="n">
        <x:v>14</x:v>
      </x:c>
      <x:c r="G312" s="7" t="n">
        <x:v>12</x:v>
      </x:c>
      <x:c r="H312" s="7" t="str">
        <x:f>IF(F312&gt;G312,"Win",IF(F312&lt;G312,"Loss","Draw"))</x:f>
        <x:v>Win</x:v>
      </x:c>
      <x:c r="I312" s="7" t="n">
        <x:f>IF(H312="Win",1,0)</x:f>
        <x:v>1</x:v>
      </x:c>
      <x:c r="J312" s="7" t="n">
        <x:f>F312-G312</x:f>
        <x:v>2</x:v>
      </x:c>
      <x:c r="K312" s="7" t="n">
        <x:f>F312+G312</x:f>
        <x:v>26</x:v>
      </x:c>
      <x:c r="L312" s="7" t="n">
        <x:v>24</x:v>
      </x:c>
      <x:c r="M312" s="7" t="n">
        <x:v>17</x:v>
      </x:c>
      <x:c r="N312" s="7" t="n">
        <x:v>6</x:v>
      </x:c>
      <x:c r="O312" s="9" t="n">
        <x:f>IF(M312=0,"n.a.",L312/M312)</x:f>
        <x:v>1.411764705882353</x:v>
      </x:c>
      <x:c r="P312" s="9" t="n">
        <x:f>IF(K312=0,"n.a.",L312/K312)</x:f>
        <x:v>0.9230769230769231</x:v>
      </x:c>
      <x:c r="Q312" s="9" t="n">
        <x:f>IF(K312=0,"n.a.",M312/K312)</x:f>
        <x:v>0.6538461538461539</x:v>
      </x:c>
      <x:c r="R312" s="9" t="n">
        <x:f>IF(K312=0,"n.a.",N312/K312)</x:f>
        <x:v>0.23076923076923078</x:v>
      </x:c>
      <x:c r="S312" s="7" t="n">
        <x:v>68</x:v>
      </x:c>
      <x:c r="T312" s="10" t="n">
        <x:v>0.42</x:v>
      </x:c>
      <x:c r="U312" s="7" t="n">
        <x:v>249</x:v>
      </x:c>
      <x:c r="V312" s="7" t="n">
        <x:v>751</x:v>
      </x:c>
    </x:row>
    <x:row r="313" ht="16" customHeight="1">
      <x:c r="A313" s="7" t="n">
        <x:v>310</x:v>
      </x:c>
      <x:c r="B313" s="8" t="n">
        <x:v>45981</x:v>
      </x:c>
      <x:c r="C313" s="7" t="str">
        <x:v>Split</x:v>
      </x:c>
      <x:c r="D313" s="7" t="str">
        <x:v>MVP</x:v>
      </x:c>
      <x:c r="E313" s="7" t="str">
        <x:v>Omen</x:v>
      </x:c>
      <x:c r="F313" s="7" t="n">
        <x:v>13</x:v>
      </x:c>
      <x:c r="G313" s="7" t="n">
        <x:v>6</x:v>
      </x:c>
      <x:c r="H313" s="7" t="str">
        <x:f>IF(F313&gt;G313,"Win",IF(F313&lt;G313,"Loss","Draw"))</x:f>
        <x:v>Win</x:v>
      </x:c>
      <x:c r="I313" s="7" t="n">
        <x:f>IF(H313="Win",1,0)</x:f>
        <x:v>1</x:v>
      </x:c>
      <x:c r="J313" s="7" t="n">
        <x:f>F313-G313</x:f>
        <x:v>7</x:v>
      </x:c>
      <x:c r="K313" s="7" t="n">
        <x:f>F313+G313</x:f>
        <x:v>19</x:v>
      </x:c>
      <x:c r="L313" s="7" t="n">
        <x:v>23</x:v>
      </x:c>
      <x:c r="M313" s="7" t="n">
        <x:v>12</x:v>
      </x:c>
      <x:c r="N313" s="7" t="n">
        <x:v>4</x:v>
      </x:c>
      <x:c r="O313" s="9" t="n">
        <x:f>IF(M313=0,"n.a.",L313/M313)</x:f>
        <x:v>1.9166666666666667</x:v>
      </x:c>
      <x:c r="P313" s="9" t="n">
        <x:f>IF(K313=0,"n.a.",L313/K313)</x:f>
        <x:v>1.2105263157894737</x:v>
      </x:c>
      <x:c r="Q313" s="9" t="n">
        <x:f>IF(K313=0,"n.a.",M313/K313)</x:f>
        <x:v>0.631578947368421</x:v>
      </x:c>
      <x:c r="R313" s="9" t="n">
        <x:f>IF(K313=0,"n.a.",N313/K313)</x:f>
        <x:v>0.21052631578947367</x:v>
      </x:c>
      <x:c r="S313" s="7" t="n">
        <x:v>109</x:v>
      </x:c>
      <x:c r="T313" s="10" t="n">
        <x:v>0.39</x:v>
      </x:c>
      <x:c r="U313" s="7" t="n">
        <x:v>349</x:v>
      </x:c>
      <x:c r="V313" s="7" t="n">
        <x:v>993</x:v>
      </x:c>
    </x:row>
    <x:row r="314" ht="16" customHeight="1">
      <x:c r="A314" s="7" t="n">
        <x:v>311</x:v>
      </x:c>
      <x:c r="B314" s="8" t="n">
        <x:v>45982</x:v>
      </x:c>
      <x:c r="C314" s="7" t="str">
        <x:v>Abyss</x:v>
      </x:c>
      <x:c r="D314" s="7" t="str">
        <x:v>5th</x:v>
      </x:c>
      <x:c r="E314" s="7" t="str">
        <x:v>Chamber</x:v>
      </x:c>
      <x:c r="F314" s="7" t="n">
        <x:v>13</x:v>
      </x:c>
      <x:c r="G314" s="7" t="n">
        <x:v>9</x:v>
      </x:c>
      <x:c r="H314" s="7" t="str">
        <x:f>IF(F314&gt;G314,"Win",IF(F314&lt;G314,"Loss","Draw"))</x:f>
        <x:v>Win</x:v>
      </x:c>
      <x:c r="I314" s="7" t="n">
        <x:f>IF(H314="Win",1,0)</x:f>
        <x:v>1</x:v>
      </x:c>
      <x:c r="J314" s="7" t="n">
        <x:f>F314-G314</x:f>
        <x:v>4</x:v>
      </x:c>
      <x:c r="K314" s="7" t="n">
        <x:f>F314+G314</x:f>
        <x:v>22</x:v>
      </x:c>
      <x:c r="L314" s="7" t="n">
        <x:v>20</x:v>
      </x:c>
      <x:c r="M314" s="7" t="n">
        <x:v>14</x:v>
      </x:c>
      <x:c r="N314" s="7" t="n">
        <x:v>1</x:v>
      </x:c>
      <x:c r="O314" s="9" t="n">
        <x:f>IF(M314=0,"n.a.",L314/M314)</x:f>
        <x:v>1.4285714285714286</x:v>
      </x:c>
      <x:c r="P314" s="9" t="n">
        <x:f>IF(K314=0,"n.a.",L314/K314)</x:f>
        <x:v>0.9090909090909091</x:v>
      </x:c>
      <x:c r="Q314" s="9" t="n">
        <x:f>IF(K314=0,"n.a.",M314/K314)</x:f>
        <x:v>0.6363636363636364</x:v>
      </x:c>
      <x:c r="R314" s="9" t="n">
        <x:f>IF(K314=0,"n.a.",N314/K314)</x:f>
        <x:v>0.045454545454545456</x:v>
      </x:c>
      <x:c r="S314" s="7" t="n">
        <x:v>31</x:v>
      </x:c>
      <x:c r="T314" s="10" t="n">
        <x:v>0.31</x:v>
      </x:c>
      <x:c r="U314" s="7" t="n">
        <x:v>225</x:v>
      </x:c>
      <x:c r="V314" s="7" t="n">
        <x:v>748</x:v>
      </x:c>
    </x:row>
    <x:row r="315" ht="16" customHeight="1">
      <x:c r="A315" s="7" t="n">
        <x:v>312</x:v>
      </x:c>
      <x:c r="B315" s="8" t="n">
        <x:v>45983</x:v>
      </x:c>
      <x:c r="C315" s="7" t="str">
        <x:v>Split</x:v>
      </x:c>
      <x:c r="D315" s="7" t="str">
        <x:v>5th</x:v>
      </x:c>
      <x:c r="E315" s="7" t="str">
        <x:v>Neon</x:v>
      </x:c>
      <x:c r="F315" s="7" t="n">
        <x:v>13</x:v>
      </x:c>
      <x:c r="G315" s="7" t="n">
        <x:v>4</x:v>
      </x:c>
      <x:c r="H315" s="7" t="str">
        <x:f>IF(F315&gt;G315,"Win",IF(F315&lt;G315,"Loss","Draw"))</x:f>
        <x:v>Win</x:v>
      </x:c>
      <x:c r="I315" s="7" t="n">
        <x:f>IF(H315="Win",1,0)</x:f>
        <x:v>1</x:v>
      </x:c>
      <x:c r="J315" s="7" t="n">
        <x:f>F315-G315</x:f>
        <x:v>9</x:v>
      </x:c>
      <x:c r="K315" s="7" t="n">
        <x:f>F315+G315</x:f>
        <x:v>17</x:v>
      </x:c>
      <x:c r="L315" s="7" t="n">
        <x:v>18</x:v>
      </x:c>
      <x:c r="M315" s="7" t="n">
        <x:v>12</x:v>
      </x:c>
      <x:c r="N315" s="7" t="n">
        <x:v>0</x:v>
      </x:c>
      <x:c r="O315" s="9" t="n">
        <x:f>IF(M315=0,"n.a.",L315/M315)</x:f>
        <x:v>1.5</x:v>
      </x:c>
      <x:c r="P315" s="9" t="n">
        <x:f>IF(K315=0,"n.a.",L315/K315)</x:f>
        <x:v>1.0588235294117647</x:v>
      </x:c>
      <x:c r="Q315" s="9" t="n">
        <x:f>IF(K315=0,"n.a.",M315/K315)</x:f>
        <x:v>0.7058823529411765</x:v>
      </x:c>
      <x:c r="R315" s="9" t="n">
        <x:f>IF(K315=0,"n.a.",N315/K315)</x:f>
        <x:v>0</x:v>
      </x:c>
      <x:c r="S315" s="7" t="n">
        <x:v>16</x:v>
      </x:c>
      <x:c r="T315" s="10" t="n">
        <x:v>0.21</x:v>
      </x:c>
      <x:c r="U315" s="7" t="n">
        <x:v>265</x:v>
      </x:c>
      <x:c r="V315" s="7" t="n">
        <x:v>769</x:v>
      </x:c>
    </x:row>
    <x:row r="316" ht="16" customHeight="1">
      <x:c r="A316" s="7" t="n">
        <x:v>313</x:v>
      </x:c>
      <x:c r="B316" s="8" t="n">
        <x:v>45983</x:v>
      </x:c>
      <x:c r="C316" s="7" t="str">
        <x:v>Bind</x:v>
      </x:c>
      <x:c r="D316" s="7" t="str">
        <x:v>9th</x:v>
      </x:c>
      <x:c r="E316" s="7" t="str">
        <x:v>Chamber</x:v>
      </x:c>
      <x:c r="F316" s="7" t="n">
        <x:v>13</x:v>
      </x:c>
      <x:c r="G316" s="7" t="n">
        <x:v>6</x:v>
      </x:c>
      <x:c r="H316" s="7" t="str">
        <x:f>IF(F316&gt;G316,"Win",IF(F316&lt;G316,"Loss","Draw"))</x:f>
        <x:v>Win</x:v>
      </x:c>
      <x:c r="I316" s="7" t="n">
        <x:f>IF(H316="Win",1,0)</x:f>
        <x:v>1</x:v>
      </x:c>
      <x:c r="J316" s="7" t="n">
        <x:f>F316-G316</x:f>
        <x:v>7</x:v>
      </x:c>
      <x:c r="K316" s="7" t="n">
        <x:f>F316+G316</x:f>
        <x:v>19</x:v>
      </x:c>
      <x:c r="L316" s="7" t="n">
        <x:v>10</x:v>
      </x:c>
      <x:c r="M316" s="7" t="n">
        <x:v>12</x:v>
      </x:c>
      <x:c r="N316" s="7" t="n">
        <x:v>3</x:v>
      </x:c>
      <x:c r="O316" s="9" t="n">
        <x:f>IF(M316=0,"n.a.",L316/M316)</x:f>
        <x:v>0.8333333333333334</x:v>
      </x:c>
      <x:c r="P316" s="9" t="n">
        <x:f>IF(K316=0,"n.a.",L316/K316)</x:f>
        <x:v>0.5263157894736842</x:v>
      </x:c>
      <x:c r="Q316" s="9" t="n">
        <x:f>IF(K316=0,"n.a.",M316/K316)</x:f>
        <x:v>0.631578947368421</x:v>
      </x:c>
      <x:c r="R316" s="9" t="n">
        <x:f>IF(K316=0,"n.a.",N316/K316)</x:f>
        <x:v>0.15789473684210525</x:v>
      </x:c>
      <x:c r="S316" s="7" t="n">
        <x:v>-27</x:v>
      </x:c>
      <x:c r="T316" s="10" t="n">
        <x:v>0.37</x:v>
      </x:c>
      <x:c r="U316" s="7" t="n">
        <x:v>133</x:v>
      </x:c>
      <x:c r="V316" s="7" t="n">
        <x:v>329</x:v>
      </x:c>
    </x:row>
    <x:row r="317" ht="16" customHeight="1">
      <x:c r="A317" s="7" t="n">
        <x:v>314</x:v>
      </x:c>
      <x:c r="B317" s="8" t="n">
        <x:v>45983</x:v>
      </x:c>
      <x:c r="C317" s="7" t="str">
        <x:v>Pearl</x:v>
      </x:c>
      <x:c r="D317" s="7" t="str">
        <x:v>2nd</x:v>
      </x:c>
      <x:c r="E317" s="7" t="str">
        <x:v>Neon</x:v>
      </x:c>
      <x:c r="F317" s="7" t="n">
        <x:v>9</x:v>
      </x:c>
      <x:c r="G317" s="7" t="n">
        <x:v>13</x:v>
      </x:c>
      <x:c r="H317" s="7" t="str">
        <x:f>IF(F317&gt;G317,"Win",IF(F317&lt;G317,"Loss","Draw"))</x:f>
        <x:v>Loss</x:v>
      </x:c>
      <x:c r="I317" s="7" t="n">
        <x:f>IF(H317="Win",1,0)</x:f>
        <x:v>0</x:v>
      </x:c>
      <x:c r="J317" s="7" t="n">
        <x:f>F317-G317</x:f>
        <x:v>-4</x:v>
      </x:c>
      <x:c r="K317" s="7" t="n">
        <x:f>F317+G317</x:f>
        <x:v>22</x:v>
      </x:c>
      <x:c r="L317" s="7" t="n">
        <x:v>25</x:v>
      </x:c>
      <x:c r="M317" s="7" t="n">
        <x:v>17</x:v>
      </x:c>
      <x:c r="N317" s="7" t="n">
        <x:v>3</x:v>
      </x:c>
      <x:c r="O317" s="9" t="n">
        <x:f>IF(M317=0,"n.a.",L317/M317)</x:f>
        <x:v>1.4705882352941178</x:v>
      </x:c>
      <x:c r="P317" s="9" t="n">
        <x:f>IF(K317=0,"n.a.",L317/K317)</x:f>
        <x:v>1.1363636363636365</x:v>
      </x:c>
      <x:c r="Q317" s="9" t="n">
        <x:f>IF(K317=0,"n.a.",M317/K317)</x:f>
        <x:v>0.7727272727272727</x:v>
      </x:c>
      <x:c r="R317" s="9" t="n">
        <x:f>IF(K317=0,"n.a.",N317/K317)</x:f>
        <x:v>0.13636363636363635</x:v>
      </x:c>
      <x:c r="S317" s="7" t="n">
        <x:v>65</x:v>
      </x:c>
      <x:c r="T317" s="10" t="n">
        <x:v>0.3</x:v>
      </x:c>
      <x:c r="U317" s="7" t="n">
        <x:v>325</x:v>
      </x:c>
      <x:c r="V317" s="7" t="n">
        <x:v>707</x:v>
      </x:c>
    </x:row>
    <x:row r="318" ht="16" customHeight="1">
      <x:c r="A318" s="7" t="n">
        <x:v>315</x:v>
      </x:c>
      <x:c r="B318" s="8" t="n">
        <x:v>45983</x:v>
      </x:c>
      <x:c r="C318" s="7" t="str">
        <x:v>Split</x:v>
      </x:c>
      <x:c r="D318" s="7" t="str">
        <x:v>7th</x:v>
      </x:c>
      <x:c r="E318" s="7" t="str">
        <x:v>Viper</x:v>
      </x:c>
      <x:c r="F318" s="7" t="n">
        <x:v>7</x:v>
      </x:c>
      <x:c r="G318" s="7" t="n">
        <x:v>13</x:v>
      </x:c>
      <x:c r="H318" s="7" t="str">
        <x:f>IF(F318&gt;G318,"Win",IF(F318&lt;G318,"Loss","Draw"))</x:f>
        <x:v>Loss</x:v>
      </x:c>
      <x:c r="I318" s="7" t="n">
        <x:f>IF(H318="Win",1,0)</x:f>
        <x:v>0</x:v>
      </x:c>
      <x:c r="J318" s="7" t="n">
        <x:f>F318-G318</x:f>
        <x:v>-6</x:v>
      </x:c>
      <x:c r="K318" s="7" t="n">
        <x:f>F318+G318</x:f>
        <x:v>20</x:v>
      </x:c>
      <x:c r="L318" s="7" t="n">
        <x:v>10</x:v>
      </x:c>
      <x:c r="M318" s="7" t="n">
        <x:v>19</x:v>
      </x:c>
      <x:c r="N318" s="7" t="n">
        <x:v>2</x:v>
      </x:c>
      <x:c r="O318" s="9" t="n">
        <x:f>IF(M318=0,"n.a.",L318/M318)</x:f>
        <x:v>0.5263157894736842</x:v>
      </x:c>
      <x:c r="P318" s="9" t="n">
        <x:f>IF(K318=0,"n.a.",L318/K318)</x:f>
        <x:v>0.5</x:v>
      </x:c>
      <x:c r="Q318" s="9" t="n">
        <x:f>IF(K318=0,"n.a.",M318/K318)</x:f>
        <x:v>0.95</x:v>
      </x:c>
      <x:c r="R318" s="9" t="n">
        <x:f>IF(K318=0,"n.a.",N318/K318)</x:f>
        <x:v>0.1</x:v>
      </x:c>
      <x:c r="S318" s="7" t="n">
        <x:v>-70</x:v>
      </x:c>
      <x:c r="T318" s="10" t="n">
        <x:v>0.18</x:v>
      </x:c>
      <x:c r="U318" s="7" t="n">
        <x:v>150</x:v>
      </x:c>
      <x:c r="V318" s="7" t="n">
        <x:v>160</x:v>
      </x:c>
    </x:row>
    <x:row r="319" ht="16" customHeight="1">
      <x:c r="A319" s="7" t="n">
        <x:v>316</x:v>
      </x:c>
      <x:c r="B319" s="8" t="n">
        <x:v>45983</x:v>
      </x:c>
      <x:c r="C319" s="7" t="str">
        <x:v>Abyss</x:v>
      </x:c>
      <x:c r="D319" s="7" t="str">
        <x:v>MVP</x:v>
      </x:c>
      <x:c r="E319" s="7" t="str">
        <x:v>Reyna</x:v>
      </x:c>
      <x:c r="F319" s="7" t="n">
        <x:v>13</x:v>
      </x:c>
      <x:c r="G319" s="7" t="n">
        <x:v>7</x:v>
      </x:c>
      <x:c r="H319" s="7" t="str">
        <x:f>IF(F319&gt;G319,"Win",IF(F319&lt;G319,"Loss","Draw"))</x:f>
        <x:v>Win</x:v>
      </x:c>
      <x:c r="I319" s="7" t="n">
        <x:f>IF(H319="Win",1,0)</x:f>
        <x:v>1</x:v>
      </x:c>
      <x:c r="J319" s="7" t="n">
        <x:f>F319-G319</x:f>
        <x:v>6</x:v>
      </x:c>
      <x:c r="K319" s="7" t="n">
        <x:f>F319+G319</x:f>
        <x:v>20</x:v>
      </x:c>
      <x:c r="L319" s="7" t="n">
        <x:v>27</x:v>
      </x:c>
      <x:c r="M319" s="7" t="n">
        <x:v>10</x:v>
      </x:c>
      <x:c r="N319" s="7" t="n">
        <x:v>3</x:v>
      </x:c>
      <x:c r="O319" s="9" t="n">
        <x:f>IF(M319=0,"n.a.",L319/M319)</x:f>
        <x:v>2.7</x:v>
      </x:c>
      <x:c r="P319" s="9" t="n">
        <x:f>IF(K319=0,"n.a.",L319/K319)</x:f>
        <x:v>1.35</x:v>
      </x:c>
      <x:c r="Q319" s="9" t="n">
        <x:f>IF(K319=0,"n.a.",M319/K319)</x:f>
        <x:v>0.5</x:v>
      </x:c>
      <x:c r="R319" s="9" t="n">
        <x:f>IF(K319=0,"n.a.",N319/K319)</x:f>
        <x:v>0.15</x:v>
      </x:c>
      <x:c r="S319" s="7" t="n">
        <x:v>127</x:v>
      </x:c>
      <x:c r="T319" s="10" t="n">
        <x:v>0.38</x:v>
      </x:c>
      <x:c r="U319" s="7" t="n">
        <x:v>358</x:v>
      </x:c>
      <x:c r="V319" s="7" t="n">
        <x:v>971</x:v>
      </x:c>
    </x:row>
    <x:row r="320" ht="16" customHeight="1">
      <x:c r="A320" s="7" t="n">
        <x:v>317</x:v>
      </x:c>
      <x:c r="B320" s="8" t="n">
        <x:v>45985</x:v>
      </x:c>
      <x:c r="C320" s="7" t="str">
        <x:v>Bind</x:v>
      </x:c>
      <x:c r="D320" s="7" t="str">
        <x:v>MVP</x:v>
      </x:c>
      <x:c r="E320" s="7" t="str">
        <x:v>Neon</x:v>
      </x:c>
      <x:c r="F320" s="7" t="n">
        <x:v>11</x:v>
      </x:c>
      <x:c r="G320" s="7" t="n">
        <x:v>13</x:v>
      </x:c>
      <x:c r="H320" s="7" t="str">
        <x:f>IF(F320&gt;G320,"Win",IF(F320&lt;G320,"Loss","Draw"))</x:f>
        <x:v>Loss</x:v>
      </x:c>
      <x:c r="I320" s="7" t="n">
        <x:f>IF(H320="Win",1,0)</x:f>
        <x:v>0</x:v>
      </x:c>
      <x:c r="J320" s="7" t="n">
        <x:f>F320-G320</x:f>
        <x:v>-2</x:v>
      </x:c>
      <x:c r="K320" s="7" t="n">
        <x:f>F320+G320</x:f>
        <x:v>24</x:v>
      </x:c>
      <x:c r="L320" s="7" t="n">
        <x:v>25</x:v>
      </x:c>
      <x:c r="M320" s="7" t="n">
        <x:v>22</x:v>
      </x:c>
      <x:c r="N320" s="7" t="n">
        <x:v>5</x:v>
      </x:c>
      <x:c r="O320" s="9" t="n">
        <x:f>IF(M320=0,"n.a.",L320/M320)</x:f>
        <x:v>1.1363636363636365</x:v>
      </x:c>
      <x:c r="P320" s="9" t="n">
        <x:f>IF(K320=0,"n.a.",L320/K320)</x:f>
        <x:v>1.0416666666666667</x:v>
      </x:c>
      <x:c r="Q320" s="9" t="n">
        <x:f>IF(K320=0,"n.a.",M320/K320)</x:f>
        <x:v>0.9166666666666666</x:v>
      </x:c>
      <x:c r="R320" s="9" t="n">
        <x:f>IF(K320=0,"n.a.",N320/K320)</x:f>
        <x:v>0.20833333333333334</x:v>
      </x:c>
      <x:c r="S320" s="7" t="n">
        <x:v>33</x:v>
      </x:c>
      <x:c r="T320" s="10" t="n">
        <x:v>0.3</x:v>
      </x:c>
      <x:c r="U320" s="7" t="n">
        <x:v>292</x:v>
      </x:c>
      <x:c r="V320" s="7" t="n">
        <x:v>605</x:v>
      </x:c>
    </x:row>
    <x:row r="321" ht="16" customHeight="1">
      <x:c r="A321" s="7" t="n">
        <x:v>318</x:v>
      </x:c>
      <x:c r="B321" s="8" t="n">
        <x:v>45986</x:v>
      </x:c>
      <x:c r="C321" s="7" t="str">
        <x:v>Pearl</x:v>
      </x:c>
      <x:c r="D321" s="7" t="str">
        <x:v>2nd</x:v>
      </x:c>
      <x:c r="E321" s="7" t="str">
        <x:v>Neon</x:v>
      </x:c>
      <x:c r="F321" s="7" t="n">
        <x:v>13</x:v>
      </x:c>
      <x:c r="G321" s="7" t="n">
        <x:v>7</x:v>
      </x:c>
      <x:c r="H321" s="7" t="str">
        <x:f>IF(F321&gt;G321,"Win",IF(F321&lt;G321,"Loss","Draw"))</x:f>
        <x:v>Win</x:v>
      </x:c>
      <x:c r="I321" s="7" t="n">
        <x:f>IF(H321="Win",1,0)</x:f>
        <x:v>1</x:v>
      </x:c>
      <x:c r="J321" s="7" t="n">
        <x:f>F321-G321</x:f>
        <x:v>6</x:v>
      </x:c>
      <x:c r="K321" s="7" t="n">
        <x:f>F321+G321</x:f>
        <x:v>20</x:v>
      </x:c>
      <x:c r="L321" s="7" t="n">
        <x:v>18</x:v>
      </x:c>
      <x:c r="M321" s="7" t="n">
        <x:v>15</x:v>
      </x:c>
      <x:c r="N321" s="7" t="n">
        <x:v>2</x:v>
      </x:c>
      <x:c r="O321" s="9" t="n">
        <x:f>IF(M321=0,"n.a.",L321/M321)</x:f>
        <x:v>1.2</x:v>
      </x:c>
      <x:c r="P321" s="9" t="n">
        <x:f>IF(K321=0,"n.a.",L321/K321)</x:f>
        <x:v>0.9</x:v>
      </x:c>
      <x:c r="Q321" s="9" t="n">
        <x:f>IF(K321=0,"n.a.",M321/K321)</x:f>
        <x:v>0.75</x:v>
      </x:c>
      <x:c r="R321" s="9" t="n">
        <x:f>IF(K321=0,"n.a.",N321/K321)</x:f>
        <x:v>0.1</x:v>
      </x:c>
      <x:c r="S321" s="7" t="n">
        <x:v>39</x:v>
      </x:c>
      <x:c r="T321" s="10" t="n">
        <x:v>0.2</x:v>
      </x:c>
      <x:c r="U321" s="7" t="n">
        <x:v>257</x:v>
      </x:c>
      <x:c r="V321" s="7" t="n">
        <x:v>830</x:v>
      </x:c>
    </x:row>
    <x:row r="322" ht="16" customHeight="1">
      <x:c r="A322" s="7" t="n">
        <x:v>319</x:v>
      </x:c>
      <x:c r="B322" s="8" t="n">
        <x:v>45989</x:v>
      </x:c>
      <x:c r="C322" s="7" t="str">
        <x:v>Abyss</x:v>
      </x:c>
      <x:c r="D322" s="7" t="str">
        <x:v>7th</x:v>
      </x:c>
      <x:c r="E322" s="7" t="str">
        <x:v>Neon</x:v>
      </x:c>
      <x:c r="F322" s="7" t="n">
        <x:v>5</x:v>
      </x:c>
      <x:c r="G322" s="7" t="n">
        <x:v>13</x:v>
      </x:c>
      <x:c r="H322" s="7" t="str">
        <x:f>IF(F322&gt;G322,"Win",IF(F322&lt;G322,"Loss","Draw"))</x:f>
        <x:v>Loss</x:v>
      </x:c>
      <x:c r="I322" s="7" t="n">
        <x:f>IF(H322="Win",1,0)</x:f>
        <x:v>0</x:v>
      </x:c>
      <x:c r="J322" s="7" t="n">
        <x:f>F322-G322</x:f>
        <x:v>-8</x:v>
      </x:c>
      <x:c r="K322" s="7" t="n">
        <x:f>F322+G322</x:f>
        <x:v>18</x:v>
      </x:c>
      <x:c r="L322" s="7" t="n">
        <x:v>11</x:v>
      </x:c>
      <x:c r="M322" s="7" t="n">
        <x:v>17</x:v>
      </x:c>
      <x:c r="N322" s="7" t="n">
        <x:v>2</x:v>
      </x:c>
      <x:c r="O322" s="9" t="n">
        <x:f>IF(M322=0,"n.a.",L322/M322)</x:f>
        <x:v>0.6470588235294118</x:v>
      </x:c>
      <x:c r="P322" s="9" t="n">
        <x:f>IF(K322=0,"n.a.",L322/K322)</x:f>
        <x:v>0.6111111111111112</x:v>
      </x:c>
      <x:c r="Q322" s="9" t="n">
        <x:f>IF(K322=0,"n.a.",M322/K322)</x:f>
        <x:v>0.9444444444444444</x:v>
      </x:c>
      <x:c r="R322" s="9" t="n">
        <x:f>IF(K322=0,"n.a.",N322/K322)</x:f>
        <x:v>0.1111111111111111</x:v>
      </x:c>
      <x:c r="S322" s="7" t="n">
        <x:v>-38</x:v>
      </x:c>
      <x:c r="T322" s="10" t="n">
        <x:v>0.22</x:v>
      </x:c>
      <x:c r="U322" s="7" t="n">
        <x:v>186</x:v>
      </x:c>
      <x:c r="V322" s="7" t="n">
        <x:v>252</x:v>
      </x:c>
    </x:row>
    <x:row r="323" ht="16" customHeight="1">
      <x:c r="A323" s="7" t="n">
        <x:v>320</x:v>
      </x:c>
      <x:c r="B323" s="8" t="n">
        <x:v>45989</x:v>
      </x:c>
      <x:c r="C323" s="7" t="str">
        <x:v>Sunset</x:v>
      </x:c>
      <x:c r="D323" s="7" t="str">
        <x:v>5th</x:v>
      </x:c>
      <x:c r="E323" s="7" t="str">
        <x:v>Astra</x:v>
      </x:c>
      <x:c r="F323" s="7" t="n">
        <x:v>14</x:v>
      </x:c>
      <x:c r="G323" s="7" t="n">
        <x:v>12</x:v>
      </x:c>
      <x:c r="H323" s="7" t="str">
        <x:f>IF(F323&gt;G323,"Win",IF(F323&lt;G323,"Loss","Draw"))</x:f>
        <x:v>Win</x:v>
      </x:c>
      <x:c r="I323" s="7" t="n">
        <x:f>IF(H323="Win",1,0)</x:f>
        <x:v>1</x:v>
      </x:c>
      <x:c r="J323" s="7" t="n">
        <x:f>F323-G323</x:f>
        <x:v>2</x:v>
      </x:c>
      <x:c r="K323" s="7" t="n">
        <x:f>F323+G323</x:f>
        <x:v>26</x:v>
      </x:c>
      <x:c r="L323" s="7" t="n">
        <x:v>18</x:v>
      </x:c>
      <x:c r="M323" s="7" t="n">
        <x:v>17</x:v>
      </x:c>
      <x:c r="N323" s="7" t="n">
        <x:v>3</x:v>
      </x:c>
      <x:c r="O323" s="9" t="n">
        <x:f>IF(M323=0,"n.a.",L323/M323)</x:f>
        <x:v>1.0588235294117647</x:v>
      </x:c>
      <x:c r="P323" s="9" t="n">
        <x:f>IF(K323=0,"n.a.",L323/K323)</x:f>
        <x:v>0.6923076923076923</x:v>
      </x:c>
      <x:c r="Q323" s="9" t="n">
        <x:f>IF(K323=0,"n.a.",M323/K323)</x:f>
        <x:v>0.6538461538461539</x:v>
      </x:c>
      <x:c r="R323" s="9" t="n">
        <x:f>IF(K323=0,"n.a.",N323/K323)</x:f>
        <x:v>0.11538461538461539</x:v>
      </x:c>
      <x:c r="S323" s="7" t="n">
        <x:v>-23</x:v>
      </x:c>
      <x:c r="T323" s="10" t="n">
        <x:v>0.27</x:v>
      </x:c>
      <x:c r="U323" s="7" t="n">
        <x:v>181</x:v>
      </x:c>
      <x:c r="V323" s="7" t="n">
        <x:v>458</x:v>
      </x:c>
    </x:row>
    <x:row r="324" ht="16" customHeight="1">
      <x:c r="A324" s="7" t="n">
        <x:v>321</x:v>
      </x:c>
      <x:c r="B324" s="8" t="n">
        <x:v>45990</x:v>
      </x:c>
      <x:c r="C324" s="7" t="str">
        <x:v>Corrode</x:v>
      </x:c>
      <x:c r="D324" s="7" t="str">
        <x:v>10th</x:v>
      </x:c>
      <x:c r="E324" s="7" t="str">
        <x:v>Neon</x:v>
      </x:c>
      <x:c r="F324" s="7" t="n">
        <x:v>9</x:v>
      </x:c>
      <x:c r="G324" s="7" t="n">
        <x:v>13</x:v>
      </x:c>
      <x:c r="H324" s="7" t="str">
        <x:f>IF(F324&gt;G324,"Win",IF(F324&lt;G324,"Loss","Draw"))</x:f>
        <x:v>Loss</x:v>
      </x:c>
      <x:c r="I324" s="7" t="n">
        <x:f>IF(H324="Win",1,0)</x:f>
        <x:v>0</x:v>
      </x:c>
      <x:c r="J324" s="7" t="n">
        <x:f>F324-G324</x:f>
        <x:v>-4</x:v>
      </x:c>
      <x:c r="K324" s="7" t="n">
        <x:f>F324+G324</x:f>
        <x:v>22</x:v>
      </x:c>
      <x:c r="L324" s="7" t="n">
        <x:v>9</x:v>
      </x:c>
      <x:c r="M324" s="7" t="n">
        <x:v>20</x:v>
      </x:c>
      <x:c r="N324" s="7" t="n">
        <x:v>4</x:v>
      </x:c>
      <x:c r="O324" s="9" t="n">
        <x:f>IF(M324=0,"n.a.",L324/M324)</x:f>
        <x:v>0.45</x:v>
      </x:c>
      <x:c r="P324" s="9" t="n">
        <x:f>IF(K324=0,"n.a.",L324/K324)</x:f>
        <x:v>0.4090909090909091</x:v>
      </x:c>
      <x:c r="Q324" s="9" t="n">
        <x:f>IF(K324=0,"n.a.",M324/K324)</x:f>
        <x:v>0.9090909090909091</x:v>
      </x:c>
      <x:c r="R324" s="9" t="n">
        <x:f>IF(K324=0,"n.a.",N324/K324)</x:f>
        <x:v>0.18181818181818182</x:v>
      </x:c>
      <x:c r="S324" s="7" t="n">
        <x:v>-82</x:v>
      </x:c>
      <x:c r="T324" s="10" t="n">
        <x:v>0.16</x:v>
      </x:c>
      <x:c r="U324" s="7" t="n">
        <x:v>115</x:v>
      </x:c>
      <x:c r="V324" s="7" t="n">
        <x:v>138</x:v>
      </x:c>
    </x:row>
    <x:row r="325" ht="16" customHeight="1">
      <x:c r="A325" s="7" t="n">
        <x:v>322</x:v>
      </x:c>
      <x:c r="B325" s="8" t="n">
        <x:v>45990</x:v>
      </x:c>
      <x:c r="C325" s="7" t="str">
        <x:v>Split</x:v>
      </x:c>
      <x:c r="D325" s="7" t="str">
        <x:v>7th</x:v>
      </x:c>
      <x:c r="E325" s="7" t="str">
        <x:v>Reyna</x:v>
      </x:c>
      <x:c r="F325" s="7" t="n">
        <x:v>13</x:v>
      </x:c>
      <x:c r="G325" s="7" t="n">
        <x:v>9</x:v>
      </x:c>
      <x:c r="H325" s="7" t="str">
        <x:f>IF(F325&gt;G325,"Win",IF(F325&lt;G325,"Loss","Draw"))</x:f>
        <x:v>Win</x:v>
      </x:c>
      <x:c r="I325" s="7" t="n">
        <x:f>IF(H325="Win",1,0)</x:f>
        <x:v>1</x:v>
      </x:c>
      <x:c r="J325" s="7" t="n">
        <x:f>F325-G325</x:f>
        <x:v>4</x:v>
      </x:c>
      <x:c r="K325" s="7" t="n">
        <x:f>F325+G325</x:f>
        <x:v>22</x:v>
      </x:c>
      <x:c r="L325" s="7" t="n">
        <x:v>15</x:v>
      </x:c>
      <x:c r="M325" s="7" t="n">
        <x:v>17</x:v>
      </x:c>
      <x:c r="N325" s="7" t="n">
        <x:v>3</x:v>
      </x:c>
      <x:c r="O325" s="9" t="n">
        <x:f>IF(M325=0,"n.a.",L325/M325)</x:f>
        <x:v>0.8823529411764706</x:v>
      </x:c>
      <x:c r="P325" s="9" t="n">
        <x:f>IF(K325=0,"n.a.",L325/K325)</x:f>
        <x:v>0.6818181818181818</x:v>
      </x:c>
      <x:c r="Q325" s="9" t="n">
        <x:f>IF(K325=0,"n.a.",M325/K325)</x:f>
        <x:v>0.7727272727272727</x:v>
      </x:c>
      <x:c r="R325" s="9" t="n">
        <x:f>IF(K325=0,"n.a.",N325/K325)</x:f>
        <x:v>0.13636363636363635</x:v>
      </x:c>
      <x:c r="S325" s="7" t="n">
        <x:v>-16</x:v>
      </x:c>
      <x:c r="T325" s="10" t="n">
        <x:v>0.35</x:v>
      </x:c>
      <x:c r="U325" s="7" t="n">
        <x:v>184</x:v>
      </x:c>
      <x:c r="V325" s="7" t="n">
        <x:v>462</x:v>
      </x:c>
    </x:row>
    <x:row r="326" ht="16" customHeight="1">
      <x:c r="A326" s="7" t="n">
        <x:v>323</x:v>
      </x:c>
      <x:c r="B326" s="8" t="n">
        <x:v>45990</x:v>
      </x:c>
      <x:c r="C326" s="7" t="str">
        <x:v>Sunset</x:v>
      </x:c>
      <x:c r="D326" s="7" t="str">
        <x:v>8th</x:v>
      </x:c>
      <x:c r="E326" s="7" t="str">
        <x:v>Neon</x:v>
      </x:c>
      <x:c r="F326" s="7" t="n">
        <x:v>2</x:v>
      </x:c>
      <x:c r="G326" s="7" t="n">
        <x:v>13</x:v>
      </x:c>
      <x:c r="H326" s="7" t="str">
        <x:f>IF(F326&gt;G326,"Win",IF(F326&lt;G326,"Loss","Draw"))</x:f>
        <x:v>Loss</x:v>
      </x:c>
      <x:c r="I326" s="7" t="n">
        <x:f>IF(H326="Win",1,0)</x:f>
        <x:v>0</x:v>
      </x:c>
      <x:c r="J326" s="7" t="n">
        <x:f>F326-G326</x:f>
        <x:v>-11</x:v>
      </x:c>
      <x:c r="K326" s="7" t="n">
        <x:f>F326+G326</x:f>
        <x:v>15</x:v>
      </x:c>
      <x:c r="L326" s="7" t="n">
        <x:v>3</x:v>
      </x:c>
      <x:c r="M326" s="7" t="n">
        <x:v>14</x:v>
      </x:c>
      <x:c r="N326" s="7" t="n">
        <x:v>0</x:v>
      </x:c>
      <x:c r="O326" s="9" t="n">
        <x:f>IF(M326=0,"n.a.",L326/M326)</x:f>
        <x:v>0.21428571428571427</x:v>
      </x:c>
      <x:c r="P326" s="9" t="n">
        <x:f>IF(K326=0,"n.a.",L326/K326)</x:f>
        <x:v>0.2</x:v>
      </x:c>
      <x:c r="Q326" s="9" t="n">
        <x:f>IF(K326=0,"n.a.",M326/K326)</x:f>
        <x:v>0.9333333333333333</x:v>
      </x:c>
      <x:c r="R326" s="9" t="n">
        <x:f>IF(K326=0,"n.a.",N326/K326)</x:f>
        <x:v>0</x:v>
      </x:c>
      <x:c r="S326" s="7" t="n">
        <x:v>-111</x:v>
      </x:c>
      <x:c r="T326" s="10" t="n">
        <x:v>0.19</x:v>
      </x:c>
      <x:c r="U326" s="7" t="n">
        <x:v>64</x:v>
      </x:c>
      <x:c r="V326" s="7" t="n">
        <x:v>100</x:v>
      </x:c>
    </x:row>
    <x:row r="327" ht="16" customHeight="1">
      <x:c r="A327" s="7" t="n">
        <x:v>324</x:v>
      </x:c>
      <x:c r="B327" s="8" t="n">
        <x:v>45990</x:v>
      </x:c>
      <x:c r="C327" s="7" t="str">
        <x:v>Bind</x:v>
      </x:c>
      <x:c r="D327" s="7" t="str">
        <x:v>MVP</x:v>
      </x:c>
      <x:c r="E327" s="7" t="str">
        <x:v>Neon</x:v>
      </x:c>
      <x:c r="F327" s="7" t="n">
        <x:v>5</x:v>
      </x:c>
      <x:c r="G327" s="7" t="n">
        <x:v>13</x:v>
      </x:c>
      <x:c r="H327" s="7" t="str">
        <x:f>IF(F327&gt;G327,"Win",IF(F327&lt;G327,"Loss","Draw"))</x:f>
        <x:v>Loss</x:v>
      </x:c>
      <x:c r="I327" s="7" t="n">
        <x:f>IF(H327="Win",1,0)</x:f>
        <x:v>0</x:v>
      </x:c>
      <x:c r="J327" s="7" t="n">
        <x:f>F327-G327</x:f>
        <x:v>-8</x:v>
      </x:c>
      <x:c r="K327" s="7" t="n">
        <x:f>F327+G327</x:f>
        <x:v>18</x:v>
      </x:c>
      <x:c r="L327" s="7" t="n">
        <x:v>19</x:v>
      </x:c>
      <x:c r="M327" s="7" t="n">
        <x:v>15</x:v>
      </x:c>
      <x:c r="N327" s="7" t="n">
        <x:v>1</x:v>
      </x:c>
      <x:c r="O327" s="9" t="n">
        <x:f>IF(M327=0,"n.a.",L327/M327)</x:f>
        <x:v>1.2666666666666666</x:v>
      </x:c>
      <x:c r="P327" s="9" t="n">
        <x:f>IF(K327=0,"n.a.",L327/K327)</x:f>
        <x:v>1.0555555555555556</x:v>
      </x:c>
      <x:c r="Q327" s="9" t="n">
        <x:f>IF(K327=0,"n.a.",M327/K327)</x:f>
        <x:v>0.8333333333333334</x:v>
      </x:c>
      <x:c r="R327" s="9" t="n">
        <x:f>IF(K327=0,"n.a.",N327/K327)</x:f>
        <x:v>0.05555555555555555</x:v>
      </x:c>
      <x:c r="S327" s="7" t="n">
        <x:v>14</x:v>
      </x:c>
      <x:c r="T327" s="10" t="n">
        <x:v>0.15</x:v>
      </x:c>
      <x:c r="U327" s="7" t="n">
        <x:v>308</x:v>
      </x:c>
      <x:c r="V327" s="7" t="n">
        <x:v>532</x:v>
      </x:c>
    </x:row>
    <x:row r="328" ht="16" customHeight="1">
      <x:c r="A328" s="7" t="n">
        <x:v>325</x:v>
      </x:c>
      <x:c r="B328" s="8" t="n">
        <x:v>45990</x:v>
      </x:c>
      <x:c r="C328" s="7" t="str">
        <x:v>Pearl</x:v>
      </x:c>
      <x:c r="D328" s="7" t="str">
        <x:v>MVP</x:v>
      </x:c>
      <x:c r="E328" s="7" t="str">
        <x:v>Chamber</x:v>
      </x:c>
      <x:c r="F328" s="7" t="n">
        <x:v>10</x:v>
      </x:c>
      <x:c r="G328" s="7" t="n">
        <x:v>13</x:v>
      </x:c>
      <x:c r="H328" s="7" t="str">
        <x:f>IF(F328&gt;G328,"Win",IF(F328&lt;G328,"Loss","Draw"))</x:f>
        <x:v>Loss</x:v>
      </x:c>
      <x:c r="I328" s="7" t="n">
        <x:f>IF(H328="Win",1,0)</x:f>
        <x:v>0</x:v>
      </x:c>
      <x:c r="J328" s="7" t="n">
        <x:f>F328-G328</x:f>
        <x:v>-3</x:v>
      </x:c>
      <x:c r="K328" s="7" t="n">
        <x:f>F328+G328</x:f>
        <x:v>23</x:v>
      </x:c>
      <x:c r="L328" s="7" t="n">
        <x:v>26</x:v>
      </x:c>
      <x:c r="M328" s="7" t="n">
        <x:v>16</x:v>
      </x:c>
      <x:c r="N328" s="7" t="n">
        <x:v>2</x:v>
      </x:c>
      <x:c r="O328" s="9" t="n">
        <x:f>IF(M328=0,"n.a.",L328/M328)</x:f>
        <x:v>1.625</x:v>
      </x:c>
      <x:c r="P328" s="9" t="n">
        <x:f>IF(K328=0,"n.a.",L328/K328)</x:f>
        <x:v>1.1304347826086956</x:v>
      </x:c>
      <x:c r="Q328" s="9" t="n">
        <x:f>IF(K328=0,"n.a.",M328/K328)</x:f>
        <x:v>0.6956521739130435</x:v>
      </x:c>
      <x:c r="R328" s="9" t="n">
        <x:f>IF(K328=0,"n.a.",N328/K328)</x:f>
        <x:v>0.08695652173913043</x:v>
      </x:c>
      <x:c r="S328" s="7" t="n">
        <x:v>60</x:v>
      </x:c>
      <x:c r="T328" s="10" t="n">
        <x:v>0.36</x:v>
      </x:c>
      <x:c r="U328" s="7" t="n">
        <x:v>317</x:v>
      </x:c>
      <x:c r="V328" s="7" t="n">
        <x:v>812</x:v>
      </x:c>
    </x:row>
    <x:row r="329" ht="16" customHeight="1">
      <x:c r="A329" s="7" t="n">
        <x:v>326</x:v>
      </x:c>
      <x:c r="B329" s="8" t="n">
        <x:v>45991</x:v>
      </x:c>
      <x:c r="C329" s="7" t="str">
        <x:v>Bind</x:v>
      </x:c>
      <x:c r="D329" s="7" t="str">
        <x:v>6th</x:v>
      </x:c>
      <x:c r="E329" s="7" t="str">
        <x:v>Neon</x:v>
      </x:c>
      <x:c r="F329" s="7" t="n">
        <x:v>13</x:v>
      </x:c>
      <x:c r="G329" s="7" t="n">
        <x:v>6</x:v>
      </x:c>
      <x:c r="H329" s="7" t="str">
        <x:f>IF(F329&gt;G329,"Win",IF(F329&lt;G329,"Loss","Draw"))</x:f>
        <x:v>Win</x:v>
      </x:c>
      <x:c r="I329" s="7" t="n">
        <x:f>IF(H329="Win",1,0)</x:f>
        <x:v>1</x:v>
      </x:c>
      <x:c r="J329" s="7" t="n">
        <x:f>F329-G329</x:f>
        <x:v>7</x:v>
      </x:c>
      <x:c r="K329" s="7" t="n">
        <x:f>F329+G329</x:f>
        <x:v>19</x:v>
      </x:c>
      <x:c r="L329" s="7" t="n">
        <x:v>15</x:v>
      </x:c>
      <x:c r="M329" s="7" t="n">
        <x:v>17</x:v>
      </x:c>
      <x:c r="N329" s="7" t="n">
        <x:v>6</x:v>
      </x:c>
      <x:c r="O329" s="9" t="n">
        <x:f>IF(M329=0,"n.a.",L329/M329)</x:f>
        <x:v>0.8823529411764706</x:v>
      </x:c>
      <x:c r="P329" s="9" t="n">
        <x:f>IF(K329=0,"n.a.",L329/K329)</x:f>
        <x:v>0.7894736842105263</x:v>
      </x:c>
      <x:c r="Q329" s="9" t="n">
        <x:f>IF(K329=0,"n.a.",M329/K329)</x:f>
        <x:v>0.8947368421052632</x:v>
      </x:c>
      <x:c r="R329" s="9" t="n">
        <x:f>IF(K329=0,"n.a.",N329/K329)</x:f>
        <x:v>0.3157894736842105</x:v>
      </x:c>
      <x:c r="S329" s="7" t="n">
        <x:v>-33</x:v>
      </x:c>
      <x:c r="T329" s="10" t="n">
        <x:v>0.22</x:v>
      </x:c>
      <x:c r="U329" s="7" t="n">
        <x:v>216</x:v>
      </x:c>
      <x:c r="V329" s="7" t="n">
        <x:v>519</x:v>
      </x:c>
    </x:row>
    <x:row r="330" ht="16" customHeight="1">
      <x:c r="A330" s="7" t="n">
        <x:v>327</x:v>
      </x:c>
      <x:c r="B330" s="8" t="n">
        <x:v>45992</x:v>
      </x:c>
      <x:c r="C330" s="7" t="str">
        <x:v>Abyss</x:v>
      </x:c>
      <x:c r="D330" s="7" t="str">
        <x:v>10th</x:v>
      </x:c>
      <x:c r="E330" s="7" t="str">
        <x:v>Neon</x:v>
      </x:c>
      <x:c r="F330" s="7" t="n">
        <x:v>7</x:v>
      </x:c>
      <x:c r="G330" s="7" t="n">
        <x:v>13</x:v>
      </x:c>
      <x:c r="H330" s="7" t="str">
        <x:f>IF(F330&gt;G330,"Win",IF(F330&lt;G330,"Loss","Draw"))</x:f>
        <x:v>Loss</x:v>
      </x:c>
      <x:c r="I330" s="7" t="n">
        <x:f>IF(H330="Win",1,0)</x:f>
        <x:v>0</x:v>
      </x:c>
      <x:c r="J330" s="7" t="n">
        <x:f>F330-G330</x:f>
        <x:v>-6</x:v>
      </x:c>
      <x:c r="K330" s="7" t="n">
        <x:f>F330+G330</x:f>
        <x:v>20</x:v>
      </x:c>
      <x:c r="L330" s="7" t="n">
        <x:v>7</x:v>
      </x:c>
      <x:c r="M330" s="7" t="n">
        <x:v>18</x:v>
      </x:c>
      <x:c r="N330" s="7" t="n">
        <x:v>4</x:v>
      </x:c>
      <x:c r="O330" s="9" t="n">
        <x:f>IF(M330=0,"n.a.",L330/M330)</x:f>
        <x:v>0.3888888888888889</x:v>
      </x:c>
      <x:c r="P330" s="9" t="n">
        <x:f>IF(K330=0,"n.a.",L330/K330)</x:f>
        <x:v>0.35</x:v>
      </x:c>
      <x:c r="Q330" s="9" t="n">
        <x:f>IF(K330=0,"n.a.",M330/K330)</x:f>
        <x:v>0.9</x:v>
      </x:c>
      <x:c r="R330" s="9" t="n">
        <x:f>IF(K330=0,"n.a.",N330/K330)</x:f>
        <x:v>0.2</x:v>
      </x:c>
      <x:c r="S330" s="7" t="n">
        <x:v>-77</x:v>
      </x:c>
      <x:c r="T330" s="10" t="n">
        <x:v>0.09</x:v>
      </x:c>
      <x:c r="U330" s="7" t="n">
        <x:v>119</x:v>
      </x:c>
      <x:c r="V330" s="7" t="n">
        <x:v>100</x:v>
      </x:c>
    </x:row>
    <x:row r="331" ht="16" customHeight="1">
      <x:c r="A331" s="7" t="n">
        <x:v>328</x:v>
      </x:c>
      <x:c r="B331" s="8" t="n">
        <x:v>45992</x:v>
      </x:c>
      <x:c r="C331" s="7" t="str">
        <x:v>Sunset</x:v>
      </x:c>
      <x:c r="D331" s="7" t="str">
        <x:v>MVP</x:v>
      </x:c>
      <x:c r="E331" s="7" t="str">
        <x:v>Neon</x:v>
      </x:c>
      <x:c r="F331" s="7" t="n">
        <x:v>13</x:v>
      </x:c>
      <x:c r="G331" s="7" t="n">
        <x:v>7</x:v>
      </x:c>
      <x:c r="H331" s="7" t="str">
        <x:f>IF(F331&gt;G331,"Win",IF(F331&lt;G331,"Loss","Draw"))</x:f>
        <x:v>Win</x:v>
      </x:c>
      <x:c r="I331" s="7" t="n">
        <x:f>IF(H331="Win",1,0)</x:f>
        <x:v>1</x:v>
      </x:c>
      <x:c r="J331" s="7" t="n">
        <x:f>F331-G331</x:f>
        <x:v>6</x:v>
      </x:c>
      <x:c r="K331" s="7" t="n">
        <x:f>F331+G331</x:f>
        <x:v>20</x:v>
      </x:c>
      <x:c r="L331" s="7" t="n">
        <x:v>21</x:v>
      </x:c>
      <x:c r="M331" s="7" t="n">
        <x:v>16</x:v>
      </x:c>
      <x:c r="N331" s="7" t="n">
        <x:v>5</x:v>
      </x:c>
      <x:c r="O331" s="9" t="n">
        <x:f>IF(M331=0,"n.a.",L331/M331)</x:f>
        <x:v>1.3125</x:v>
      </x:c>
      <x:c r="P331" s="9" t="n">
        <x:f>IF(K331=0,"n.a.",L331/K331)</x:f>
        <x:v>1.05</x:v>
      </x:c>
      <x:c r="Q331" s="9" t="n">
        <x:f>IF(K331=0,"n.a.",M331/K331)</x:f>
        <x:v>0.8</x:v>
      </x:c>
      <x:c r="R331" s="9" t="n">
        <x:f>IF(K331=0,"n.a.",N331/K331)</x:f>
        <x:v>0.25</x:v>
      </x:c>
      <x:c r="S331" s="7" t="n">
        <x:v>27</x:v>
      </x:c>
      <x:c r="T331" s="10" t="n">
        <x:v>0.15</x:v>
      </x:c>
      <x:c r="U331" s="7" t="n">
        <x:v>297</x:v>
      </x:c>
      <x:c r="V331" s="7" t="n">
        <x:v>799</x:v>
      </x:c>
    </x:row>
    <x:row r="332" ht="16" customHeight="1">
      <x:c r="A332" s="7" t="n">
        <x:v>329</x:v>
      </x:c>
      <x:c r="B332" s="8" t="n">
        <x:v>45992</x:v>
      </x:c>
      <x:c r="C332" s="7" t="str">
        <x:v>Split</x:v>
      </x:c>
      <x:c r="D332" s="7" t="str">
        <x:v>MVP</x:v>
      </x:c>
      <x:c r="E332" s="7" t="str">
        <x:v>Neon</x:v>
      </x:c>
      <x:c r="F332" s="7" t="n">
        <x:v>13</x:v>
      </x:c>
      <x:c r="G332" s="7" t="n">
        <x:v>7</x:v>
      </x:c>
      <x:c r="H332" s="7" t="str">
        <x:f>IF(F332&gt;G332,"Win",IF(F332&lt;G332,"Loss","Draw"))</x:f>
        <x:v>Win</x:v>
      </x:c>
      <x:c r="I332" s="7" t="n">
        <x:f>IF(H332="Win",1,0)</x:f>
        <x:v>1</x:v>
      </x:c>
      <x:c r="J332" s="7" t="n">
        <x:f>F332-G332</x:f>
        <x:v>6</x:v>
      </x:c>
      <x:c r="K332" s="7" t="n">
        <x:f>F332+G332</x:f>
        <x:v>20</x:v>
      </x:c>
      <x:c r="L332" s="7" t="n">
        <x:v>31</x:v>
      </x:c>
      <x:c r="M332" s="7" t="n">
        <x:v>13</x:v>
      </x:c>
      <x:c r="N332" s="7" t="n">
        <x:v>2</x:v>
      </x:c>
      <x:c r="O332" s="9" t="n">
        <x:f>IF(M332=0,"n.a.",L332/M332)</x:f>
        <x:v>2.3846153846153846</x:v>
      </x:c>
      <x:c r="P332" s="9" t="n">
        <x:f>IF(K332=0,"n.a.",L332/K332)</x:f>
        <x:v>1.55</x:v>
      </x:c>
      <x:c r="Q332" s="9" t="n">
        <x:f>IF(K332=0,"n.a.",M332/K332)</x:f>
        <x:v>0.65</x:v>
      </x:c>
      <x:c r="R332" s="9" t="n">
        <x:f>IF(K332=0,"n.a.",N332/K332)</x:f>
        <x:v>0.1</x:v>
      </x:c>
      <x:c r="S332" s="7" t="n">
        <x:v>134</x:v>
      </x:c>
      <x:c r="T332" s="10" t="n">
        <x:v>0.21</x:v>
      </x:c>
      <x:c r="U332" s="7" t="n">
        <x:v>421</x:v>
      </x:c>
      <x:c r="V332" s="7" t="n">
        <x:v>996</x:v>
      </x:c>
    </x:row>
    <x:row r="333" ht="16" customHeight="1">
      <x:c r="A333" s="7" t="n">
        <x:v>330</x:v>
      </x:c>
      <x:c r="B333" s="8" t="n">
        <x:v>45992</x:v>
      </x:c>
      <x:c r="C333" s="7" t="str">
        <x:v>Pearl</x:v>
      </x:c>
      <x:c r="D333" s="7" t="str">
        <x:v>MVP</x:v>
      </x:c>
      <x:c r="E333" s="7" t="str">
        <x:v>Jett</x:v>
      </x:c>
      <x:c r="F333" s="7" t="n">
        <x:v>9</x:v>
      </x:c>
      <x:c r="G333" s="7" t="n">
        <x:v>13</x:v>
      </x:c>
      <x:c r="H333" s="7" t="str">
        <x:f>IF(F333&gt;G333,"Win",IF(F333&lt;G333,"Loss","Draw"))</x:f>
        <x:v>Loss</x:v>
      </x:c>
      <x:c r="I333" s="7" t="n">
        <x:f>IF(H333="Win",1,0)</x:f>
        <x:v>0</x:v>
      </x:c>
      <x:c r="J333" s="7" t="n">
        <x:f>F333-G333</x:f>
        <x:v>-4</x:v>
      </x:c>
      <x:c r="K333" s="7" t="n">
        <x:f>F333+G333</x:f>
        <x:v>22</x:v>
      </x:c>
      <x:c r="L333" s="7" t="n">
        <x:v>26</x:v>
      </x:c>
      <x:c r="M333" s="7" t="n">
        <x:v>17</x:v>
      </x:c>
      <x:c r="N333" s="7" t="n">
        <x:v>3</x:v>
      </x:c>
      <x:c r="O333" s="9" t="n">
        <x:f>IF(M333=0,"n.a.",L333/M333)</x:f>
        <x:v>1.5294117647058822</x:v>
      </x:c>
      <x:c r="P333" s="9" t="n">
        <x:f>IF(K333=0,"n.a.",L333/K333)</x:f>
        <x:v>1.1818181818181819</x:v>
      </x:c>
      <x:c r="Q333" s="9" t="n">
        <x:f>IF(K333=0,"n.a.",M333/K333)</x:f>
        <x:v>0.7727272727272727</x:v>
      </x:c>
      <x:c r="R333" s="9" t="n">
        <x:f>IF(K333=0,"n.a.",N333/K333)</x:f>
        <x:v>0.13636363636363635</x:v>
      </x:c>
      <x:c r="S333" s="7" t="n">
        <x:v>52</x:v>
      </x:c>
      <x:c r="T333" s="10" t="n">
        <x:v>0.25</x:v>
      </x:c>
      <x:c r="U333" s="7" t="n">
        <x:v>351</x:v>
      </x:c>
      <x:c r="V333" s="7" t="n">
        <x:v>837</x:v>
      </x:c>
    </x:row>
    <x:row r="334" ht="16" customHeight="1">
      <x:c r="A334" s="7" t="n">
        <x:v>331</x:v>
      </x:c>
      <x:c r="B334" s="8" t="n">
        <x:v>45992</x:v>
      </x:c>
      <x:c r="C334" s="7" t="str">
        <x:v>Sunset</x:v>
      </x:c>
      <x:c r="D334" s="7" t="str">
        <x:v>2nd</x:v>
      </x:c>
      <x:c r="E334" s="7" t="str">
        <x:v>Neon</x:v>
      </x:c>
      <x:c r="F334" s="7" t="n">
        <x:v>11</x:v>
      </x:c>
      <x:c r="G334" s="7" t="n">
        <x:v>13</x:v>
      </x:c>
      <x:c r="H334" s="7" t="str">
        <x:f>IF(F334&gt;G334,"Win",IF(F334&lt;G334,"Loss","Draw"))</x:f>
        <x:v>Loss</x:v>
      </x:c>
      <x:c r="I334" s="7" t="n">
        <x:f>IF(H334="Win",1,0)</x:f>
        <x:v>0</x:v>
      </x:c>
      <x:c r="J334" s="7" t="n">
        <x:f>F334-G334</x:f>
        <x:v>-2</x:v>
      </x:c>
      <x:c r="K334" s="7" t="n">
        <x:f>F334+G334</x:f>
        <x:v>24</x:v>
      </x:c>
      <x:c r="L334" s="7" t="n">
        <x:v>28</x:v>
      </x:c>
      <x:c r="M334" s="7" t="n">
        <x:v>19</x:v>
      </x:c>
      <x:c r="N334" s="7" t="n">
        <x:v>6</x:v>
      </x:c>
      <x:c r="O334" s="9" t="n">
        <x:f>IF(M334=0,"n.a.",L334/M334)</x:f>
        <x:v>1.4736842105263157</x:v>
      </x:c>
      <x:c r="P334" s="9" t="n">
        <x:f>IF(K334=0,"n.a.",L334/K334)</x:f>
        <x:v>1.1666666666666667</x:v>
      </x:c>
      <x:c r="Q334" s="9" t="n">
        <x:f>IF(K334=0,"n.a.",M334/K334)</x:f>
        <x:v>0.7916666666666666</x:v>
      </x:c>
      <x:c r="R334" s="9" t="n">
        <x:f>IF(K334=0,"n.a.",N334/K334)</x:f>
        <x:v>0.25</x:v>
      </x:c>
      <x:c r="S334" s="7" t="n">
        <x:v>63</x:v>
      </x:c>
      <x:c r="T334" s="10" t="n">
        <x:v>0.12</x:v>
      </x:c>
      <x:c r="U334" s="7" t="n">
        <x:v>348</x:v>
      </x:c>
      <x:c r="V334" s="7" t="n">
        <x:v>848</x:v>
      </x:c>
    </x:row>
    <x:row r="335" ht="16" customHeight="1">
      <x:c r="A335" s="7" t="n">
        <x:v>332</x:v>
      </x:c>
      <x:c r="B335" s="8" t="n">
        <x:v>45992</x:v>
      </x:c>
      <x:c r="C335" s="7" t="str">
        <x:v>Corrode</x:v>
      </x:c>
      <x:c r="D335" s="7" t="str">
        <x:v>9th</x:v>
      </x:c>
      <x:c r="E335" s="7" t="str">
        <x:v>Skye</x:v>
      </x:c>
      <x:c r="F335" s="7" t="n">
        <x:v>6</x:v>
      </x:c>
      <x:c r="G335" s="7" t="n">
        <x:v>13</x:v>
      </x:c>
      <x:c r="H335" s="7" t="str">
        <x:f>IF(F335&gt;G335,"Win",IF(F335&lt;G335,"Loss","Draw"))</x:f>
        <x:v>Loss</x:v>
      </x:c>
      <x:c r="I335" s="7" t="n">
        <x:f>IF(H335="Win",1,0)</x:f>
        <x:v>0</x:v>
      </x:c>
      <x:c r="J335" s="7" t="n">
        <x:f>F335-G335</x:f>
        <x:v>-7</x:v>
      </x:c>
      <x:c r="K335" s="7" t="n">
        <x:f>F335+G335</x:f>
        <x:v>19</x:v>
      </x:c>
      <x:c r="L335" s="7" t="n">
        <x:v>9</x:v>
      </x:c>
      <x:c r="M335" s="7" t="n">
        <x:v>16</x:v>
      </x:c>
      <x:c r="N335" s="7" t="n">
        <x:v>4</x:v>
      </x:c>
      <x:c r="O335" s="9" t="n">
        <x:f>IF(M335=0,"n.a.",L335/M335)</x:f>
        <x:v>0.5625</x:v>
      </x:c>
      <x:c r="P335" s="9" t="n">
        <x:f>IF(K335=0,"n.a.",L335/K335)</x:f>
        <x:v>0.47368421052631576</x:v>
      </x:c>
      <x:c r="Q335" s="9" t="n">
        <x:f>IF(K335=0,"n.a.",M335/K335)</x:f>
        <x:v>0.8421052631578947</x:v>
      </x:c>
      <x:c r="R335" s="9" t="n">
        <x:f>IF(K335=0,"n.a.",N335/K335)</x:f>
        <x:v>0.21052631578947367</x:v>
      </x:c>
      <x:c r="S335" s="7" t="n">
        <x:v>-71</x:v>
      </x:c>
      <x:c r="T335" s="10" t="n">
        <x:v>0.42</x:v>
      </x:c>
      <x:c r="U335" s="7" t="n">
        <x:v>134</x:v>
      </x:c>
      <x:c r="V335" s="7" t="n">
        <x:v>104</x:v>
      </x:c>
    </x:row>
    <x:row r="336" ht="16" customHeight="1">
      <x:c r="A336" s="7" t="n">
        <x:v>333</x:v>
      </x:c>
      <x:c r="B336" s="8" t="n">
        <x:v>45992</x:v>
      </x:c>
      <x:c r="C336" s="7" t="str">
        <x:v>Haven</x:v>
      </x:c>
      <x:c r="D336" s="7" t="str">
        <x:v>4th</x:v>
      </x:c>
      <x:c r="E336" s="7" t="str">
        <x:v>Neon</x:v>
      </x:c>
      <x:c r="F336" s="7" t="n">
        <x:v>10</x:v>
      </x:c>
      <x:c r="G336" s="7" t="n">
        <x:v>13</x:v>
      </x:c>
      <x:c r="H336" s="7" t="str">
        <x:f>IF(F336&gt;G336,"Win",IF(F336&lt;G336,"Loss","Draw"))</x:f>
        <x:v>Loss</x:v>
      </x:c>
      <x:c r="I336" s="7" t="n">
        <x:f>IF(H336="Win",1,0)</x:f>
        <x:v>0</x:v>
      </x:c>
      <x:c r="J336" s="7" t="n">
        <x:f>F336-G336</x:f>
        <x:v>-3</x:v>
      </x:c>
      <x:c r="K336" s="7" t="n">
        <x:f>F336+G336</x:f>
        <x:v>23</x:v>
      </x:c>
      <x:c r="L336" s="7" t="n">
        <x:v>22</x:v>
      </x:c>
      <x:c r="M336" s="7" t="n">
        <x:v>22</x:v>
      </x:c>
      <x:c r="N336" s="7" t="n">
        <x:v>3</x:v>
      </x:c>
      <x:c r="O336" s="9" t="n">
        <x:f>IF(M336=0,"n.a.",L336/M336)</x:f>
        <x:v>1</x:v>
      </x:c>
      <x:c r="P336" s="9" t="n">
        <x:f>IF(K336=0,"n.a.",L336/K336)</x:f>
        <x:v>0.9565217391304348</x:v>
      </x:c>
      <x:c r="Q336" s="9" t="n">
        <x:f>IF(K336=0,"n.a.",M336/K336)</x:f>
        <x:v>0.9565217391304348</x:v>
      </x:c>
      <x:c r="R336" s="9" t="n">
        <x:f>IF(K336=0,"n.a.",N336/K336)</x:f>
        <x:v>0.13043478260869565</x:v>
      </x:c>
      <x:c r="S336" s="7" t="n">
        <x:v>-23</x:v>
      </x:c>
      <x:c r="T336" s="10" t="n">
        <x:v>0.12</x:v>
      </x:c>
      <x:c r="U336" s="7" t="n">
        <x:v>266</x:v>
      </x:c>
      <x:c r="V336" s="7" t="n">
        <x:v>554</x:v>
      </x:c>
    </x:row>
    <x:row r="337" ht="16" customHeight="1">
      <x:c r="A337" s="7" t="n">
        <x:v>334</x:v>
      </x:c>
      <x:c r="B337" s="8" t="n">
        <x:v>45992</x:v>
      </x:c>
      <x:c r="C337" s="7" t="str">
        <x:v>Haven</x:v>
      </x:c>
      <x:c r="D337" s="7" t="str">
        <x:v>2nd</x:v>
      </x:c>
      <x:c r="E337" s="7" t="str">
        <x:v>Neon</x:v>
      </x:c>
      <x:c r="F337" s="7" t="n">
        <x:v>8</x:v>
      </x:c>
      <x:c r="G337" s="7" t="n">
        <x:v>13</x:v>
      </x:c>
      <x:c r="H337" s="7" t="str">
        <x:f>IF(F337&gt;G337,"Win",IF(F337&lt;G337,"Loss","Draw"))</x:f>
        <x:v>Loss</x:v>
      </x:c>
      <x:c r="I337" s="7" t="n">
        <x:f>IF(H337="Win",1,0)</x:f>
        <x:v>0</x:v>
      </x:c>
      <x:c r="J337" s="7" t="n">
        <x:f>F337-G337</x:f>
        <x:v>-5</x:v>
      </x:c>
      <x:c r="K337" s="7" t="n">
        <x:f>F337+G337</x:f>
        <x:v>21</x:v>
      </x:c>
      <x:c r="L337" s="7" t="n">
        <x:v>20</x:v>
      </x:c>
      <x:c r="M337" s="7" t="n">
        <x:v>18</x:v>
      </x:c>
      <x:c r="N337" s="7" t="n">
        <x:v>3</x:v>
      </x:c>
      <x:c r="O337" s="9" t="n">
        <x:f>IF(M337=0,"n.a.",L337/M337)</x:f>
        <x:v>1.1111111111111112</x:v>
      </x:c>
      <x:c r="P337" s="9" t="n">
        <x:f>IF(K337=0,"n.a.",L337/K337)</x:f>
        <x:v>0.9523809523809523</x:v>
      </x:c>
      <x:c r="Q337" s="9" t="n">
        <x:f>IF(K337=0,"n.a.",M337/K337)</x:f>
        <x:v>0.8571428571428571</x:v>
      </x:c>
      <x:c r="R337" s="9" t="n">
        <x:f>IF(K337=0,"n.a.",N337/K337)</x:f>
        <x:v>0.14285714285714285</x:v>
      </x:c>
      <x:c r="S337" s="7" t="n">
        <x:v>3</x:v>
      </x:c>
      <x:c r="T337" s="10" t="n">
        <x:v>0.22</x:v>
      </x:c>
      <x:c r="U337" s="7" t="n">
        <x:v>269</x:v>
      </x:c>
      <x:c r="V337" s="7" t="n">
        <x:v>488</x:v>
      </x:c>
    </x:row>
    <x:row r="338" ht="16" customHeight="1">
      <x:c r="A338" s="7" t="n">
        <x:v>335</x:v>
      </x:c>
      <x:c r="B338" s="8" t="n">
        <x:v>45993</x:v>
      </x:c>
      <x:c r="C338" s="7" t="str">
        <x:v>Bind</x:v>
      </x:c>
      <x:c r="D338" s="7" t="str">
        <x:v>6th</x:v>
      </x:c>
      <x:c r="E338" s="7" t="str">
        <x:v>Neon</x:v>
      </x:c>
      <x:c r="F338" s="7" t="n">
        <x:v>13</x:v>
      </x:c>
      <x:c r="G338" s="7" t="n">
        <x:v>8</x:v>
      </x:c>
      <x:c r="H338" s="7" t="str">
        <x:f>IF(F338&gt;G338,"Win",IF(F338&lt;G338,"Loss","Draw"))</x:f>
        <x:v>Win</x:v>
      </x:c>
      <x:c r="I338" s="7" t="n">
        <x:f>IF(H338="Win",1,0)</x:f>
        <x:v>1</x:v>
      </x:c>
      <x:c r="J338" s="7" t="n">
        <x:f>F338-G338</x:f>
        <x:v>5</x:v>
      </x:c>
      <x:c r="K338" s="7" t="n">
        <x:f>F338+G338</x:f>
        <x:v>21</x:v>
      </x:c>
      <x:c r="L338" s="7" t="n">
        <x:v>15</x:v>
      </x:c>
      <x:c r="M338" s="7" t="n">
        <x:v>17</x:v>
      </x:c>
      <x:c r="N338" s="7" t="n">
        <x:v>2</x:v>
      </x:c>
      <x:c r="O338" s="9" t="n">
        <x:f>IF(M338=0,"n.a.",L338/M338)</x:f>
        <x:v>0.8823529411764706</x:v>
      </x:c>
      <x:c r="P338" s="9" t="n">
        <x:f>IF(K338=0,"n.a.",L338/K338)</x:f>
        <x:v>0.7142857142857143</x:v>
      </x:c>
      <x:c r="Q338" s="9" t="n">
        <x:f>IF(K338=0,"n.a.",M338/K338)</x:f>
        <x:v>0.8095238095238095</x:v>
      </x:c>
      <x:c r="R338" s="9" t="n">
        <x:f>IF(K338=0,"n.a.",N338/K338)</x:f>
        <x:v>0.09523809523809523</x:v>
      </x:c>
      <x:c r="S338" s="7" t="n">
        <x:v>-18</x:v>
      </x:c>
      <x:c r="T338" s="10" t="n">
        <x:v>0.14</x:v>
      </x:c>
      <x:c r="U338" s="7" t="n">
        <x:v>198</x:v>
      </x:c>
      <x:c r="V338" s="7" t="n">
        <x:v>438</x:v>
      </x:c>
    </x:row>
    <x:row r="339" ht="16" customHeight="1">
      <x:c r="A339" s="7" t="n">
        <x:v>336</x:v>
      </x:c>
      <x:c r="B339" s="8" t="n">
        <x:v>45994</x:v>
      </x:c>
      <x:c r="C339" s="7" t="str">
        <x:v>Pearl</x:v>
      </x:c>
      <x:c r="D339" s="7" t="str">
        <x:v>9th</x:v>
      </x:c>
      <x:c r="E339" s="7" t="str">
        <x:v>Neon</x:v>
      </x:c>
      <x:c r="F339" s="7" t="n">
        <x:v>13</x:v>
      </x:c>
      <x:c r="G339" s="7" t="n">
        <x:v>7</x:v>
      </x:c>
      <x:c r="H339" s="7" t="str">
        <x:f>IF(F339&gt;G339,"Win",IF(F339&lt;G339,"Loss","Draw"))</x:f>
        <x:v>Win</x:v>
      </x:c>
      <x:c r="I339" s="7" t="n">
        <x:f>IF(H339="Win",1,0)</x:f>
        <x:v>1</x:v>
      </x:c>
      <x:c r="J339" s="7" t="n">
        <x:f>F339-G339</x:f>
        <x:v>6</x:v>
      </x:c>
      <x:c r="K339" s="7" t="n">
        <x:f>F339+G339</x:f>
        <x:v>20</x:v>
      </x:c>
      <x:c r="L339" s="7" t="n">
        <x:v>8</x:v>
      </x:c>
      <x:c r="M339" s="7" t="n">
        <x:v>18</x:v>
      </x:c>
      <x:c r="N339" s="7" t="n">
        <x:v>5</x:v>
      </x:c>
      <x:c r="O339" s="9" t="n">
        <x:f>IF(M339=0,"n.a.",L339/M339)</x:f>
        <x:v>0.4444444444444444</x:v>
      </x:c>
      <x:c r="P339" s="9" t="n">
        <x:f>IF(K339=0,"n.a.",L339/K339)</x:f>
        <x:v>0.4</x:v>
      </x:c>
      <x:c r="Q339" s="9" t="n">
        <x:f>IF(K339=0,"n.a.",M339/K339)</x:f>
        <x:v>0.9</x:v>
      </x:c>
      <x:c r="R339" s="9" t="n">
        <x:f>IF(K339=0,"n.a.",N339/K339)</x:f>
        <x:v>0.25</x:v>
      </x:c>
      <x:c r="S339" s="7" t="n">
        <x:v>-69</x:v>
      </x:c>
      <x:c r="T339" s="10" t="n">
        <x:v>0.2</x:v>
      </x:c>
      <x:c r="U339" s="7" t="n">
        <x:v>118</x:v>
      </x:c>
      <x:c r="V339" s="7" t="n">
        <x:v>263</x:v>
      </x:c>
    </x:row>
    <x:row r="340" ht="16" customHeight="1">
      <x:c r="A340" s="7" t="n">
        <x:v>337</x:v>
      </x:c>
      <x:c r="B340" s="8" t="n">
        <x:v>45994</x:v>
      </x:c>
      <x:c r="C340" s="7" t="str">
        <x:v>Sunset</x:v>
      </x:c>
      <x:c r="D340" s="7" t="str">
        <x:v>3rd</x:v>
      </x:c>
      <x:c r="E340" s="7" t="str">
        <x:v>Reyna</x:v>
      </x:c>
      <x:c r="F340" s="7" t="n">
        <x:v>13</x:v>
      </x:c>
      <x:c r="G340" s="7" t="n">
        <x:v>7</x:v>
      </x:c>
      <x:c r="H340" s="7" t="str">
        <x:f>IF(F340&gt;G340,"Win",IF(F340&lt;G340,"Loss","Draw"))</x:f>
        <x:v>Win</x:v>
      </x:c>
      <x:c r="I340" s="7" t="n">
        <x:f>IF(H340="Win",1,0)</x:f>
        <x:v>1</x:v>
      </x:c>
      <x:c r="J340" s="7" t="n">
        <x:f>F340-G340</x:f>
        <x:v>6</x:v>
      </x:c>
      <x:c r="K340" s="7" t="n">
        <x:f>F340+G340</x:f>
        <x:v>20</x:v>
      </x:c>
      <x:c r="L340" s="7" t="n">
        <x:v>16</x:v>
      </x:c>
      <x:c r="M340" s="7" t="n">
        <x:v>14</x:v>
      </x:c>
      <x:c r="N340" s="7" t="n">
        <x:v>1</x:v>
      </x:c>
      <x:c r="O340" s="9" t="n">
        <x:f>IF(M340=0,"n.a.",L340/M340)</x:f>
        <x:v>1.1428571428571428</x:v>
      </x:c>
      <x:c r="P340" s="9" t="n">
        <x:f>IF(K340=0,"n.a.",L340/K340)</x:f>
        <x:v>0.8</x:v>
      </x:c>
      <x:c r="Q340" s="9" t="n">
        <x:f>IF(K340=0,"n.a.",M340/K340)</x:f>
        <x:v>0.7</x:v>
      </x:c>
      <x:c r="R340" s="9" t="n">
        <x:f>IF(K340=0,"n.a.",N340/K340)</x:f>
        <x:v>0.05</x:v>
      </x:c>
      <x:c r="S340" s="7" t="n">
        <x:v>4</x:v>
      </x:c>
      <x:c r="T340" s="10" t="n">
        <x:v>0.28</x:v>
      </x:c>
      <x:c r="U340" s="7" t="n">
        <x:v>225</x:v>
      </x:c>
      <x:c r="V340" s="7" t="n">
        <x:v>523</x:v>
      </x:c>
    </x:row>
    <x:row r="341" ht="16" customHeight="1">
      <x:c r="A341" s="7" t="n">
        <x:v>338</x:v>
      </x:c>
      <x:c r="B341" s="8" t="n">
        <x:v>45994</x:v>
      </x:c>
      <x:c r="C341" s="7" t="str">
        <x:v>Haven</x:v>
      </x:c>
      <x:c r="D341" s="7" t="str">
        <x:v>8th</x:v>
      </x:c>
      <x:c r="E341" s="7" t="str">
        <x:v>Neon</x:v>
      </x:c>
      <x:c r="F341" s="7" t="n">
        <x:v>5</x:v>
      </x:c>
      <x:c r="G341" s="7" t="n">
        <x:v>13</x:v>
      </x:c>
      <x:c r="H341" s="7" t="str">
        <x:f>IF(F341&gt;G341,"Win",IF(F341&lt;G341,"Loss","Draw"))</x:f>
        <x:v>Loss</x:v>
      </x:c>
      <x:c r="I341" s="7" t="n">
        <x:f>IF(H341="Win",1,0)</x:f>
        <x:v>0</x:v>
      </x:c>
      <x:c r="J341" s="7" t="n">
        <x:f>F341-G341</x:f>
        <x:v>-8</x:v>
      </x:c>
      <x:c r="K341" s="7" t="n">
        <x:f>F341+G341</x:f>
        <x:v>18</x:v>
      </x:c>
      <x:c r="L341" s="7" t="n">
        <x:v>9</x:v>
      </x:c>
      <x:c r="M341" s="7" t="n">
        <x:v>17</x:v>
      </x:c>
      <x:c r="N341" s="7" t="n">
        <x:v>4</x:v>
      </x:c>
      <x:c r="O341" s="9" t="n">
        <x:f>IF(M341=0,"n.a.",L341/M341)</x:f>
        <x:v>0.5294117647058824</x:v>
      </x:c>
      <x:c r="P341" s="9" t="n">
        <x:f>IF(K341=0,"n.a.",L341/K341)</x:f>
        <x:v>0.5</x:v>
      </x:c>
      <x:c r="Q341" s="9" t="n">
        <x:f>IF(K341=0,"n.a.",M341/K341)</x:f>
        <x:v>0.9444444444444444</x:v>
      </x:c>
      <x:c r="R341" s="9" t="n">
        <x:f>IF(K341=0,"n.a.",N341/K341)</x:f>
        <x:v>0.2222222222222222</x:v>
      </x:c>
      <x:c r="S341" s="7" t="n">
        <x:v>-63</x:v>
      </x:c>
      <x:c r="T341" s="10" t="n">
        <x:v>0.16</x:v>
      </x:c>
      <x:c r="U341" s="7" t="n">
        <x:v>164</x:v>
      </x:c>
      <x:c r="V341" s="7" t="n">
        <x:v>175</x:v>
      </x:c>
    </x:row>
    <x:row r="342" ht="16" customHeight="1">
      <x:c r="A342" s="7" t="n">
        <x:v>339</x:v>
      </x:c>
      <x:c r="B342" s="8" t="n">
        <x:v>45994</x:v>
      </x:c>
      <x:c r="C342" s="7" t="str">
        <x:v>Haven</x:v>
      </x:c>
      <x:c r="D342" s="7" t="str">
        <x:v>4th</x:v>
      </x:c>
      <x:c r="E342" s="7" t="str">
        <x:v>Astra</x:v>
      </x:c>
      <x:c r="F342" s="7" t="n">
        <x:v>9</x:v>
      </x:c>
      <x:c r="G342" s="7" t="n">
        <x:v>13</x:v>
      </x:c>
      <x:c r="H342" s="7" t="str">
        <x:f>IF(F342&gt;G342,"Win",IF(F342&lt;G342,"Loss","Draw"))</x:f>
        <x:v>Loss</x:v>
      </x:c>
      <x:c r="I342" s="7" t="n">
        <x:f>IF(H342="Win",1,0)</x:f>
        <x:v>0</x:v>
      </x:c>
      <x:c r="J342" s="7" t="n">
        <x:f>F342-G342</x:f>
        <x:v>-4</x:v>
      </x:c>
      <x:c r="K342" s="7" t="n">
        <x:f>F342+G342</x:f>
        <x:v>22</x:v>
      </x:c>
      <x:c r="L342" s="7" t="n">
        <x:v>19</x:v>
      </x:c>
      <x:c r="M342" s="7" t="n">
        <x:v>16</x:v>
      </x:c>
      <x:c r="N342" s="7" t="n">
        <x:v>3</x:v>
      </x:c>
      <x:c r="O342" s="9" t="n">
        <x:f>IF(M342=0,"n.a.",L342/M342)</x:f>
        <x:v>1.1875</x:v>
      </x:c>
      <x:c r="P342" s="9" t="n">
        <x:f>IF(K342=0,"n.a.",L342/K342)</x:f>
        <x:v>0.8636363636363636</x:v>
      </x:c>
      <x:c r="Q342" s="9" t="n">
        <x:f>IF(K342=0,"n.a.",M342/K342)</x:f>
        <x:v>0.7272727272727273</x:v>
      </x:c>
      <x:c r="R342" s="9" t="n">
        <x:f>IF(K342=0,"n.a.",N342/K342)</x:f>
        <x:v>0.13636363636363635</x:v>
      </x:c>
      <x:c r="S342" s="7" t="n">
        <x:v>24</x:v>
      </x:c>
      <x:c r="T342" s="10" t="n">
        <x:v>0.4</x:v>
      </x:c>
      <x:c r="U342" s="7" t="n">
        <x:v>248</x:v>
      </x:c>
      <x:c r="V342" s="7" t="n">
        <x:v>592</x:v>
      </x:c>
    </x:row>
    <x:row r="343" ht="16" customHeight="1">
      <x:c r="A343" s="7" t="n">
        <x:v>340</x:v>
      </x:c>
      <x:c r="B343" s="8" t="n">
        <x:v>45994</x:v>
      </x:c>
      <x:c r="C343" s="7" t="str">
        <x:v>Split</x:v>
      </x:c>
      <x:c r="D343" s="7" t="str">
        <x:v>3rd</x:v>
      </x:c>
      <x:c r="E343" s="7" t="str">
        <x:v>Neon</x:v>
      </x:c>
      <x:c r="F343" s="7" t="n">
        <x:v>5</x:v>
      </x:c>
      <x:c r="G343" s="7" t="n">
        <x:v>13</x:v>
      </x:c>
      <x:c r="H343" s="7" t="str">
        <x:f>IF(F343&gt;G343,"Win",IF(F343&lt;G343,"Loss","Draw"))</x:f>
        <x:v>Loss</x:v>
      </x:c>
      <x:c r="I343" s="7" t="n">
        <x:f>IF(H343="Win",1,0)</x:f>
        <x:v>0</x:v>
      </x:c>
      <x:c r="J343" s="7" t="n">
        <x:f>F343-G343</x:f>
        <x:v>-8</x:v>
      </x:c>
      <x:c r="K343" s="7" t="n">
        <x:f>F343+G343</x:f>
        <x:v>18</x:v>
      </x:c>
      <x:c r="L343" s="7" t="n">
        <x:v>15</x:v>
      </x:c>
      <x:c r="M343" s="7" t="n">
        <x:v>15</x:v>
      </x:c>
      <x:c r="N343" s="7" t="n">
        <x:v>1</x:v>
      </x:c>
      <x:c r="O343" s="9" t="n">
        <x:f>IF(M343=0,"n.a.",L343/M343)</x:f>
        <x:v>1</x:v>
      </x:c>
      <x:c r="P343" s="9" t="n">
        <x:f>IF(K343=0,"n.a.",L343/K343)</x:f>
        <x:v>0.8333333333333334</x:v>
      </x:c>
      <x:c r="Q343" s="9" t="n">
        <x:f>IF(K343=0,"n.a.",M343/K343)</x:f>
        <x:v>0.8333333333333334</x:v>
      </x:c>
      <x:c r="R343" s="9" t="n">
        <x:f>IF(K343=0,"n.a.",N343/K343)</x:f>
        <x:v>0.05555555555555555</x:v>
      </x:c>
      <x:c r="S343" s="7" t="n">
        <x:v>-5</x:v>
      </x:c>
      <x:c r="T343" s="10" t="n">
        <x:v>0.23</x:v>
      </x:c>
      <x:c r="U343" s="7" t="n">
        <x:v>250</x:v>
      </x:c>
      <x:c r="V343" s="7" t="n">
        <x:v>483</x:v>
      </x:c>
    </x:row>
    <x:row r="344" ht="16" customHeight="1">
      <x:c r="A344" s="7" t="n">
        <x:v>341</x:v>
      </x:c>
      <x:c r="B344" s="8" t="n">
        <x:v>45994</x:v>
      </x:c>
      <x:c r="C344" s="7" t="str">
        <x:v>Abyss</x:v>
      </x:c>
      <x:c r="D344" s="7" t="str">
        <x:v>3rd</x:v>
      </x:c>
      <x:c r="E344" s="7" t="str">
        <x:v>Neon</x:v>
      </x:c>
      <x:c r="F344" s="7" t="n">
        <x:v>13</x:v>
      </x:c>
      <x:c r="G344" s="7" t="n">
        <x:v>8</x:v>
      </x:c>
      <x:c r="H344" s="7" t="str">
        <x:f>IF(F344&gt;G344,"Win",IF(F344&lt;G344,"Loss","Draw"))</x:f>
        <x:v>Win</x:v>
      </x:c>
      <x:c r="I344" s="7" t="n">
        <x:f>IF(H344="Win",1,0)</x:f>
        <x:v>1</x:v>
      </x:c>
      <x:c r="J344" s="7" t="n">
        <x:f>F344-G344</x:f>
        <x:v>5</x:v>
      </x:c>
      <x:c r="K344" s="7" t="n">
        <x:f>F344+G344</x:f>
        <x:v>21</x:v>
      </x:c>
      <x:c r="L344" s="7" t="n">
        <x:v>20</x:v>
      </x:c>
      <x:c r="M344" s="7" t="n">
        <x:v>14</x:v>
      </x:c>
      <x:c r="N344" s="7" t="n">
        <x:v>0</x:v>
      </x:c>
      <x:c r="O344" s="9" t="n">
        <x:f>IF(M344=0,"n.a.",L344/M344)</x:f>
        <x:v>1.4285714285714286</x:v>
      </x:c>
      <x:c r="P344" s="9" t="n">
        <x:f>IF(K344=0,"n.a.",L344/K344)</x:f>
        <x:v>0.9523809523809523</x:v>
      </x:c>
      <x:c r="Q344" s="9" t="n">
        <x:f>IF(K344=0,"n.a.",M344/K344)</x:f>
        <x:v>0.6666666666666666</x:v>
      </x:c>
      <x:c r="R344" s="9" t="n">
        <x:f>IF(K344=0,"n.a.",N344/K344)</x:f>
        <x:v>0</x:v>
      </x:c>
      <x:c r="S344" s="7" t="n">
        <x:v>6</x:v>
      </x:c>
      <x:c r="T344" s="10" t="n">
        <x:v>0.23</x:v>
      </x:c>
      <x:c r="U344" s="7" t="n">
        <x:v>252</x:v>
      </x:c>
      <x:c r="V344" s="7" t="n">
        <x:v>635</x:v>
      </x:c>
    </x:row>
    <x:row r="345" ht="16" customHeight="1">
      <x:c r="A345" s="7" t="n">
        <x:v>342</x:v>
      </x:c>
      <x:c r="B345" s="8" t="n">
        <x:v>45994</x:v>
      </x:c>
      <x:c r="C345" s="7" t="str">
        <x:v>Bind</x:v>
      </x:c>
      <x:c r="D345" s="7" t="str">
        <x:v>MVP</x:v>
      </x:c>
      <x:c r="E345" s="7" t="str">
        <x:v>Neon</x:v>
      </x:c>
      <x:c r="F345" s="7" t="n">
        <x:v>13</x:v>
      </x:c>
      <x:c r="G345" s="7" t="n">
        <x:v>8</x:v>
      </x:c>
      <x:c r="H345" s="7" t="str">
        <x:f>IF(F345&gt;G345,"Win",IF(F345&lt;G345,"Loss","Draw"))</x:f>
        <x:v>Win</x:v>
      </x:c>
      <x:c r="I345" s="7" t="n">
        <x:f>IF(H345="Win",1,0)</x:f>
        <x:v>1</x:v>
      </x:c>
      <x:c r="J345" s="7" t="n">
        <x:f>F345-G345</x:f>
        <x:v>5</x:v>
      </x:c>
      <x:c r="K345" s="7" t="n">
        <x:f>F345+G345</x:f>
        <x:v>21</x:v>
      </x:c>
      <x:c r="L345" s="7" t="n">
        <x:v>22</x:v>
      </x:c>
      <x:c r="M345" s="7" t="n">
        <x:v>16</x:v>
      </x:c>
      <x:c r="N345" s="7" t="n">
        <x:v>1</x:v>
      </x:c>
      <x:c r="O345" s="9" t="n">
        <x:f>IF(M345=0,"n.a.",L345/M345)</x:f>
        <x:v>1.375</x:v>
      </x:c>
      <x:c r="P345" s="9" t="n">
        <x:f>IF(K345=0,"n.a.",L345/K345)</x:f>
        <x:v>1.0476190476190477</x:v>
      </x:c>
      <x:c r="Q345" s="9" t="n">
        <x:f>IF(K345=0,"n.a.",M345/K345)</x:f>
        <x:v>0.7619047619047619</x:v>
      </x:c>
      <x:c r="R345" s="9" t="n">
        <x:f>IF(K345=0,"n.a.",N345/K345)</x:f>
        <x:v>0.047619047619047616</x:v>
      </x:c>
      <x:c r="S345" s="7" t="n">
        <x:v>9</x:v>
      </x:c>
      <x:c r="T345" s="10" t="n">
        <x:v>0.12</x:v>
      </x:c>
      <x:c r="U345" s="7" t="n">
        <x:v>283</x:v>
      </x:c>
      <x:c r="V345" s="7" t="n">
        <x:v>675</x:v>
      </x:c>
    </x:row>
    <x:row r="346" ht="16" customHeight="1">
      <x:c r="A346" s="7" t="n">
        <x:v>343</x:v>
      </x:c>
      <x:c r="B346" s="8" t="n">
        <x:v>45995</x:v>
      </x:c>
      <x:c r="C346" s="7" t="str">
        <x:v>Split</x:v>
      </x:c>
      <x:c r="D346" s="7" t="str">
        <x:v>MVP</x:v>
      </x:c>
      <x:c r="E346" s="7" t="str">
        <x:v>Neon</x:v>
      </x:c>
      <x:c r="F346" s="7" t="n">
        <x:v>8</x:v>
      </x:c>
      <x:c r="G346" s="7" t="n">
        <x:v>13</x:v>
      </x:c>
      <x:c r="H346" s="7" t="str">
        <x:f>IF(F346&gt;G346,"Win",IF(F346&lt;G346,"Loss","Draw"))</x:f>
        <x:v>Loss</x:v>
      </x:c>
      <x:c r="I346" s="7" t="n">
        <x:f>IF(H346="Win",1,0)</x:f>
        <x:v>0</x:v>
      </x:c>
      <x:c r="J346" s="7" t="n">
        <x:f>F346-G346</x:f>
        <x:v>-5</x:v>
      </x:c>
      <x:c r="K346" s="7" t="n">
        <x:f>F346+G346</x:f>
        <x:v>21</x:v>
      </x:c>
      <x:c r="L346" s="7" t="n">
        <x:v>26</x:v>
      </x:c>
      <x:c r="M346" s="7" t="n">
        <x:v>15</x:v>
      </x:c>
      <x:c r="N346" s="7" t="n">
        <x:v>2</x:v>
      </x:c>
      <x:c r="O346" s="9" t="n">
        <x:f>IF(M346=0,"n.a.",L346/M346)</x:f>
        <x:v>1.7333333333333334</x:v>
      </x:c>
      <x:c r="P346" s="9" t="n">
        <x:f>IF(K346=0,"n.a.",L346/K346)</x:f>
        <x:v>1.2380952380952381</x:v>
      </x:c>
      <x:c r="Q346" s="9" t="n">
        <x:f>IF(K346=0,"n.a.",M346/K346)</x:f>
        <x:v>0.7142857142857143</x:v>
      </x:c>
      <x:c r="R346" s="9" t="n">
        <x:f>IF(K346=0,"n.a.",N346/K346)</x:f>
        <x:v>0.09523809523809523</x:v>
      </x:c>
      <x:c r="S346" s="7" t="n">
        <x:v>65</x:v>
      </x:c>
      <x:c r="T346" s="10" t="n">
        <x:v>0.15</x:v>
      </x:c>
      <x:c r="U346" s="7" t="n">
        <x:v>363</x:v>
      </x:c>
      <x:c r="V346" s="7" t="n">
        <x:v>786</x:v>
      </x:c>
    </x:row>
    <x:row r="347" ht="16" customHeight="1">
      <x:c r="A347" s="7" t="n">
        <x:v>344</x:v>
      </x:c>
      <x:c r="B347" s="8" t="n">
        <x:v>45995</x:v>
      </x:c>
      <x:c r="C347" s="7" t="str">
        <x:v>Pearl</x:v>
      </x:c>
      <x:c r="D347" s="7" t="str">
        <x:v>MVP</x:v>
      </x:c>
      <x:c r="E347" s="7" t="str">
        <x:v>Reyna</x:v>
      </x:c>
      <x:c r="F347" s="7" t="n">
        <x:v>13</x:v>
      </x:c>
      <x:c r="G347" s="7" t="n">
        <x:v>7</x:v>
      </x:c>
      <x:c r="H347" s="7" t="str">
        <x:f>IF(F347&gt;G347,"Win",IF(F347&lt;G347,"Loss","Draw"))</x:f>
        <x:v>Win</x:v>
      </x:c>
      <x:c r="I347" s="7" t="n">
        <x:f>IF(H347="Win",1,0)</x:f>
        <x:v>1</x:v>
      </x:c>
      <x:c r="J347" s="7" t="n">
        <x:f>F347-G347</x:f>
        <x:v>6</x:v>
      </x:c>
      <x:c r="K347" s="7" t="n">
        <x:f>F347+G347</x:f>
        <x:v>20</x:v>
      </x:c>
      <x:c r="L347" s="7" t="n">
        <x:v>24</x:v>
      </x:c>
      <x:c r="M347" s="7" t="n">
        <x:v>14</x:v>
      </x:c>
      <x:c r="N347" s="7" t="n">
        <x:v>3</x:v>
      </x:c>
      <x:c r="O347" s="9" t="n">
        <x:f>IF(M347=0,"n.a.",L347/M347)</x:f>
        <x:v>1.7142857142857142</x:v>
      </x:c>
      <x:c r="P347" s="9" t="n">
        <x:f>IF(K347=0,"n.a.",L347/K347)</x:f>
        <x:v>1.2</x:v>
      </x:c>
      <x:c r="Q347" s="9" t="n">
        <x:f>IF(K347=0,"n.a.",M347/K347)</x:f>
        <x:v>0.7</x:v>
      </x:c>
      <x:c r="R347" s="9" t="n">
        <x:f>IF(K347=0,"n.a.",N347/K347)</x:f>
        <x:v>0.15</x:v>
      </x:c>
      <x:c r="S347" s="7" t="n">
        <x:v>59</x:v>
      </x:c>
      <x:c r="T347" s="10" t="n">
        <x:v>0.33</x:v>
      </x:c>
      <x:c r="U347" s="7" t="n">
        <x:v>333</x:v>
      </x:c>
      <x:c r="V347" s="7" t="n">
        <x:v>910</x:v>
      </x:c>
    </x:row>
    <x:row r="348" ht="16" customHeight="1">
      <x:c r="A348" s="7" t="n">
        <x:v>345</x:v>
      </x:c>
      <x:c r="B348" s="8" t="n">
        <x:v>45996</x:v>
      </x:c>
      <x:c r="C348" s="7" t="str">
        <x:v>Corrode</x:v>
      </x:c>
      <x:c r="D348" s="7" t="str">
        <x:v>7th</x:v>
      </x:c>
      <x:c r="E348" s="7" t="str">
        <x:v>Neon</x:v>
      </x:c>
      <x:c r="F348" s="7" t="n">
        <x:v>2</x:v>
      </x:c>
      <x:c r="G348" s="7" t="n">
        <x:v>13</x:v>
      </x:c>
      <x:c r="H348" s="7" t="str">
        <x:f>IF(F348&gt;G348,"Win",IF(F348&lt;G348,"Loss","Draw"))</x:f>
        <x:v>Loss</x:v>
      </x:c>
      <x:c r="I348" s="7" t="n">
        <x:f>IF(H348="Win",1,0)</x:f>
        <x:v>0</x:v>
      </x:c>
      <x:c r="J348" s="7" t="n">
        <x:f>F348-G348</x:f>
        <x:v>-11</x:v>
      </x:c>
      <x:c r="K348" s="7" t="n">
        <x:f>F348+G348</x:f>
        <x:v>15</x:v>
      </x:c>
      <x:c r="L348" s="7" t="n">
        <x:v>11</x:v>
      </x:c>
      <x:c r="M348" s="7" t="n">
        <x:v>14</x:v>
      </x:c>
      <x:c r="N348" s="7" t="n">
        <x:v>1</x:v>
      </x:c>
      <x:c r="O348" s="9" t="n">
        <x:f>IF(M348=0,"n.a.",L348/M348)</x:f>
        <x:v>0.7857142857142857</x:v>
      </x:c>
      <x:c r="P348" s="9" t="n">
        <x:f>IF(K348=0,"n.a.",L348/K348)</x:f>
        <x:v>0.7333333333333333</x:v>
      </x:c>
      <x:c r="Q348" s="9" t="n">
        <x:f>IF(K348=0,"n.a.",M348/K348)</x:f>
        <x:v>0.9333333333333333</x:v>
      </x:c>
      <x:c r="R348" s="9" t="n">
        <x:f>IF(K348=0,"n.a.",N348/K348)</x:f>
        <x:v>0.06666666666666667</x:v>
      </x:c>
      <x:c r="S348" s="7" t="n">
        <x:v>-45</x:v>
      </x:c>
      <x:c r="T348" s="10" t="n">
        <x:v>0.23</x:v>
      </x:c>
      <x:c r="U348" s="7" t="n">
        <x:v>206</x:v>
      </x:c>
      <x:c r="V348" s="7" t="n">
        <x:v>280</x:v>
      </x:c>
    </x:row>
    <x:row r="349" ht="16" customHeight="1">
      <x:c r="A349" s="7" t="n">
        <x:v>346</x:v>
      </x:c>
      <x:c r="B349" s="8" t="n">
        <x:v>45997</x:v>
      </x:c>
      <x:c r="C349" s="7" t="str">
        <x:v>Pearl</x:v>
      </x:c>
      <x:c r="D349" s="7" t="str">
        <x:v>4th</x:v>
      </x:c>
      <x:c r="E349" s="7" t="str">
        <x:v>Neon</x:v>
      </x:c>
      <x:c r="F349" s="7" t="n">
        <x:v>12</x:v>
      </x:c>
      <x:c r="G349" s="7" t="n">
        <x:v>14</x:v>
      </x:c>
      <x:c r="H349" s="7" t="str">
        <x:f>IF(F349&gt;G349,"Win",IF(F349&lt;G349,"Loss","Draw"))</x:f>
        <x:v>Loss</x:v>
      </x:c>
      <x:c r="I349" s="7" t="n">
        <x:f>IF(H349="Win",1,0)</x:f>
        <x:v>0</x:v>
      </x:c>
      <x:c r="J349" s="7" t="n">
        <x:f>F349-G349</x:f>
        <x:v>-2</x:v>
      </x:c>
      <x:c r="K349" s="7" t="n">
        <x:f>F349+G349</x:f>
        <x:v>26</x:v>
      </x:c>
      <x:c r="L349" s="7" t="n">
        <x:v>23</x:v>
      </x:c>
      <x:c r="M349" s="7" t="n">
        <x:v>21</x:v>
      </x:c>
      <x:c r="N349" s="7" t="n">
        <x:v>2</x:v>
      </x:c>
      <x:c r="O349" s="9" t="n">
        <x:f>IF(M349=0,"n.a.",L349/M349)</x:f>
        <x:v>1.0952380952380953</x:v>
      </x:c>
      <x:c r="P349" s="9" t="n">
        <x:f>IF(K349=0,"n.a.",L349/K349)</x:f>
        <x:v>0.8846153846153846</x:v>
      </x:c>
      <x:c r="Q349" s="9" t="n">
        <x:f>IF(K349=0,"n.a.",M349/K349)</x:f>
        <x:v>0.8076923076923077</x:v>
      </x:c>
      <x:c r="R349" s="9" t="n">
        <x:f>IF(K349=0,"n.a.",N349/K349)</x:f>
        <x:v>0.07692307692307693</x:v>
      </x:c>
      <x:c r="S349" s="7" t="n">
        <x:v>-1</x:v>
      </x:c>
      <x:c r="T349" s="10" t="n">
        <x:v>0.24</x:v>
      </x:c>
      <x:c r="U349" s="7" t="n">
        <x:v>255</x:v>
      </x:c>
      <x:c r="V349" s="7" t="n">
        <x:v>594</x:v>
      </x:c>
    </x:row>
    <x:row r="350" ht="16" customHeight="1">
      <x:c r="A350" s="7" t="n">
        <x:v>347</x:v>
      </x:c>
      <x:c r="B350" s="8" t="n">
        <x:v>45997</x:v>
      </x:c>
      <x:c r="C350" s="7" t="str">
        <x:v>Bind</x:v>
      </x:c>
      <x:c r="D350" s="7" t="str">
        <x:v>2nd</x:v>
      </x:c>
      <x:c r="E350" s="7" t="str">
        <x:v>Neon</x:v>
      </x:c>
      <x:c r="F350" s="7" t="n">
        <x:v>13</x:v>
      </x:c>
      <x:c r="G350" s="7" t="n">
        <x:v>8</x:v>
      </x:c>
      <x:c r="H350" s="7" t="str">
        <x:f>IF(F350&gt;G350,"Win",IF(F350&lt;G350,"Loss","Draw"))</x:f>
        <x:v>Win</x:v>
      </x:c>
      <x:c r="I350" s="7" t="n">
        <x:f>IF(H350="Win",1,0)</x:f>
        <x:v>1</x:v>
      </x:c>
      <x:c r="J350" s="7" t="n">
        <x:f>F350-G350</x:f>
        <x:v>5</x:v>
      </x:c>
      <x:c r="K350" s="7" t="n">
        <x:f>F350+G350</x:f>
        <x:v>21</x:v>
      </x:c>
      <x:c r="L350" s="7" t="n">
        <x:v>20</x:v>
      </x:c>
      <x:c r="M350" s="7" t="n">
        <x:v>18</x:v>
      </x:c>
      <x:c r="N350" s="7" t="n">
        <x:v>5</x:v>
      </x:c>
      <x:c r="O350" s="9" t="n">
        <x:f>IF(M350=0,"n.a.",L350/M350)</x:f>
        <x:v>1.1111111111111112</x:v>
      </x:c>
      <x:c r="P350" s="9" t="n">
        <x:f>IF(K350=0,"n.a.",L350/K350)</x:f>
        <x:v>0.9523809523809523</x:v>
      </x:c>
      <x:c r="Q350" s="9" t="n">
        <x:f>IF(K350=0,"n.a.",M350/K350)</x:f>
        <x:v>0.8571428571428571</x:v>
      </x:c>
      <x:c r="R350" s="9" t="n">
        <x:f>IF(K350=0,"n.a.",N350/K350)</x:f>
        <x:v>0.23809523809523808</x:v>
      </x:c>
      <x:c r="S350" s="7" t="n">
        <x:v>28</x:v>
      </x:c>
      <x:c r="T350" s="10" t="n">
        <x:v>0.25</x:v>
      </x:c>
      <x:c r="U350" s="7" t="n">
        <x:v>292</x:v>
      </x:c>
      <x:c r="V350" s="7" t="n">
        <x:v>683</x:v>
      </x:c>
    </x:row>
    <x:row r="351" ht="16" customHeight="1">
      <x:c r="A351" s="7" t="n">
        <x:v>348</x:v>
      </x:c>
      <x:c r="B351" s="8" t="n">
        <x:v>45997</x:v>
      </x:c>
      <x:c r="C351" s="7" t="str">
        <x:v>Split</x:v>
      </x:c>
      <x:c r="D351" s="7" t="str">
        <x:v>7th</x:v>
      </x:c>
      <x:c r="E351" s="7" t="str">
        <x:v>Neon</x:v>
      </x:c>
      <x:c r="F351" s="7" t="n">
        <x:v>13</x:v>
      </x:c>
      <x:c r="G351" s="7" t="n">
        <x:v>8</x:v>
      </x:c>
      <x:c r="H351" s="7" t="str">
        <x:f>IF(F351&gt;G351,"Win",IF(F351&lt;G351,"Loss","Draw"))</x:f>
        <x:v>Win</x:v>
      </x:c>
      <x:c r="I351" s="7" t="n">
        <x:f>IF(H351="Win",1,0)</x:f>
        <x:v>1</x:v>
      </x:c>
      <x:c r="J351" s="7" t="n">
        <x:f>F351-G351</x:f>
        <x:v>5</x:v>
      </x:c>
      <x:c r="K351" s="7" t="n">
        <x:f>F351+G351</x:f>
        <x:v>21</x:v>
      </x:c>
      <x:c r="L351" s="7" t="n">
        <x:v>15</x:v>
      </x:c>
      <x:c r="M351" s="7" t="n">
        <x:v>14</x:v>
      </x:c>
      <x:c r="N351" s="7" t="n">
        <x:v>5</x:v>
      </x:c>
      <x:c r="O351" s="9" t="n">
        <x:f>IF(M351=0,"n.a.",L351/M351)</x:f>
        <x:v>1.0714285714285714</x:v>
      </x:c>
      <x:c r="P351" s="9" t="n">
        <x:f>IF(K351=0,"n.a.",L351/K351)</x:f>
        <x:v>0.7142857142857143</x:v>
      </x:c>
      <x:c r="Q351" s="9" t="n">
        <x:f>IF(K351=0,"n.a.",M351/K351)</x:f>
        <x:v>0.6666666666666666</x:v>
      </x:c>
      <x:c r="R351" s="9" t="n">
        <x:f>IF(K351=0,"n.a.",N351/K351)</x:f>
        <x:v>0.23809523809523808</x:v>
      </x:c>
      <x:c r="S351" s="7" t="n">
        <x:v>-11</x:v>
      </x:c>
      <x:c r="T351" s="10" t="n">
        <x:v>0.25</x:v>
      </x:c>
      <x:c r="U351" s="7" t="n">
        <x:v>193</x:v>
      </x:c>
      <x:c r="V351" s="7" t="n">
        <x:v>473</x:v>
      </x:c>
    </x:row>
    <x:row r="352" ht="16" customHeight="1">
      <x:c r="A352" s="7" t="n">
        <x:v>349</x:v>
      </x:c>
      <x:c r="B352" s="8" t="n">
        <x:v>45997</x:v>
      </x:c>
      <x:c r="C352" s="7" t="str">
        <x:v>Bind</x:v>
      </x:c>
      <x:c r="D352" s="7" t="str">
        <x:v>2nd</x:v>
      </x:c>
      <x:c r="E352" s="7" t="str">
        <x:v>Neon</x:v>
      </x:c>
      <x:c r="F352" s="7" t="n">
        <x:v>13</x:v>
      </x:c>
      <x:c r="G352" s="7" t="n">
        <x:v>11</x:v>
      </x:c>
      <x:c r="H352" s="7" t="str">
        <x:f>IF(F352&gt;G352,"Win",IF(F352&lt;G352,"Loss","Draw"))</x:f>
        <x:v>Win</x:v>
      </x:c>
      <x:c r="I352" s="7" t="n">
        <x:f>IF(H352="Win",1,0)</x:f>
        <x:v>1</x:v>
      </x:c>
      <x:c r="J352" s="7" t="n">
        <x:f>F352-G352</x:f>
        <x:v>2</x:v>
      </x:c>
      <x:c r="K352" s="7" t="n">
        <x:f>F352+G352</x:f>
        <x:v>24</x:v>
      </x:c>
      <x:c r="L352" s="7" t="n">
        <x:v>28</x:v>
      </x:c>
      <x:c r="M352" s="7" t="n">
        <x:v>15</x:v>
      </x:c>
      <x:c r="N352" s="7" t="n">
        <x:v>3</x:v>
      </x:c>
      <x:c r="O352" s="9" t="n">
        <x:f>IF(M352=0,"n.a.",L352/M352)</x:f>
        <x:v>1.8666666666666667</x:v>
      </x:c>
      <x:c r="P352" s="9" t="n">
        <x:f>IF(K352=0,"n.a.",L352/K352)</x:f>
        <x:v>1.1666666666666667</x:v>
      </x:c>
      <x:c r="Q352" s="9" t="n">
        <x:f>IF(K352=0,"n.a.",M352/K352)</x:f>
        <x:v>0.625</x:v>
      </x:c>
      <x:c r="R352" s="9" t="n">
        <x:f>IF(K352=0,"n.a.",N352/K352)</x:f>
        <x:v>0.125</x:v>
      </x:c>
      <x:c r="S352" s="7" t="n">
        <x:v>58</x:v>
      </x:c>
      <x:c r="T352" s="10" t="n">
        <x:v>0.14</x:v>
      </x:c>
      <x:c r="U352" s="7" t="n">
        <x:v>320</x:v>
      </x:c>
      <x:c r="V352" s="7" t="n">
        <x:v>821</x:v>
      </x:c>
    </x:row>
    <x:row r="353" ht="16" customHeight="1">
      <x:c r="A353" s="7" t="n">
        <x:v>350</x:v>
      </x:c>
      <x:c r="B353" s="8" t="n">
        <x:v>45998</x:v>
      </x:c>
      <x:c r="C353" s="7" t="str">
        <x:v>Corrode</x:v>
      </x:c>
      <x:c r="D353" s="7" t="str">
        <x:v>10th</x:v>
      </x:c>
      <x:c r="E353" s="7" t="str">
        <x:v>Neon</x:v>
      </x:c>
      <x:c r="F353" s="7" t="n">
        <x:v>2</x:v>
      </x:c>
      <x:c r="G353" s="7" t="n">
        <x:v>13</x:v>
      </x:c>
      <x:c r="H353" s="7" t="str">
        <x:f>IF(F353&gt;G353,"Win",IF(F353&lt;G353,"Loss","Draw"))</x:f>
        <x:v>Loss</x:v>
      </x:c>
      <x:c r="I353" s="7" t="n">
        <x:f>IF(H353="Win",1,0)</x:f>
        <x:v>0</x:v>
      </x:c>
      <x:c r="J353" s="7" t="n">
        <x:f>F353-G353</x:f>
        <x:v>-11</x:v>
      </x:c>
      <x:c r="K353" s="7" t="n">
        <x:f>F353+G353</x:f>
        <x:v>15</x:v>
      </x:c>
      <x:c r="L353" s="7" t="n">
        <x:v>4</x:v>
      </x:c>
      <x:c r="M353" s="7" t="n">
        <x:v>7</x:v>
      </x:c>
      <x:c r="N353" s="7" t="n">
        <x:v>4</x:v>
      </x:c>
      <x:c r="O353" s="9" t="n">
        <x:f>IF(M353=0,"n.a.",L353/M353)</x:f>
        <x:v>0.5714285714285714</x:v>
      </x:c>
      <x:c r="P353" s="9" t="n">
        <x:f>IF(K353=0,"n.a.",L353/K353)</x:f>
        <x:v>0.26666666666666666</x:v>
      </x:c>
      <x:c r="Q353" s="9" t="n">
        <x:f>IF(K353=0,"n.a.",M353/K353)</x:f>
        <x:v>0.4666666666666667</x:v>
      </x:c>
      <x:c r="R353" s="9" t="n">
        <x:f>IF(K353=0,"n.a.",N353/K353)</x:f>
        <x:v>0.26666666666666666</x:v>
      </x:c>
      <x:c r="S353" s="7" t="n">
        <x:v>-33</x:v>
      </x:c>
      <x:c r="T353" s="10" t="n">
        <x:v>0.18</x:v>
      </x:c>
      <x:c r="U353" s="7" t="n">
        <x:v>98</x:v>
      </x:c>
      <x:c r="V353" s="7" t="n">
        <x:v>100</x:v>
      </x:c>
    </x:row>
    <x:row r="354" ht="16" customHeight="1">
      <x:c r="A354" s="7" t="n">
        <x:v>351</x:v>
      </x:c>
      <x:c r="B354" s="8" t="n">
        <x:v>46007</x:v>
      </x:c>
      <x:c r="C354" s="7" t="str">
        <x:v>Split</x:v>
      </x:c>
      <x:c r="D354" s="7" t="str">
        <x:v>4th</x:v>
      </x:c>
      <x:c r="E354" s="7" t="str">
        <x:v>Neon</x:v>
      </x:c>
      <x:c r="F354" s="7" t="n">
        <x:v>9</x:v>
      </x:c>
      <x:c r="G354" s="7" t="n">
        <x:v>13</x:v>
      </x:c>
      <x:c r="H354" s="7" t="str">
        <x:f>IF(F354&gt;G354,"Win",IF(F354&lt;G354,"Loss","Draw"))</x:f>
        <x:v>Loss</x:v>
      </x:c>
      <x:c r="I354" s="7" t="n">
        <x:f>IF(H354="Win",1,0)</x:f>
        <x:v>0</x:v>
      </x:c>
      <x:c r="J354" s="7" t="n">
        <x:f>F354-G354</x:f>
        <x:v>-4</x:v>
      </x:c>
      <x:c r="K354" s="7" t="n">
        <x:f>F354+G354</x:f>
        <x:v>22</x:v>
      </x:c>
      <x:c r="L354" s="7" t="n">
        <x:v>18</x:v>
      </x:c>
      <x:c r="M354" s="7" t="n">
        <x:v>17</x:v>
      </x:c>
      <x:c r="N354" s="7" t="n">
        <x:v>5</x:v>
      </x:c>
      <x:c r="O354" s="9" t="n">
        <x:f>IF(M354=0,"n.a.",L354/M354)</x:f>
        <x:v>1.0588235294117647</x:v>
      </x:c>
      <x:c r="P354" s="9" t="n">
        <x:f>IF(K354=0,"n.a.",L354/K354)</x:f>
        <x:v>0.8181818181818182</x:v>
      </x:c>
      <x:c r="Q354" s="9" t="n">
        <x:f>IF(K354=0,"n.a.",M354/K354)</x:f>
        <x:v>0.7727272727272727</x:v>
      </x:c>
      <x:c r="R354" s="9" t="n">
        <x:f>IF(K354=0,"n.a.",N354/K354)</x:f>
        <x:v>0.22727272727272727</x:v>
      </x:c>
      <x:c r="S354" s="7" t="n">
        <x:v>2</x:v>
      </x:c>
      <x:c r="T354" s="10" t="n">
        <x:v>0.21</x:v>
      </x:c>
      <x:c r="U354" s="7" t="n">
        <x:v>235</x:v>
      </x:c>
      <x:c r="V354" s="7" t="n">
        <x:v>497</x:v>
      </x:c>
    </x:row>
    <x:row r="355" ht="16" customHeight="1">
      <x:c r="A355" s="7" t="n">
        <x:v>352</x:v>
      </x:c>
      <x:c r="B355" s="8" t="n">
        <x:v>46007</x:v>
      </x:c>
      <x:c r="C355" s="7" t="str">
        <x:v>Abyss</x:v>
      </x:c>
      <x:c r="D355" s="7" t="str">
        <x:v>3rd</x:v>
      </x:c>
      <x:c r="E355" s="7" t="str">
        <x:v>Neon</x:v>
      </x:c>
      <x:c r="F355" s="7" t="n">
        <x:v>5</x:v>
      </x:c>
      <x:c r="G355" s="7" t="n">
        <x:v>13</x:v>
      </x:c>
      <x:c r="H355" s="7" t="str">
        <x:f>IF(F355&gt;G355,"Win",IF(F355&lt;G355,"Loss","Draw"))</x:f>
        <x:v>Loss</x:v>
      </x:c>
      <x:c r="I355" s="7" t="n">
        <x:f>IF(H355="Win",1,0)</x:f>
        <x:v>0</x:v>
      </x:c>
      <x:c r="J355" s="7" t="n">
        <x:f>F355-G355</x:f>
        <x:v>-8</x:v>
      </x:c>
      <x:c r="K355" s="7" t="n">
        <x:f>F355+G355</x:f>
        <x:v>18</x:v>
      </x:c>
      <x:c r="L355" s="7" t="n">
        <x:v>16</x:v>
      </x:c>
      <x:c r="M355" s="7" t="n">
        <x:v>14</x:v>
      </x:c>
      <x:c r="N355" s="7" t="n">
        <x:v>2</x:v>
      </x:c>
      <x:c r="O355" s="9" t="n">
        <x:f>IF(M355=0,"n.a.",L355/M355)</x:f>
        <x:v>1.1428571428571428</x:v>
      </x:c>
      <x:c r="P355" s="9" t="n">
        <x:f>IF(K355=0,"n.a.",L355/K355)</x:f>
        <x:v>0.8888888888888888</x:v>
      </x:c>
      <x:c r="Q355" s="9" t="n">
        <x:f>IF(K355=0,"n.a.",M355/K355)</x:f>
        <x:v>0.7777777777777778</x:v>
      </x:c>
      <x:c r="R355" s="9" t="n">
        <x:f>IF(K355=0,"n.a.",N355/K355)</x:f>
        <x:v>0.1111111111111111</x:v>
      </x:c>
      <x:c r="S355" s="7" t="n">
        <x:v>23</x:v>
      </x:c>
      <x:c r="T355" s="10" t="n">
        <x:v>0.16</x:v>
      </x:c>
      <x:c r="U355" s="7" t="n">
        <x:v>255</x:v>
      </x:c>
      <x:c r="V355" s="7" t="n">
        <x:v>479</x:v>
      </x:c>
    </x:row>
    <x:row r="356" ht="16" customHeight="1">
      <x:c r="A356" s="7" t="n">
        <x:v>353</x:v>
      </x:c>
      <x:c r="B356" s="8" t="n">
        <x:v>46008</x:v>
      </x:c>
      <x:c r="C356" s="7" t="str">
        <x:v>Pearl</x:v>
      </x:c>
      <x:c r="D356" s="7" t="str">
        <x:v>4th</x:v>
      </x:c>
      <x:c r="E356" s="7" t="str">
        <x:v>Neon</x:v>
      </x:c>
      <x:c r="F356" s="7" t="n">
        <x:v>4</x:v>
      </x:c>
      <x:c r="G356" s="7" t="n">
        <x:v>13</x:v>
      </x:c>
      <x:c r="H356" s="7" t="str">
        <x:f>IF(F356&gt;G356,"Win",IF(F356&lt;G356,"Loss","Draw"))</x:f>
        <x:v>Loss</x:v>
      </x:c>
      <x:c r="I356" s="7" t="n">
        <x:f>IF(H356="Win",1,0)</x:f>
        <x:v>0</x:v>
      </x:c>
      <x:c r="J356" s="7" t="n">
        <x:f>F356-G356</x:f>
        <x:v>-9</x:v>
      </x:c>
      <x:c r="K356" s="7" t="n">
        <x:f>F356+G356</x:f>
        <x:v>17</x:v>
      </x:c>
      <x:c r="L356" s="7" t="n">
        <x:v>11</x:v>
      </x:c>
      <x:c r="M356" s="7" t="n">
        <x:v>14</x:v>
      </x:c>
      <x:c r="N356" s="7" t="n">
        <x:v>5</x:v>
      </x:c>
      <x:c r="O356" s="9" t="n">
        <x:f>IF(M356=0,"n.a.",L356/M356)</x:f>
        <x:v>0.7857142857142857</x:v>
      </x:c>
      <x:c r="P356" s="9" t="n">
        <x:f>IF(K356=0,"n.a.",L356/K356)</x:f>
        <x:v>0.6470588235294118</x:v>
      </x:c>
      <x:c r="Q356" s="9" t="n">
        <x:f>IF(K356=0,"n.a.",M356/K356)</x:f>
        <x:v>0.8235294117647058</x:v>
      </x:c>
      <x:c r="R356" s="9" t="n">
        <x:f>IF(K356=0,"n.a.",N356/K356)</x:f>
        <x:v>0.29411764705882354</x:v>
      </x:c>
      <x:c r="S356" s="7" t="n">
        <x:v>-16</x:v>
      </x:c>
      <x:c r="T356" s="10" t="n">
        <x:v>0.23</x:v>
      </x:c>
      <x:c r="U356" s="7" t="n">
        <x:v>207</x:v>
      </x:c>
      <x:c r="V356" s="7" t="n">
        <x:v>309</x:v>
      </x:c>
    </x:row>
    <x:row r="357" ht="16" customHeight="1">
      <x:c r="A357" s="7" t="n">
        <x:v>354</x:v>
      </x:c>
      <x:c r="B357" s="8" t="n">
        <x:v>46008</x:v>
      </x:c>
      <x:c r="C357" s="7" t="str">
        <x:v>Bind</x:v>
      </x:c>
      <x:c r="D357" s="7" t="str">
        <x:v>5th</x:v>
      </x:c>
      <x:c r="E357" s="7" t="str">
        <x:v>Brimstone</x:v>
      </x:c>
      <x:c r="F357" s="7" t="n">
        <x:v>9</x:v>
      </x:c>
      <x:c r="G357" s="7" t="n">
        <x:v>13</x:v>
      </x:c>
      <x:c r="H357" s="7" t="str">
        <x:f>IF(F357&gt;G357,"Win",IF(F357&lt;G357,"Loss","Draw"))</x:f>
        <x:v>Loss</x:v>
      </x:c>
      <x:c r="I357" s="7" t="n">
        <x:f>IF(H357="Win",1,0)</x:f>
        <x:v>0</x:v>
      </x:c>
      <x:c r="J357" s="7" t="n">
        <x:f>F357-G357</x:f>
        <x:v>-4</x:v>
      </x:c>
      <x:c r="K357" s="7" t="n">
        <x:f>F357+G357</x:f>
        <x:v>22</x:v>
      </x:c>
      <x:c r="L357" s="7" t="n">
        <x:v>16</x:v>
      </x:c>
      <x:c r="M357" s="7" t="n">
        <x:v>18</x:v>
      </x:c>
      <x:c r="N357" s="7" t="n">
        <x:v>5</x:v>
      </x:c>
      <x:c r="O357" s="9" t="n">
        <x:f>IF(M357=0,"n.a.",L357/M357)</x:f>
        <x:v>0.8888888888888888</x:v>
      </x:c>
      <x:c r="P357" s="9" t="n">
        <x:f>IF(K357=0,"n.a.",L357/K357)</x:f>
        <x:v>0.7272727272727273</x:v>
      </x:c>
      <x:c r="Q357" s="9" t="n">
        <x:f>IF(K357=0,"n.a.",M357/K357)</x:f>
        <x:v>0.8181818181818182</x:v>
      </x:c>
      <x:c r="R357" s="9" t="n">
        <x:f>IF(K357=0,"n.a.",N357/K357)</x:f>
        <x:v>0.22727272727272727</x:v>
      </x:c>
      <x:c r="S357" s="7" t="n">
        <x:v>11</x:v>
      </x:c>
      <x:c r="T357" s="10" t="n">
        <x:v>0.29</x:v>
      </x:c>
      <x:c r="U357" s="7" t="n">
        <x:v>219</x:v>
      </x:c>
      <x:c r="V357" s="7" t="n">
        <x:v>574</x:v>
      </x:c>
    </x:row>
    <x:row r="358" ht="16" customHeight="1">
      <x:c r="A358" s="7" t="n">
        <x:v>355</x:v>
      </x:c>
      <x:c r="B358" s="8" t="n">
        <x:v>46008</x:v>
      </x:c>
      <x:c r="C358" s="7" t="str">
        <x:v>Abyss</x:v>
      </x:c>
      <x:c r="D358" s="7" t="str">
        <x:v>8th</x:v>
      </x:c>
      <x:c r="E358" s="7" t="str">
        <x:v>Neon</x:v>
      </x:c>
      <x:c r="F358" s="7" t="n">
        <x:v>12</x:v>
      </x:c>
      <x:c r="G358" s="7" t="n">
        <x:v>14</x:v>
      </x:c>
      <x:c r="H358" s="7" t="str">
        <x:f>IF(F358&gt;G358,"Win",IF(F358&lt;G358,"Loss","Draw"))</x:f>
        <x:v>Loss</x:v>
      </x:c>
      <x:c r="I358" s="7" t="n">
        <x:f>IF(H358="Win",1,0)</x:f>
        <x:v>0</x:v>
      </x:c>
      <x:c r="J358" s="7" t="n">
        <x:f>F358-G358</x:f>
        <x:v>-2</x:v>
      </x:c>
      <x:c r="K358" s="7" t="n">
        <x:f>F358+G358</x:f>
        <x:v>26</x:v>
      </x:c>
      <x:c r="L358" s="7" t="n">
        <x:v>19</x:v>
      </x:c>
      <x:c r="M358" s="7" t="n">
        <x:v>20</x:v>
      </x:c>
      <x:c r="N358" s="7" t="n">
        <x:v>1</x:v>
      </x:c>
      <x:c r="O358" s="9" t="n">
        <x:f>IF(M358=0,"n.a.",L358/M358)</x:f>
        <x:v>0.95</x:v>
      </x:c>
      <x:c r="P358" s="9" t="n">
        <x:f>IF(K358=0,"n.a.",L358/K358)</x:f>
        <x:v>0.7307692307692307</x:v>
      </x:c>
      <x:c r="Q358" s="9" t="n">
        <x:f>IF(K358=0,"n.a.",M358/K358)</x:f>
        <x:v>0.7692307692307693</x:v>
      </x:c>
      <x:c r="R358" s="9" t="n">
        <x:f>IF(K358=0,"n.a.",N358/K358)</x:f>
        <x:v>0.038461538461538464</x:v>
      </x:c>
      <x:c r="S358" s="7" t="n">
        <x:v>-15</x:v>
      </x:c>
      <x:c r="T358" s="10" t="n">
        <x:v>0.23</x:v>
      </x:c>
      <x:c r="U358" s="7" t="n">
        <x:v>197</x:v>
      </x:c>
      <x:c r="V358" s="7" t="n">
        <x:v>429</x:v>
      </x:c>
    </x:row>
    <x:row r="359" ht="16" customHeight="1">
      <x:c r="A359" s="7" t="n">
        <x:v>356</x:v>
      </x:c>
      <x:c r="B359" s="8" t="n">
        <x:v>46008</x:v>
      </x:c>
      <x:c r="C359" s="7" t="str">
        <x:v>Haven</x:v>
      </x:c>
      <x:c r="D359" s="7" t="str">
        <x:v>3rd</x:v>
      </x:c>
      <x:c r="E359" s="7" t="str">
        <x:v>Chamber</x:v>
      </x:c>
      <x:c r="F359" s="7" t="n">
        <x:v>13</x:v>
      </x:c>
      <x:c r="G359" s="7" t="n">
        <x:v>6</x:v>
      </x:c>
      <x:c r="H359" s="7" t="str">
        <x:f>IF(F359&gt;G359,"Win",IF(F359&lt;G359,"Loss","Draw"))</x:f>
        <x:v>Win</x:v>
      </x:c>
      <x:c r="I359" s="7" t="n">
        <x:f>IF(H359="Win",1,0)</x:f>
        <x:v>1</x:v>
      </x:c>
      <x:c r="J359" s="7" t="n">
        <x:f>F359-G359</x:f>
        <x:v>7</x:v>
      </x:c>
      <x:c r="K359" s="7" t="n">
        <x:f>F359+G359</x:f>
        <x:v>19</x:v>
      </x:c>
      <x:c r="L359" s="7" t="n">
        <x:v>18</x:v>
      </x:c>
      <x:c r="M359" s="7" t="n">
        <x:v>9</x:v>
      </x:c>
      <x:c r="N359" s="7" t="n">
        <x:v>2</x:v>
      </x:c>
      <x:c r="O359" s="9" t="n">
        <x:f>IF(M359=0,"n.a.",L359/M359)</x:f>
        <x:v>2</x:v>
      </x:c>
      <x:c r="P359" s="9" t="n">
        <x:f>IF(K359=0,"n.a.",L359/K359)</x:f>
        <x:v>0.9473684210526315</x:v>
      </x:c>
      <x:c r="Q359" s="9" t="n">
        <x:f>IF(K359=0,"n.a.",M359/K359)</x:f>
        <x:v>0.47368421052631576</x:v>
      </x:c>
      <x:c r="R359" s="9" t="n">
        <x:f>IF(K359=0,"n.a.",N359/K359)</x:f>
        <x:v>0.10526315789473684</x:v>
      </x:c>
      <x:c r="S359" s="7" t="n">
        <x:v>42</x:v>
      </x:c>
      <x:c r="T359" s="10" t="n">
        <x:v>0.27</x:v>
      </x:c>
      <x:c r="U359" s="7" t="n">
        <x:v>249</x:v>
      </x:c>
      <x:c r="V359" s="7" t="n">
        <x:v>708</x:v>
      </x:c>
    </x:row>
    <x:row r="360" ht="16" customHeight="1">
      <x:c r="A360" s="7" t="n">
        <x:v>357</x:v>
      </x:c>
      <x:c r="B360" s="8" t="n">
        <x:v>46009</x:v>
      </x:c>
      <x:c r="C360" s="7" t="str">
        <x:v>Abyss</x:v>
      </x:c>
      <x:c r="D360" s="7" t="str">
        <x:v>3rd</x:v>
      </x:c>
      <x:c r="E360" s="7" t="str">
        <x:v>Omen</x:v>
      </x:c>
      <x:c r="F360" s="7" t="n">
        <x:v>9</x:v>
      </x:c>
      <x:c r="G360" s="7" t="n">
        <x:v>13</x:v>
      </x:c>
      <x:c r="H360" s="7" t="str">
        <x:f>IF(F360&gt;G360,"Win",IF(F360&lt;G360,"Loss","Draw"))</x:f>
        <x:v>Loss</x:v>
      </x:c>
      <x:c r="I360" s="7" t="n">
        <x:f>IF(H360="Win",1,0)</x:f>
        <x:v>0</x:v>
      </x:c>
      <x:c r="J360" s="7" t="n">
        <x:f>F360-G360</x:f>
        <x:v>-4</x:v>
      </x:c>
      <x:c r="K360" s="7" t="n">
        <x:f>F360+G360</x:f>
        <x:v>22</x:v>
      </x:c>
      <x:c r="L360" s="7" t="n">
        <x:v>18</x:v>
      </x:c>
      <x:c r="M360" s="7" t="n">
        <x:v>17</x:v>
      </x:c>
      <x:c r="N360" s="7" t="n">
        <x:v>7</x:v>
      </x:c>
      <x:c r="O360" s="9" t="n">
        <x:f>IF(M360=0,"n.a.",L360/M360)</x:f>
        <x:v>1.0588235294117647</x:v>
      </x:c>
      <x:c r="P360" s="9" t="n">
        <x:f>IF(K360=0,"n.a.",L360/K360)</x:f>
        <x:v>0.8181818181818182</x:v>
      </x:c>
      <x:c r="Q360" s="9" t="n">
        <x:f>IF(K360=0,"n.a.",M360/K360)</x:f>
        <x:v>0.7727272727272727</x:v>
      </x:c>
      <x:c r="R360" s="9" t="n">
        <x:f>IF(K360=0,"n.a.",N360/K360)</x:f>
        <x:v>0.3181818181818182</x:v>
      </x:c>
      <x:c r="S360" s="7" t="n">
        <x:v>1</x:v>
      </x:c>
      <x:c r="T360" s="10" t="n">
        <x:v>0.27</x:v>
      </x:c>
      <x:c r="U360" s="7" t="n">
        <x:v>229</x:v>
      </x:c>
      <x:c r="V360" s="7" t="n">
        <x:v>569</x:v>
      </x:c>
    </x:row>
    <x:row r="361" ht="16" customHeight="1">
      <x:c r="A361" s="7" t="n">
        <x:v>358</x:v>
      </x:c>
      <x:c r="B361" s="8" t="n">
        <x:v>46009</x:v>
      </x:c>
      <x:c r="C361" s="7" t="str">
        <x:v>Sunset</x:v>
      </x:c>
      <x:c r="D361" s="7" t="str">
        <x:v>2nd</x:v>
      </x:c>
      <x:c r="E361" s="7" t="str">
        <x:v>Neon</x:v>
      </x:c>
      <x:c r="F361" s="7" t="n">
        <x:v>13</x:v>
      </x:c>
      <x:c r="G361" s="7" t="n">
        <x:v>4</x:v>
      </x:c>
      <x:c r="H361" s="7" t="str">
        <x:f>IF(F361&gt;G361,"Win",IF(F361&lt;G361,"Loss","Draw"))</x:f>
        <x:v>Win</x:v>
      </x:c>
      <x:c r="I361" s="7" t="n">
        <x:f>IF(H361="Win",1,0)</x:f>
        <x:v>1</x:v>
      </x:c>
      <x:c r="J361" s="7" t="n">
        <x:f>F361-G361</x:f>
        <x:v>9</x:v>
      </x:c>
      <x:c r="K361" s="7" t="n">
        <x:f>F361+G361</x:f>
        <x:v>17</x:v>
      </x:c>
      <x:c r="L361" s="7" t="n">
        <x:v>19</x:v>
      </x:c>
      <x:c r="M361" s="7" t="n">
        <x:v>11</x:v>
      </x:c>
      <x:c r="N361" s="7" t="n">
        <x:v>5</x:v>
      </x:c>
      <x:c r="O361" s="9" t="n">
        <x:f>IF(M361=0,"n.a.",L361/M361)</x:f>
        <x:v>1.7272727272727273</x:v>
      </x:c>
      <x:c r="P361" s="9" t="n">
        <x:f>IF(K361=0,"n.a.",L361/K361)</x:f>
        <x:v>1.1176470588235294</x:v>
      </x:c>
      <x:c r="Q361" s="9" t="n">
        <x:f>IF(K361=0,"n.a.",M361/K361)</x:f>
        <x:v>0.6470588235294118</x:v>
      </x:c>
      <x:c r="R361" s="9" t="n">
        <x:f>IF(K361=0,"n.a.",N361/K361)</x:f>
        <x:v>0.29411764705882354</x:v>
      </x:c>
      <x:c r="S361" s="7" t="n">
        <x:v>76</x:v>
      </x:c>
      <x:c r="T361" s="10" t="n">
        <x:v>0.25</x:v>
      </x:c>
      <x:c r="U361" s="7" t="n">
        <x:v>303</x:v>
      </x:c>
      <x:c r="V361" s="7" t="n">
        <x:v>967</x:v>
      </x:c>
    </x:row>
    <x:row r="362" ht="16" customHeight="1">
      <x:c r="A362" s="7" t="n">
        <x:v>359</x:v>
      </x:c>
      <x:c r="B362" s="8" t="n">
        <x:v>46009</x:v>
      </x:c>
      <x:c r="C362" s="7" t="str">
        <x:v>Pearl</x:v>
      </x:c>
      <x:c r="D362" s="7" t="str">
        <x:v>6th</x:v>
      </x:c>
      <x:c r="E362" s="7" t="str">
        <x:v>Gekko</x:v>
      </x:c>
      <x:c r="F362" s="7" t="n">
        <x:v>7</x:v>
      </x:c>
      <x:c r="G362" s="7" t="n">
        <x:v>13</x:v>
      </x:c>
      <x:c r="H362" s="7" t="str">
        <x:f>IF(F362&gt;G362,"Win",IF(F362&lt;G362,"Loss","Draw"))</x:f>
        <x:v>Loss</x:v>
      </x:c>
      <x:c r="I362" s="7" t="n">
        <x:f>IF(H362="Win",1,0)</x:f>
        <x:v>0</x:v>
      </x:c>
      <x:c r="J362" s="7" t="n">
        <x:f>F362-G362</x:f>
        <x:v>-6</x:v>
      </x:c>
      <x:c r="K362" s="7" t="n">
        <x:f>F362+G362</x:f>
        <x:v>20</x:v>
      </x:c>
      <x:c r="L362" s="7" t="n">
        <x:v>11</x:v>
      </x:c>
      <x:c r="M362" s="7" t="n">
        <x:v>18</x:v>
      </x:c>
      <x:c r="N362" s="7" t="n">
        <x:v>3</x:v>
      </x:c>
      <x:c r="O362" s="9" t="n">
        <x:f>IF(M362=0,"n.a.",L362/M362)</x:f>
        <x:v>0.6111111111111112</x:v>
      </x:c>
      <x:c r="P362" s="9" t="n">
        <x:f>IF(K362=0,"n.a.",L362/K362)</x:f>
        <x:v>0.55</x:v>
      </x:c>
      <x:c r="Q362" s="9" t="n">
        <x:f>IF(K362=0,"n.a.",M362/K362)</x:f>
        <x:v>0.9</x:v>
      </x:c>
      <x:c r="R362" s="9" t="n">
        <x:f>IF(K362=0,"n.a.",N362/K362)</x:f>
        <x:v>0.15</x:v>
      </x:c>
      <x:c r="S362" s="7" t="n">
        <x:v>-48</x:v>
      </x:c>
      <x:c r="T362" s="10" t="n">
        <x:v>0.17</x:v>
      </x:c>
      <x:c r="U362" s="7" t="n">
        <x:v>173</x:v>
      </x:c>
      <x:c r="V362" s="7" t="n">
        <x:v>208</x:v>
      </x:c>
    </x:row>
    <x:row r="363" ht="16" customHeight="1">
      <x:c r="A363" s="7" t="n">
        <x:v>360</x:v>
      </x:c>
      <x:c r="B363" s="8" t="n">
        <x:v>46010</x:v>
      </x:c>
      <x:c r="C363" s="7" t="str">
        <x:v>Abyss</x:v>
      </x:c>
      <x:c r="D363" s="7" t="str">
        <x:v>10th</x:v>
      </x:c>
      <x:c r="E363" s="7" t="str">
        <x:v>Neon</x:v>
      </x:c>
      <x:c r="F363" s="7" t="n">
        <x:v>10</x:v>
      </x:c>
      <x:c r="G363" s="7" t="n">
        <x:v>13</x:v>
      </x:c>
      <x:c r="H363" s="7" t="str">
        <x:f>IF(F363&gt;G363,"Win",IF(F363&lt;G363,"Loss","Draw"))</x:f>
        <x:v>Loss</x:v>
      </x:c>
      <x:c r="I363" s="7" t="n">
        <x:f>IF(H363="Win",1,0)</x:f>
        <x:v>0</x:v>
      </x:c>
      <x:c r="J363" s="7" t="n">
        <x:f>F363-G363</x:f>
        <x:v>-3</x:v>
      </x:c>
      <x:c r="K363" s="7" t="n">
        <x:f>F363+G363</x:f>
        <x:v>23</x:v>
      </x:c>
      <x:c r="L363" s="7" t="n">
        <x:v>6</x:v>
      </x:c>
      <x:c r="M363" s="7" t="n">
        <x:v>20</x:v>
      </x:c>
      <x:c r="N363" s="7" t="n">
        <x:v>3</x:v>
      </x:c>
      <x:c r="O363" s="9" t="n">
        <x:f>IF(M363=0,"n.a.",L363/M363)</x:f>
        <x:v>0.3</x:v>
      </x:c>
      <x:c r="P363" s="9" t="n">
        <x:f>IF(K363=0,"n.a.",L363/K363)</x:f>
        <x:v>0.2608695652173913</x:v>
      </x:c>
      <x:c r="Q363" s="9" t="n">
        <x:f>IF(K363=0,"n.a.",M363/K363)</x:f>
        <x:v>0.8695652173913043</x:v>
      </x:c>
      <x:c r="R363" s="9" t="n">
        <x:f>IF(K363=0,"n.a.",N363/K363)</x:f>
        <x:v>0.13043478260869565</x:v>
      </x:c>
      <x:c r="S363" s="7" t="n">
        <x:v>-89</x:v>
      </x:c>
      <x:c r="T363" s="10" t="n">
        <x:v>0.14</x:v>
      </x:c>
      <x:c r="U363" s="7" t="n">
        <x:v>91</x:v>
      </x:c>
      <x:c r="V363" s="7" t="n">
        <x:v>118</x:v>
      </x:c>
    </x:row>
    <x:row r="364" ht="16" customHeight="1">
      <x:c r="A364" s="7" t="n">
        <x:v>361</x:v>
      </x:c>
      <x:c r="B364" s="8" t="n">
        <x:v>46010</x:v>
      </x:c>
      <x:c r="C364" s="7" t="str">
        <x:v>Haven</x:v>
      </x:c>
      <x:c r="D364" s="7" t="str">
        <x:v>4th</x:v>
      </x:c>
      <x:c r="E364" s="7" t="str">
        <x:v>Phoenix</x:v>
      </x:c>
      <x:c r="F364" s="7" t="n">
        <x:v>8</x:v>
      </x:c>
      <x:c r="G364" s="7" t="n">
        <x:v>13</x:v>
      </x:c>
      <x:c r="H364" s="7" t="str">
        <x:f>IF(F364&gt;G364,"Win",IF(F364&lt;G364,"Loss","Draw"))</x:f>
        <x:v>Loss</x:v>
      </x:c>
      <x:c r="I364" s="7" t="n">
        <x:f>IF(H364="Win",1,0)</x:f>
        <x:v>0</x:v>
      </x:c>
      <x:c r="J364" s="7" t="n">
        <x:f>F364-G364</x:f>
        <x:v>-5</x:v>
      </x:c>
      <x:c r="K364" s="7" t="n">
        <x:f>F364+G364</x:f>
        <x:v>21</x:v>
      </x:c>
      <x:c r="L364" s="7" t="n">
        <x:v>16</x:v>
      </x:c>
      <x:c r="M364" s="7" t="n">
        <x:v>18</x:v>
      </x:c>
      <x:c r="N364" s="7" t="n">
        <x:v>3</x:v>
      </x:c>
      <x:c r="O364" s="9" t="n">
        <x:f>IF(M364=0,"n.a.",L364/M364)</x:f>
        <x:v>0.8888888888888888</x:v>
      </x:c>
      <x:c r="P364" s="9" t="n">
        <x:f>IF(K364=0,"n.a.",L364/K364)</x:f>
        <x:v>0.7619047619047619</x:v>
      </x:c>
      <x:c r="Q364" s="9" t="n">
        <x:f>IF(K364=0,"n.a.",M364/K364)</x:f>
        <x:v>0.8571428571428571</x:v>
      </x:c>
      <x:c r="R364" s="9" t="n">
        <x:f>IF(K364=0,"n.a.",N364/K364)</x:f>
        <x:v>0.14285714285714285</x:v>
      </x:c>
      <x:c r="S364" s="7" t="n">
        <x:v>-44</x:v>
      </x:c>
      <x:c r="T364" s="10" t="n">
        <x:v>0.22</x:v>
      </x:c>
      <x:c r="U364" s="7" t="n">
        <x:v>222</x:v>
      </x:c>
      <x:c r="V364" s="7" t="n">
        <x:v>396</x:v>
      </x:c>
    </x:row>
    <x:row r="365" ht="16" customHeight="1">
      <x:c r="A365" s="7" t="n">
        <x:v>362</x:v>
      </x:c>
      <x:c r="B365" s="8" t="n">
        <x:v>46010</x:v>
      </x:c>
      <x:c r="C365" s="7" t="str">
        <x:v>Bind</x:v>
      </x:c>
      <x:c r="D365" s="7" t="str">
        <x:v>2nd</x:v>
      </x:c>
      <x:c r="E365" s="7" t="str">
        <x:v>Neon</x:v>
      </x:c>
      <x:c r="F365" s="7" t="n">
        <x:v>13</x:v>
      </x:c>
      <x:c r="G365" s="7" t="n">
        <x:v>11</x:v>
      </x:c>
      <x:c r="H365" s="7" t="str">
        <x:f>IF(F365&gt;G365,"Win",IF(F365&lt;G365,"Loss","Draw"))</x:f>
        <x:v>Win</x:v>
      </x:c>
      <x:c r="I365" s="7" t="n">
        <x:f>IF(H365="Win",1,0)</x:f>
        <x:v>1</x:v>
      </x:c>
      <x:c r="J365" s="7" t="n">
        <x:f>F365-G365</x:f>
        <x:v>2</x:v>
      </x:c>
      <x:c r="K365" s="7" t="n">
        <x:f>F365+G365</x:f>
        <x:v>24</x:v>
      </x:c>
      <x:c r="L365" s="7" t="n">
        <x:v>24</x:v>
      </x:c>
      <x:c r="M365" s="7" t="n">
        <x:v>16</x:v>
      </x:c>
      <x:c r="N365" s="7" t="n">
        <x:v>2</x:v>
      </x:c>
      <x:c r="O365" s="9" t="n">
        <x:f>IF(M365=0,"n.a.",L365/M365)</x:f>
        <x:v>1.5</x:v>
      </x:c>
      <x:c r="P365" s="9" t="n">
        <x:f>IF(K365=0,"n.a.",L365/K365)</x:f>
        <x:v>1</x:v>
      </x:c>
      <x:c r="Q365" s="9" t="n">
        <x:f>IF(K365=0,"n.a.",M365/K365)</x:f>
        <x:v>0.6666666666666666</x:v>
      </x:c>
      <x:c r="R365" s="9" t="n">
        <x:f>IF(K365=0,"n.a.",N365/K365)</x:f>
        <x:v>0.08333333333333333</x:v>
      </x:c>
      <x:c r="S365" s="7" t="n">
        <x:v>18</x:v>
      </x:c>
      <x:c r="T365" s="10" t="n">
        <x:v>0.26</x:v>
      </x:c>
      <x:c r="U365" s="7" t="n">
        <x:v>249</x:v>
      </x:c>
      <x:c r="V365" s="7" t="n">
        <x:v>623</x:v>
      </x:c>
    </x:row>
    <x:row r="366" ht="16" customHeight="1">
      <x:c r="A366" s="7" t="n">
        <x:v>363</x:v>
      </x:c>
      <x:c r="B366" s="8" t="n">
        <x:v>46014</x:v>
      </x:c>
      <x:c r="C366" s="7" t="str">
        <x:v>Corrode</x:v>
      </x:c>
      <x:c r="D366" s="7" t="str">
        <x:v>6th</x:v>
      </x:c>
      <x:c r="E366" s="7" t="str">
        <x:v>Neon</x:v>
      </x:c>
      <x:c r="F366" s="7" t="n">
        <x:v>14</x:v>
      </x:c>
      <x:c r="G366" s="7" t="n">
        <x:v>12</x:v>
      </x:c>
      <x:c r="H366" s="7" t="str">
        <x:f>IF(F366&gt;G366,"Win",IF(F366&lt;G366,"Loss","Draw"))</x:f>
        <x:v>Win</x:v>
      </x:c>
      <x:c r="I366" s="7" t="n">
        <x:f>IF(H366="Win",1,0)</x:f>
        <x:v>1</x:v>
      </x:c>
      <x:c r="J366" s="7" t="n">
        <x:f>F366-G366</x:f>
        <x:v>2</x:v>
      </x:c>
      <x:c r="K366" s="7" t="n">
        <x:f>F366+G366</x:f>
        <x:v>26</x:v>
      </x:c>
      <x:c r="L366" s="7" t="n">
        <x:v>17</x:v>
      </x:c>
      <x:c r="M366" s="7" t="n">
        <x:v>23</x:v>
      </x:c>
      <x:c r="N366" s="7" t="n">
        <x:v>2</x:v>
      </x:c>
      <x:c r="O366" s="9" t="n">
        <x:f>IF(M366=0,"n.a.",L366/M366)</x:f>
        <x:v>0.7391304347826086</x:v>
      </x:c>
      <x:c r="P366" s="9" t="n">
        <x:f>IF(K366=0,"n.a.",L366/K366)</x:f>
        <x:v>0.6538461538461539</x:v>
      </x:c>
      <x:c r="Q366" s="9" t="n">
        <x:f>IF(K366=0,"n.a.",M366/K366)</x:f>
        <x:v>0.8846153846153846</x:v>
      </x:c>
      <x:c r="R366" s="9" t="n">
        <x:f>IF(K366=0,"n.a.",N366/K366)</x:f>
        <x:v>0.07692307692307693</x:v>
      </x:c>
      <x:c r="S366" s="7" t="n">
        <x:v>-32</x:v>
      </x:c>
      <x:c r="T366" s="10" t="n">
        <x:v>0.4</x:v>
      </x:c>
      <x:c r="U366" s="7" t="n">
        <x:v>183</x:v>
      </x:c>
      <x:c r="V366" s="7" t="n">
        <x:v>348</x:v>
      </x:c>
    </x:row>
    <x:row r="367" ht="16" customHeight="1">
      <x:c r="A367" s="7" t="n">
        <x:v>364</x:v>
      </x:c>
      <x:c r="B367" s="8" t="n">
        <x:v>46014</x:v>
      </x:c>
      <x:c r="C367" s="7" t="str">
        <x:v>Sunset</x:v>
      </x:c>
      <x:c r="D367" s="7" t="str">
        <x:v>7th</x:v>
      </x:c>
      <x:c r="E367" s="7" t="str">
        <x:v>Iso</x:v>
      </x:c>
      <x:c r="F367" s="7" t="n">
        <x:v>12</x:v>
      </x:c>
      <x:c r="G367" s="7" t="n">
        <x:v>14</x:v>
      </x:c>
      <x:c r="H367" s="7" t="str">
        <x:f>IF(F367&gt;G367,"Win",IF(F367&lt;G367,"Loss","Draw"))</x:f>
        <x:v>Loss</x:v>
      </x:c>
      <x:c r="I367" s="7" t="n">
        <x:f>IF(H367="Win",1,0)</x:f>
        <x:v>0</x:v>
      </x:c>
      <x:c r="J367" s="7" t="n">
        <x:f>F367-G367</x:f>
        <x:v>-2</x:v>
      </x:c>
      <x:c r="K367" s="7" t="n">
        <x:f>F367+G367</x:f>
        <x:v>26</x:v>
      </x:c>
      <x:c r="L367" s="7" t="n">
        <x:v>17</x:v>
      </x:c>
      <x:c r="M367" s="7" t="n">
        <x:v>22</x:v>
      </x:c>
      <x:c r="N367" s="7" t="n">
        <x:v>5</x:v>
      </x:c>
      <x:c r="O367" s="9" t="n">
        <x:f>IF(M367=0,"n.a.",L367/M367)</x:f>
        <x:v>0.7727272727272727</x:v>
      </x:c>
      <x:c r="P367" s="9" t="n">
        <x:f>IF(K367=0,"n.a.",L367/K367)</x:f>
        <x:v>0.6538461538461539</x:v>
      </x:c>
      <x:c r="Q367" s="9" t="n">
        <x:f>IF(K367=0,"n.a.",M367/K367)</x:f>
        <x:v>0.8461538461538461</x:v>
      </x:c>
      <x:c r="R367" s="9" t="n">
        <x:f>IF(K367=0,"n.a.",N367/K367)</x:f>
        <x:v>0.19230769230769232</x:v>
      </x:c>
      <x:c r="S367" s="7" t="n">
        <x:v>-29</x:v>
      </x:c>
      <x:c r="T367" s="10" t="n">
        <x:v>0.35</x:v>
      </x:c>
      <x:c r="U367" s="7" t="n">
        <x:v>197</x:v>
      </x:c>
      <x:c r="V367" s="7" t="n">
        <x:v>384</x:v>
      </x:c>
    </x:row>
    <x:row r="368" ht="16" customHeight="1">
      <x:c r="A368" s="7" t="n">
        <x:v>365</x:v>
      </x:c>
      <x:c r="B368" s="8" t="n">
        <x:v>46014</x:v>
      </x:c>
      <x:c r="C368" s="7" t="str">
        <x:v>Bind</x:v>
      </x:c>
      <x:c r="D368" s="7" t="str">
        <x:v>5th</x:v>
      </x:c>
      <x:c r="E368" s="7" t="str">
        <x:v>Neon</x:v>
      </x:c>
      <x:c r="F368" s="7" t="n">
        <x:v>13</x:v>
      </x:c>
      <x:c r="G368" s="7" t="n">
        <x:v>15</x:v>
      </x:c>
      <x:c r="H368" s="7" t="str">
        <x:f>IF(F368&gt;G368,"Win",IF(F368&lt;G368,"Loss","Draw"))</x:f>
        <x:v>Loss</x:v>
      </x:c>
      <x:c r="I368" s="7" t="n">
        <x:f>IF(H368="Win",1,0)</x:f>
        <x:v>0</x:v>
      </x:c>
      <x:c r="J368" s="7" t="n">
        <x:f>F368-G368</x:f>
        <x:v>-2</x:v>
      </x:c>
      <x:c r="K368" s="7" t="n">
        <x:f>F368+G368</x:f>
        <x:v>28</x:v>
      </x:c>
      <x:c r="L368" s="7" t="n">
        <x:v>20</x:v>
      </x:c>
      <x:c r="M368" s="7" t="n">
        <x:v>22</x:v>
      </x:c>
      <x:c r="N368" s="7" t="n">
        <x:v>7</x:v>
      </x:c>
      <x:c r="O368" s="9" t="n">
        <x:f>IF(M368=0,"n.a.",L368/M368)</x:f>
        <x:v>0.9090909090909091</x:v>
      </x:c>
      <x:c r="P368" s="9" t="n">
        <x:f>IF(K368=0,"n.a.",L368/K368)</x:f>
        <x:v>0.7142857142857143</x:v>
      </x:c>
      <x:c r="Q368" s="9" t="n">
        <x:f>IF(K368=0,"n.a.",M368/K368)</x:f>
        <x:v>0.7857142857142857</x:v>
      </x:c>
      <x:c r="R368" s="9" t="n">
        <x:f>IF(K368=0,"n.a.",N368/K368)</x:f>
        <x:v>0.25</x:v>
      </x:c>
      <x:c r="S368" s="7" t="n">
        <x:v>-7</x:v>
      </x:c>
      <x:c r="T368" s="10" t="n">
        <x:v>0.28</x:v>
      </x:c>
      <x:c r="U368" s="7" t="n">
        <x:v>223</x:v>
      </x:c>
      <x:c r="V368" s="7" t="n">
        <x:v>564</x:v>
      </x:c>
    </x:row>
    <x:row r="369" ht="16" customHeight="1">
      <x:c r="A369" s="7" t="n">
        <x:v>366</x:v>
      </x:c>
      <x:c r="B369" s="8" t="n">
        <x:v>46014</x:v>
      </x:c>
      <x:c r="C369" s="7" t="str">
        <x:v>Split</x:v>
      </x:c>
      <x:c r="D369" s="7" t="str">
        <x:v>3rd</x:v>
      </x:c>
      <x:c r="E369" s="7" t="str">
        <x:v>Neon</x:v>
      </x:c>
      <x:c r="F369" s="7" t="n">
        <x:v>13</x:v>
      </x:c>
      <x:c r="G369" s="7" t="n">
        <x:v>3</x:v>
      </x:c>
      <x:c r="H369" s="7" t="str">
        <x:f>IF(F369&gt;G369,"Win",IF(F369&lt;G369,"Loss","Draw"))</x:f>
        <x:v>Win</x:v>
      </x:c>
      <x:c r="I369" s="7" t="n">
        <x:f>IF(H369="Win",1,0)</x:f>
        <x:v>1</x:v>
      </x:c>
      <x:c r="J369" s="7" t="n">
        <x:f>F369-G369</x:f>
        <x:v>10</x:v>
      </x:c>
      <x:c r="K369" s="7" t="n">
        <x:f>F369+G369</x:f>
        <x:v>16</x:v>
      </x:c>
      <x:c r="L369" s="7" t="n">
        <x:v>17</x:v>
      </x:c>
      <x:c r="M369" s="7" t="n">
        <x:v>10</x:v>
      </x:c>
      <x:c r="N369" s="7" t="n">
        <x:v>6</x:v>
      </x:c>
      <x:c r="O369" s="9" t="n">
        <x:f>IF(M369=0,"n.a.",L369/M369)</x:f>
        <x:v>1.7</x:v>
      </x:c>
      <x:c r="P369" s="9" t="n">
        <x:f>IF(K369=0,"n.a.",L369/K369)</x:f>
        <x:v>1.0625</x:v>
      </x:c>
      <x:c r="Q369" s="9" t="n">
        <x:f>IF(K369=0,"n.a.",M369/K369)</x:f>
        <x:v>0.625</x:v>
      </x:c>
      <x:c r="R369" s="9" t="n">
        <x:f>IF(K369=0,"n.a.",N369/K369)</x:f>
        <x:v>0.375</x:v>
      </x:c>
      <x:c r="S369" s="7" t="n">
        <x:v>42</x:v>
      </x:c>
      <x:c r="T369" s="10" t="n">
        <x:v>0.23</x:v>
      </x:c>
      <x:c r="U369" s="7" t="n">
        <x:v>297</x:v>
      </x:c>
      <x:c r="V369" s="7" t="n">
        <x:v>920</x:v>
      </x:c>
    </x:row>
    <x:row r="370" ht="16" customHeight="1">
      <x:c r="A370" s="7" t="n">
        <x:v>367</x:v>
      </x:c>
      <x:c r="B370" s="8" t="n">
        <x:v>46014</x:v>
      </x:c>
      <x:c r="C370" s="7" t="str">
        <x:v>Sunset</x:v>
      </x:c>
      <x:c r="D370" s="7" t="str">
        <x:v>4th</x:v>
      </x:c>
      <x:c r="E370" s="7" t="str">
        <x:v>Reyna</x:v>
      </x:c>
      <x:c r="F370" s="7" t="n">
        <x:v>13</x:v>
      </x:c>
      <x:c r="G370" s="7" t="n">
        <x:v>6</x:v>
      </x:c>
      <x:c r="H370" s="7" t="str">
        <x:f>IF(F370&gt;G370,"Win",IF(F370&lt;G370,"Loss","Draw"))</x:f>
        <x:v>Win</x:v>
      </x:c>
      <x:c r="I370" s="7" t="n">
        <x:f>IF(H370="Win",1,0)</x:f>
        <x:v>1</x:v>
      </x:c>
      <x:c r="J370" s="7" t="n">
        <x:f>F370-G370</x:f>
        <x:v>7</x:v>
      </x:c>
      <x:c r="K370" s="7" t="n">
        <x:f>F370+G370</x:f>
        <x:v>19</x:v>
      </x:c>
      <x:c r="L370" s="7" t="n">
        <x:v>14</x:v>
      </x:c>
      <x:c r="M370" s="7" t="n">
        <x:v>14</x:v>
      </x:c>
      <x:c r="N370" s="7" t="n">
        <x:v>4</x:v>
      </x:c>
      <x:c r="O370" s="9" t="n">
        <x:f>IF(M370=0,"n.a.",L370/M370)</x:f>
        <x:v>1</x:v>
      </x:c>
      <x:c r="P370" s="9" t="n">
        <x:f>IF(K370=0,"n.a.",L370/K370)</x:f>
        <x:v>0.7368421052631579</x:v>
      </x:c>
      <x:c r="Q370" s="9" t="n">
        <x:f>IF(K370=0,"n.a.",M370/K370)</x:f>
        <x:v>0.7368421052631579</x:v>
      </x:c>
      <x:c r="R370" s="9" t="n">
        <x:f>IF(K370=0,"n.a.",N370/K370)</x:f>
        <x:v>0.21052631578947367</x:v>
      </x:c>
      <x:c r="S370" s="7" t="n">
        <x:v>-8</x:v>
      </x:c>
      <x:c r="T370" s="10" t="n">
        <x:v>0.33</x:v>
      </x:c>
      <x:c r="U370" s="7" t="n">
        <x:v>204</x:v>
      </x:c>
      <x:c r="V370" s="7" t="n">
        <x:v>512</x:v>
      </x:c>
    </x:row>
    <x:row r="371" ht="16" customHeight="1">
      <x:c r="A371" s="7" t="n">
        <x:v>368</x:v>
      </x:c>
      <x:c r="B371" s="8" t="n">
        <x:v>46014</x:v>
      </x:c>
      <x:c r="C371" s="7" t="str">
        <x:v>Bind</x:v>
      </x:c>
      <x:c r="D371" s="7" t="str">
        <x:v>3rd</x:v>
      </x:c>
      <x:c r="E371" s="7" t="str">
        <x:v>Chamber</x:v>
      </x:c>
      <x:c r="F371" s="7" t="n">
        <x:v>7</x:v>
      </x:c>
      <x:c r="G371" s="7" t="n">
        <x:v>13</x:v>
      </x:c>
      <x:c r="H371" s="7" t="str">
        <x:f>IF(F371&gt;G371,"Win",IF(F371&lt;G371,"Loss","Draw"))</x:f>
        <x:v>Loss</x:v>
      </x:c>
      <x:c r="I371" s="7" t="n">
        <x:f>IF(H371="Win",1,0)</x:f>
        <x:v>0</x:v>
      </x:c>
      <x:c r="J371" s="7" t="n">
        <x:f>F371-G371</x:f>
        <x:v>-6</x:v>
      </x:c>
      <x:c r="K371" s="7" t="n">
        <x:f>F371+G371</x:f>
        <x:v>20</x:v>
      </x:c>
      <x:c r="L371" s="7" t="n">
        <x:v>16</x:v>
      </x:c>
      <x:c r="M371" s="7" t="n">
        <x:v>18</x:v>
      </x:c>
      <x:c r="N371" s="7" t="n">
        <x:v>2</x:v>
      </x:c>
      <x:c r="O371" s="9" t="n">
        <x:f>IF(M371=0,"n.a.",L371/M371)</x:f>
        <x:v>0.8888888888888888</x:v>
      </x:c>
      <x:c r="P371" s="9" t="n">
        <x:f>IF(K371=0,"n.a.",L371/K371)</x:f>
        <x:v>0.8</x:v>
      </x:c>
      <x:c r="Q371" s="9" t="n">
        <x:f>IF(K371=0,"n.a.",M371/K371)</x:f>
        <x:v>0.9</x:v>
      </x:c>
      <x:c r="R371" s="9" t="n">
        <x:f>IF(K371=0,"n.a.",N371/K371)</x:f>
        <x:v>0.1</x:v>
      </x:c>
      <x:c r="S371" s="7" t="n">
        <x:v>-1</x:v>
      </x:c>
      <x:c r="T371" s="10" t="n">
        <x:v>0.3</x:v>
      </x:c>
      <x:c r="U371" s="7" t="n">
        <x:v>237</x:v>
      </x:c>
      <x:c r="V371" s="7" t="n">
        <x:v>525</x:v>
      </x:c>
    </x:row>
    <x:row r="372" ht="16" customHeight="1">
      <x:c r="A372" s="7" t="n">
        <x:v>369</x:v>
      </x:c>
      <x:c r="B372" s="8" t="n">
        <x:v>46014</x:v>
      </x:c>
      <x:c r="C372" s="7" t="str">
        <x:v>Haven</x:v>
      </x:c>
      <x:c r="D372" s="7" t="str">
        <x:v>8th</x:v>
      </x:c>
      <x:c r="E372" s="7" t="str">
        <x:v>Neon</x:v>
      </x:c>
      <x:c r="F372" s="7" t="n">
        <x:v>8</x:v>
      </x:c>
      <x:c r="G372" s="7" t="n">
        <x:v>13</x:v>
      </x:c>
      <x:c r="H372" s="7" t="str">
        <x:f>IF(F372&gt;G372,"Win",IF(F372&lt;G372,"Loss","Draw"))</x:f>
        <x:v>Loss</x:v>
      </x:c>
      <x:c r="I372" s="7" t="n">
        <x:f>IF(H372="Win",1,0)</x:f>
        <x:v>0</x:v>
      </x:c>
      <x:c r="J372" s="7" t="n">
        <x:f>F372-G372</x:f>
        <x:v>-5</x:v>
      </x:c>
      <x:c r="K372" s="7" t="n">
        <x:f>F372+G372</x:f>
        <x:v>21</x:v>
      </x:c>
      <x:c r="L372" s="7" t="n">
        <x:v>11</x:v>
      </x:c>
      <x:c r="M372" s="7" t="n">
        <x:v>16</x:v>
      </x:c>
      <x:c r="N372" s="7" t="n">
        <x:v>5</x:v>
      </x:c>
      <x:c r="O372" s="9" t="n">
        <x:f>IF(M372=0,"n.a.",L372/M372)</x:f>
        <x:v>0.6875</x:v>
      </x:c>
      <x:c r="P372" s="9" t="n">
        <x:f>IF(K372=0,"n.a.",L372/K372)</x:f>
        <x:v>0.5238095238095238</x:v>
      </x:c>
      <x:c r="Q372" s="9" t="n">
        <x:f>IF(K372=0,"n.a.",M372/K372)</x:f>
        <x:v>0.7619047619047619</x:v>
      </x:c>
      <x:c r="R372" s="9" t="n">
        <x:f>IF(K372=0,"n.a.",N372/K372)</x:f>
        <x:v>0.23809523809523808</x:v>
      </x:c>
      <x:c r="S372" s="7" t="n">
        <x:v>-50</x:v>
      </x:c>
      <x:c r="T372" s="10" t="n">
        <x:v>0.18</x:v>
      </x:c>
      <x:c r="U372" s="7" t="n">
        <x:v>146</x:v>
      </x:c>
      <x:c r="V372" s="7" t="n">
        <x:v>229</x:v>
      </x:c>
    </x:row>
    <x:row r="373" ht="16" customHeight="1">
      <x:c r="A373" s="7" t="n">
        <x:v>370</x:v>
      </x:c>
      <x:c r="B373" s="8" t="n">
        <x:v>46014</x:v>
      </x:c>
      <x:c r="C373" s="7" t="str">
        <x:v>Sunset</x:v>
      </x:c>
      <x:c r="D373" s="7" t="str">
        <x:v>5th</x:v>
      </x:c>
      <x:c r="E373" s="7" t="str">
        <x:v>Neon</x:v>
      </x:c>
      <x:c r="F373" s="7" t="n">
        <x:v>4</x:v>
      </x:c>
      <x:c r="G373" s="7" t="n">
        <x:v>13</x:v>
      </x:c>
      <x:c r="H373" s="7" t="str">
        <x:f>IF(F373&gt;G373,"Win",IF(F373&lt;G373,"Loss","Draw"))</x:f>
        <x:v>Loss</x:v>
      </x:c>
      <x:c r="I373" s="7" t="n">
        <x:f>IF(H373="Win",1,0)</x:f>
        <x:v>0</x:v>
      </x:c>
      <x:c r="J373" s="7" t="n">
        <x:f>F373-G373</x:f>
        <x:v>-9</x:v>
      </x:c>
      <x:c r="K373" s="7" t="n">
        <x:f>F373+G373</x:f>
        <x:v>17</x:v>
      </x:c>
      <x:c r="L373" s="7" t="n">
        <x:v>12</x:v>
      </x:c>
      <x:c r="M373" s="7" t="n">
        <x:v>15</x:v>
      </x:c>
      <x:c r="N373" s="7" t="n">
        <x:v>0</x:v>
      </x:c>
      <x:c r="O373" s="9" t="n">
        <x:f>IF(M373=0,"n.a.",L373/M373)</x:f>
        <x:v>0.8</x:v>
      </x:c>
      <x:c r="P373" s="9" t="n">
        <x:f>IF(K373=0,"n.a.",L373/K373)</x:f>
        <x:v>0.7058823529411765</x:v>
      </x:c>
      <x:c r="Q373" s="9" t="n">
        <x:f>IF(K373=0,"n.a.",M373/K373)</x:f>
        <x:v>0.8823529411764706</x:v>
      </x:c>
      <x:c r="R373" s="9" t="n">
        <x:f>IF(K373=0,"n.a.",N373/K373)</x:f>
        <x:v>0</x:v>
      </x:c>
      <x:c r="S373" s="7" t="n">
        <x:v>-40</x:v>
      </x:c>
      <x:c r="T373" s="10" t="n">
        <x:v>0.23</x:v>
      </x:c>
      <x:c r="U373" s="7" t="n">
        <x:v>193</x:v>
      </x:c>
      <x:c r="V373" s="7" t="n">
        <x:v>239</x:v>
      </x:c>
    </x:row>
    <x:row r="374" ht="16" customHeight="1">
      <x:c r="A374" s="7" t="n">
        <x:v>371</x:v>
      </x:c>
      <x:c r="B374" s="8" t="n">
        <x:v>46015</x:v>
      </x:c>
      <x:c r="C374" s="7" t="str">
        <x:v>Sunset</x:v>
      </x:c>
      <x:c r="D374" s="7" t="str">
        <x:v>4th</x:v>
      </x:c>
      <x:c r="E374" s="7" t="str">
        <x:v>Astra</x:v>
      </x:c>
      <x:c r="F374" s="7" t="n">
        <x:v>13</x:v>
      </x:c>
      <x:c r="G374" s="7" t="n">
        <x:v>8</x:v>
      </x:c>
      <x:c r="H374" s="7" t="str">
        <x:f>IF(F374&gt;G374,"Win",IF(F374&lt;G374,"Loss","Draw"))</x:f>
        <x:v>Win</x:v>
      </x:c>
      <x:c r="I374" s="7" t="n">
        <x:f>IF(H374="Win",1,0)</x:f>
        <x:v>1</x:v>
      </x:c>
      <x:c r="J374" s="7" t="n">
        <x:f>F374-G374</x:f>
        <x:v>5</x:v>
      </x:c>
      <x:c r="K374" s="7" t="n">
        <x:f>F374+G374</x:f>
        <x:v>21</x:v>
      </x:c>
      <x:c r="L374" s="7" t="n">
        <x:v>16</x:v>
      </x:c>
      <x:c r="M374" s="7" t="n">
        <x:v>16</x:v>
      </x:c>
      <x:c r="N374" s="7" t="n">
        <x:v>10</x:v>
      </x:c>
      <x:c r="O374" s="9" t="n">
        <x:f>IF(M374=0,"n.a.",L374/M374)</x:f>
        <x:v>1</x:v>
      </x:c>
      <x:c r="P374" s="9" t="n">
        <x:f>IF(K374=0,"n.a.",L374/K374)</x:f>
        <x:v>0.7619047619047619</x:v>
      </x:c>
      <x:c r="Q374" s="9" t="n">
        <x:f>IF(K374=0,"n.a.",M374/K374)</x:f>
        <x:v>0.7619047619047619</x:v>
      </x:c>
      <x:c r="R374" s="9" t="n">
        <x:f>IF(K374=0,"n.a.",N374/K374)</x:f>
        <x:v>0.47619047619047616</x:v>
      </x:c>
      <x:c r="S374" s="7" t="n">
        <x:v>32</x:v>
      </x:c>
      <x:c r="T374" s="10" t="n">
        <x:v>0.37</x:v>
      </x:c>
      <x:c r="U374" s="7" t="n">
        <x:v>229</x:v>
      </x:c>
      <x:c r="V374" s="7" t="n">
        <x:v>692</x:v>
      </x:c>
    </x:row>
    <x:row r="375" ht="16" customHeight="1">
      <x:c r="A375" s="7" t="n">
        <x:v>372</x:v>
      </x:c>
      <x:c r="B375" s="8" t="n">
        <x:v>46015</x:v>
      </x:c>
      <x:c r="C375" s="7" t="str">
        <x:v>Split</x:v>
      </x:c>
      <x:c r="D375" s="7" t="str">
        <x:v>4th</x:v>
      </x:c>
      <x:c r="E375" s="7" t="str">
        <x:v>Neon</x:v>
      </x:c>
      <x:c r="F375" s="7" t="n">
        <x:v>13</x:v>
      </x:c>
      <x:c r="G375" s="7" t="n">
        <x:v>15</x:v>
      </x:c>
      <x:c r="H375" s="7" t="str">
        <x:f>IF(F375&gt;G375,"Win",IF(F375&lt;G375,"Loss","Draw"))</x:f>
        <x:v>Loss</x:v>
      </x:c>
      <x:c r="I375" s="7" t="n">
        <x:f>IF(H375="Win",1,0)</x:f>
        <x:v>0</x:v>
      </x:c>
      <x:c r="J375" s="7" t="n">
        <x:f>F375-G375</x:f>
        <x:v>-2</x:v>
      </x:c>
      <x:c r="K375" s="7" t="n">
        <x:f>F375+G375</x:f>
        <x:v>28</x:v>
      </x:c>
      <x:c r="L375" s="7" t="n">
        <x:v>23</x:v>
      </x:c>
      <x:c r="M375" s="7" t="n">
        <x:v>23</x:v>
      </x:c>
      <x:c r="N375" s="7" t="n">
        <x:v>4</x:v>
      </x:c>
      <x:c r="O375" s="9" t="n">
        <x:f>IF(M375=0,"n.a.",L375/M375)</x:f>
        <x:v>1</x:v>
      </x:c>
      <x:c r="P375" s="9" t="n">
        <x:f>IF(K375=0,"n.a.",L375/K375)</x:f>
        <x:v>0.8214285714285714</x:v>
      </x:c>
      <x:c r="Q375" s="9" t="n">
        <x:f>IF(K375=0,"n.a.",M375/K375)</x:f>
        <x:v>0.8214285714285714</x:v>
      </x:c>
      <x:c r="R375" s="9" t="n">
        <x:f>IF(K375=0,"n.a.",N375/K375)</x:f>
        <x:v>0.14285714285714285</x:v>
      </x:c>
      <x:c r="S375" s="7" t="n">
        <x:v>-9</x:v>
      </x:c>
      <x:c r="T375" s="10" t="n">
        <x:v>0.2</x:v>
      </x:c>
      <x:c r="U375" s="7" t="n">
        <x:v>236</x:v>
      </x:c>
      <x:c r="V375" s="7" t="n">
        <x:v>618</x:v>
      </x:c>
    </x:row>
    <x:row r="376" ht="16" customHeight="1">
      <x:c r="A376" s="7" t="n">
        <x:v>373</x:v>
      </x:c>
      <x:c r="B376" s="8" t="n">
        <x:v>46016</x:v>
      </x:c>
      <x:c r="C376" s="7" t="str">
        <x:v>Abyss</x:v>
      </x:c>
      <x:c r="D376" s="7" t="str">
        <x:v>5th</x:v>
      </x:c>
      <x:c r="E376" s="7" t="str">
        <x:v>Neon</x:v>
      </x:c>
      <x:c r="F376" s="7" t="n">
        <x:v>7</x:v>
      </x:c>
      <x:c r="G376" s="7" t="n">
        <x:v>13</x:v>
      </x:c>
      <x:c r="H376" s="7" t="str">
        <x:f>IF(F376&gt;G376,"Win",IF(F376&lt;G376,"Loss","Draw"))</x:f>
        <x:v>Loss</x:v>
      </x:c>
      <x:c r="I376" s="7" t="n">
        <x:f>IF(H376="Win",1,0)</x:f>
        <x:v>0</x:v>
      </x:c>
      <x:c r="J376" s="7" t="n">
        <x:f>F376-G376</x:f>
        <x:v>-6</x:v>
      </x:c>
      <x:c r="K376" s="7" t="n">
        <x:f>F376+G376</x:f>
        <x:v>20</x:v>
      </x:c>
      <x:c r="L376" s="7" t="n">
        <x:v>16</x:v>
      </x:c>
      <x:c r="M376" s="7" t="n">
        <x:v>16</x:v>
      </x:c>
      <x:c r="N376" s="7" t="n">
        <x:v>0</x:v>
      </x:c>
      <x:c r="O376" s="9" t="n">
        <x:f>IF(M376=0,"n.a.",L376/M376)</x:f>
        <x:v>1</x:v>
      </x:c>
      <x:c r="P376" s="9" t="n">
        <x:f>IF(K376=0,"n.a.",L376/K376)</x:f>
        <x:v>0.8</x:v>
      </x:c>
      <x:c r="Q376" s="9" t="n">
        <x:f>IF(K376=0,"n.a.",M376/K376)</x:f>
        <x:v>0.8</x:v>
      </x:c>
      <x:c r="R376" s="9" t="n">
        <x:f>IF(K376=0,"n.a.",N376/K376)</x:f>
        <x:v>0</x:v>
      </x:c>
      <x:c r="S376" s="7" t="n">
        <x:v>-9</x:v>
      </x:c>
      <x:c r="T376" s="10" t="n">
        <x:v>0.41</x:v>
      </x:c>
      <x:c r="U376" s="7" t="n">
        <x:v>223</x:v>
      </x:c>
      <x:c r="V376" s="7" t="n">
        <x:v>441</x:v>
      </x:c>
    </x:row>
    <x:row r="377" ht="16" customHeight="1">
      <x:c r="A377" s="7" t="n">
        <x:v>374</x:v>
      </x:c>
      <x:c r="B377" s="8" t="n">
        <x:v>46016</x:v>
      </x:c>
      <x:c r="C377" s="7" t="str">
        <x:v>Bind</x:v>
      </x:c>
      <x:c r="D377" s="7" t="str">
        <x:v>MVP</x:v>
      </x:c>
      <x:c r="E377" s="7" t="str">
        <x:v>Neon</x:v>
      </x:c>
      <x:c r="F377" s="7" t="n">
        <x:v>13</x:v>
      </x:c>
      <x:c r="G377" s="7" t="n">
        <x:v>4</x:v>
      </x:c>
      <x:c r="H377" s="7" t="str">
        <x:f>IF(F377&gt;G377,"Win",IF(F377&lt;G377,"Loss","Draw"))</x:f>
        <x:v>Win</x:v>
      </x:c>
      <x:c r="I377" s="7" t="n">
        <x:f>IF(H377="Win",1,0)</x:f>
        <x:v>1</x:v>
      </x:c>
      <x:c r="J377" s="7" t="n">
        <x:f>F377-G377</x:f>
        <x:v>9</x:v>
      </x:c>
      <x:c r="K377" s="7" t="n">
        <x:f>F377+G377</x:f>
        <x:v>17</x:v>
      </x:c>
      <x:c r="L377" s="7" t="n">
        <x:v>26</x:v>
      </x:c>
      <x:c r="M377" s="7" t="n">
        <x:v>10</x:v>
      </x:c>
      <x:c r="N377" s="7" t="n">
        <x:v>5</x:v>
      </x:c>
      <x:c r="O377" s="9" t="n">
        <x:f>IF(M377=0,"n.a.",L377/M377)</x:f>
        <x:v>2.6</x:v>
      </x:c>
      <x:c r="P377" s="9" t="n">
        <x:f>IF(K377=0,"n.a.",L377/K377)</x:f>
        <x:v>1.5294117647058822</x:v>
      </x:c>
      <x:c r="Q377" s="9" t="n">
        <x:f>IF(K377=0,"n.a.",M377/K377)</x:f>
        <x:v>0.5882352941176471</x:v>
      </x:c>
      <x:c r="R377" s="9" t="n">
        <x:f>IF(K377=0,"n.a.",N377/K377)</x:f>
        <x:v>0.29411764705882354</x:v>
      </x:c>
      <x:c r="S377" s="7" t="n">
        <x:v>140</x:v>
      </x:c>
      <x:c r="T377" s="10" t="n">
        <x:v>0.29</x:v>
      </x:c>
      <x:c r="U377" s="7" t="n">
        <x:v>426</x:v>
      </x:c>
      <x:c r="V377" s="7" t="n">
        <x:v>987</x:v>
      </x:c>
    </x:row>
    <x:row r="378" ht="16" customHeight="1">
      <x:c r="A378" s="7" t="n">
        <x:v>375</x:v>
      </x:c>
      <x:c r="B378" s="8" t="n">
        <x:v>46016</x:v>
      </x:c>
      <x:c r="C378" s="7" t="str">
        <x:v>Pearl</x:v>
      </x:c>
      <x:c r="D378" s="7" t="str">
        <x:v>2nd</x:v>
      </x:c>
      <x:c r="E378" s="7" t="str">
        <x:v>Neon</x:v>
      </x:c>
      <x:c r="F378" s="7" t="n">
        <x:v>13</x:v>
      </x:c>
      <x:c r="G378" s="7" t="n">
        <x:v>7</x:v>
      </x:c>
      <x:c r="H378" s="7" t="str">
        <x:f>IF(F378&gt;G378,"Win",IF(F378&lt;G378,"Loss","Draw"))</x:f>
        <x:v>Win</x:v>
      </x:c>
      <x:c r="I378" s="7" t="n">
        <x:f>IF(H378="Win",1,0)</x:f>
        <x:v>1</x:v>
      </x:c>
      <x:c r="J378" s="7" t="n">
        <x:f>F378-G378</x:f>
        <x:v>6</x:v>
      </x:c>
      <x:c r="K378" s="7" t="n">
        <x:f>F378+G378</x:f>
        <x:v>20</x:v>
      </x:c>
      <x:c r="L378" s="7" t="n">
        <x:v>20</x:v>
      </x:c>
      <x:c r="M378" s="7" t="n">
        <x:v>15</x:v>
      </x:c>
      <x:c r="N378" s="7" t="n">
        <x:v>2</x:v>
      </x:c>
      <x:c r="O378" s="9" t="n">
        <x:f>IF(M378=0,"n.a.",L378/M378)</x:f>
        <x:v>1.3333333333333333</x:v>
      </x:c>
      <x:c r="P378" s="9" t="n">
        <x:f>IF(K378=0,"n.a.",L378/K378)</x:f>
        <x:v>1</x:v>
      </x:c>
      <x:c r="Q378" s="9" t="n">
        <x:f>IF(K378=0,"n.a.",M378/K378)</x:f>
        <x:v>0.75</x:v>
      </x:c>
      <x:c r="R378" s="9" t="n">
        <x:f>IF(K378=0,"n.a.",N378/K378)</x:f>
        <x:v>0.1</x:v>
      </x:c>
      <x:c r="S378" s="7" t="n">
        <x:v>27</x:v>
      </x:c>
      <x:c r="T378" s="10" t="n">
        <x:v>0.27</x:v>
      </x:c>
      <x:c r="U378" s="7" t="n">
        <x:v>296</x:v>
      </x:c>
      <x:c r="V378" s="7" t="n">
        <x:v>749</x:v>
      </x:c>
    </x:row>
    <x:row r="379" ht="16" customHeight="1">
      <x:c r="A379" s="7" t="n">
        <x:v>376</x:v>
      </x:c>
      <x:c r="B379" s="8" t="n">
        <x:v>46016</x:v>
      </x:c>
      <x:c r="C379" s="7" t="str">
        <x:v>Corrode</x:v>
      </x:c>
      <x:c r="D379" s="7" t="str">
        <x:v>6th</x:v>
      </x:c>
      <x:c r="E379" s="7" t="str">
        <x:v>Chamber</x:v>
      </x:c>
      <x:c r="F379" s="7" t="n">
        <x:v>13</x:v>
      </x:c>
      <x:c r="G379" s="7" t="n">
        <x:v>5</x:v>
      </x:c>
      <x:c r="H379" s="7" t="str">
        <x:f>IF(F379&gt;G379,"Win",IF(F379&lt;G379,"Loss","Draw"))</x:f>
        <x:v>Win</x:v>
      </x:c>
      <x:c r="I379" s="7" t="n">
        <x:f>IF(H379="Win",1,0)</x:f>
        <x:v>1</x:v>
      </x:c>
      <x:c r="J379" s="7" t="n">
        <x:f>F379-G379</x:f>
        <x:v>8</x:v>
      </x:c>
      <x:c r="K379" s="7" t="n">
        <x:f>F379+G379</x:f>
        <x:v>18</x:v>
      </x:c>
      <x:c r="L379" s="7" t="n">
        <x:v>12</x:v>
      </x:c>
      <x:c r="M379" s="7" t="n">
        <x:v>12</x:v>
      </x:c>
      <x:c r="N379" s="7" t="n">
        <x:v>3</x:v>
      </x:c>
      <x:c r="O379" s="9" t="n">
        <x:f>IF(M379=0,"n.a.",L379/M379)</x:f>
        <x:v>1</x:v>
      </x:c>
      <x:c r="P379" s="9" t="n">
        <x:f>IF(K379=0,"n.a.",L379/K379)</x:f>
        <x:v>0.6666666666666666</x:v>
      </x:c>
      <x:c r="Q379" s="9" t="n">
        <x:f>IF(K379=0,"n.a.",M379/K379)</x:f>
        <x:v>0.6666666666666666</x:v>
      </x:c>
      <x:c r="R379" s="9" t="n">
        <x:f>IF(K379=0,"n.a.",N379/K379)</x:f>
        <x:v>0.16666666666666666</x:v>
      </x:c>
      <x:c r="S379" s="7" t="n">
        <x:v>-12</x:v>
      </x:c>
      <x:c r="T379" s="10" t="n">
        <x:v>0.29</x:v>
      </x:c>
      <x:c r="U379" s="7" t="n">
        <x:v>188</x:v>
      </x:c>
      <x:c r="V379" s="7" t="n">
        <x:v>454</x:v>
      </x:c>
    </x:row>
    <x:row r="380" ht="16" customHeight="1">
      <x:c r="A380" s="7" t="n">
        <x:v>377</x:v>
      </x:c>
      <x:c r="B380" s="8" t="n">
        <x:v>46017</x:v>
      </x:c>
      <x:c r="C380" s="7" t="str">
        <x:v>Split</x:v>
      </x:c>
      <x:c r="D380" s="7" t="str">
        <x:v>6th</x:v>
      </x:c>
      <x:c r="E380" s="7" t="str">
        <x:v>Neon</x:v>
      </x:c>
      <x:c r="F380" s="7" t="n">
        <x:v>12</x:v>
      </x:c>
      <x:c r="G380" s="7" t="n">
        <x:v>14</x:v>
      </x:c>
      <x:c r="H380" s="7" t="str">
        <x:f>IF(F380&gt;G380,"Win",IF(F380&lt;G380,"Loss","Draw"))</x:f>
        <x:v>Loss</x:v>
      </x:c>
      <x:c r="I380" s="7" t="n">
        <x:f>IF(H380="Win",1,0)</x:f>
        <x:v>0</x:v>
      </x:c>
      <x:c r="J380" s="7" t="n">
        <x:f>F380-G380</x:f>
        <x:v>-2</x:v>
      </x:c>
      <x:c r="K380" s="7" t="n">
        <x:f>F380+G380</x:f>
        <x:v>26</x:v>
      </x:c>
      <x:c r="L380" s="7" t="n">
        <x:v>17</x:v>
      </x:c>
      <x:c r="M380" s="7" t="n">
        <x:v>19</x:v>
      </x:c>
      <x:c r="N380" s="7" t="n">
        <x:v>2</x:v>
      </x:c>
      <x:c r="O380" s="9" t="n">
        <x:f>IF(M380=0,"n.a.",L380/M380)</x:f>
        <x:v>0.8947368421052632</x:v>
      </x:c>
      <x:c r="P380" s="9" t="n">
        <x:f>IF(K380=0,"n.a.",L380/K380)</x:f>
        <x:v>0.6538461538461539</x:v>
      </x:c>
      <x:c r="Q380" s="9" t="n">
        <x:f>IF(K380=0,"n.a.",M380/K380)</x:f>
        <x:v>0.7307692307692307</x:v>
      </x:c>
      <x:c r="R380" s="9" t="n">
        <x:f>IF(K380=0,"n.a.",N380/K380)</x:f>
        <x:v>0.07692307692307693</x:v>
      </x:c>
      <x:c r="S380" s="7" t="n">
        <x:v>-33</x:v>
      </x:c>
      <x:c r="T380" s="10" t="n">
        <x:v>0.32</x:v>
      </x:c>
      <x:c r="U380" s="7" t="n">
        <x:v>174</x:v>
      </x:c>
      <x:c r="V380" s="7" t="n">
        <x:v>310</x:v>
      </x:c>
    </x:row>
    <x:row r="381" ht="16" customHeight="1">
      <x:c r="A381" s="7" t="n">
        <x:v>378</x:v>
      </x:c>
      <x:c r="B381" s="8" t="n">
        <x:v>46017</x:v>
      </x:c>
      <x:c r="C381" s="7" t="str">
        <x:v>Sunset</x:v>
      </x:c>
      <x:c r="D381" s="7" t="str">
        <x:v>3rd</x:v>
      </x:c>
      <x:c r="E381" s="7" t="str">
        <x:v>Neon</x:v>
      </x:c>
      <x:c r="F381" s="7" t="n">
        <x:v>7</x:v>
      </x:c>
      <x:c r="G381" s="7" t="n">
        <x:v>2</x:v>
      </x:c>
      <x:c r="H381" s="7" t="str">
        <x:f>IF(F381&gt;G381,"Win",IF(F381&lt;G381,"Loss","Draw"))</x:f>
        <x:v>Win</x:v>
      </x:c>
      <x:c r="I381" s="7" t="n">
        <x:f>IF(H381="Win",1,0)</x:f>
        <x:v>1</x:v>
      </x:c>
      <x:c r="J381" s="7" t="n">
        <x:f>F381-G381</x:f>
        <x:v>5</x:v>
      </x:c>
      <x:c r="K381" s="7" t="n">
        <x:f>F381+G381</x:f>
        <x:v>9</x:v>
      </x:c>
      <x:c r="L381" s="7" t="n">
        <x:v>9</x:v>
      </x:c>
      <x:c r="M381" s="7" t="n">
        <x:v>5</x:v>
      </x:c>
      <x:c r="N381" s="7" t="n">
        <x:v>1</x:v>
      </x:c>
      <x:c r="O381" s="9" t="n">
        <x:f>IF(M381=0,"n.a.",L381/M381)</x:f>
        <x:v>1.8</x:v>
      </x:c>
      <x:c r="P381" s="9" t="n">
        <x:f>IF(K381=0,"n.a.",L381/K381)</x:f>
        <x:v>1</x:v>
      </x:c>
      <x:c r="Q381" s="9" t="n">
        <x:f>IF(K381=0,"n.a.",M381/K381)</x:f>
        <x:v>0.5555555555555556</x:v>
      </x:c>
      <x:c r="R381" s="9" t="n">
        <x:f>IF(K381=0,"n.a.",N381/K381)</x:f>
        <x:v>0.1111111111111111</x:v>
      </x:c>
      <x:c r="S381" s="7" t="n">
        <x:v>63</x:v>
      </x:c>
      <x:c r="T381" s="10" t="n">
        <x:v>0.41</x:v>
      </x:c>
      <x:c r="U381" s="7" t="n">
        <x:v>271</x:v>
      </x:c>
      <x:c r="V381" s="7" t="n">
        <x:v>853</x:v>
      </x:c>
    </x:row>
    <x:row r="382" ht="16" customHeight="1">
      <x:c r="A382" s="7" t="n">
        <x:v>379</x:v>
      </x:c>
      <x:c r="B382" s="8" t="n">
        <x:v>46017</x:v>
      </x:c>
      <x:c r="C382" s="7" t="str">
        <x:v>Bind</x:v>
      </x:c>
      <x:c r="D382" s="7" t="str">
        <x:v>3rd</x:v>
      </x:c>
      <x:c r="E382" s="7" t="str">
        <x:v>Neon</x:v>
      </x:c>
      <x:c r="F382" s="7" t="n">
        <x:v>11</x:v>
      </x:c>
      <x:c r="G382" s="7" t="n">
        <x:v>13</x:v>
      </x:c>
      <x:c r="H382" s="7" t="str">
        <x:f>IF(F382&gt;G382,"Win",IF(F382&lt;G382,"Loss","Draw"))</x:f>
        <x:v>Loss</x:v>
      </x:c>
      <x:c r="I382" s="7" t="n">
        <x:f>IF(H382="Win",1,0)</x:f>
        <x:v>0</x:v>
      </x:c>
      <x:c r="J382" s="7" t="n">
        <x:f>F382-G382</x:f>
        <x:v>-2</x:v>
      </x:c>
      <x:c r="K382" s="7" t="n">
        <x:f>F382+G382</x:f>
        <x:v>24</x:v>
      </x:c>
      <x:c r="L382" s="7" t="n">
        <x:v>22</x:v>
      </x:c>
      <x:c r="M382" s="7" t="n">
        <x:v>19</x:v>
      </x:c>
      <x:c r="N382" s="7" t="n">
        <x:v>4</x:v>
      </x:c>
      <x:c r="O382" s="9" t="n">
        <x:f>IF(M382=0,"n.a.",L382/M382)</x:f>
        <x:v>1.1578947368421053</x:v>
      </x:c>
      <x:c r="P382" s="9" t="n">
        <x:f>IF(K382=0,"n.a.",L382/K382)</x:f>
        <x:v>0.9166666666666666</x:v>
      </x:c>
      <x:c r="Q382" s="9" t="n">
        <x:f>IF(K382=0,"n.a.",M382/K382)</x:f>
        <x:v>0.7916666666666666</x:v>
      </x:c>
      <x:c r="R382" s="9" t="n">
        <x:f>IF(K382=0,"n.a.",N382/K382)</x:f>
        <x:v>0.16666666666666666</x:v>
      </x:c>
      <x:c r="S382" s="7" t="n">
        <x:v>4</x:v>
      </x:c>
      <x:c r="T382" s="10" t="n">
        <x:v>0.18</x:v>
      </x:c>
      <x:c r="U382" s="7" t="n">
        <x:v>261</x:v>
      </x:c>
      <x:c r="V382" s="7" t="n">
        <x:v>662</x:v>
      </x:c>
    </x:row>
    <x:row r="383" ht="16" customHeight="1">
      <x:c r="A383" s="7" t="n">
        <x:v>380</x:v>
      </x:c>
      <x:c r="B383" s="8" t="n">
        <x:v>46017</x:v>
      </x:c>
      <x:c r="C383" s="7" t="str">
        <x:v>Abyss</x:v>
      </x:c>
      <x:c r="D383" s="7" t="str">
        <x:v>10th</x:v>
      </x:c>
      <x:c r="E383" s="7" t="str">
        <x:v>Reyna</x:v>
      </x:c>
      <x:c r="F383" s="7" t="n">
        <x:v>6</x:v>
      </x:c>
      <x:c r="G383" s="7" t="n">
        <x:v>13</x:v>
      </x:c>
      <x:c r="H383" s="7" t="str">
        <x:f>IF(F383&gt;G383,"Win",IF(F383&lt;G383,"Loss","Draw"))</x:f>
        <x:v>Loss</x:v>
      </x:c>
      <x:c r="I383" s="7" t="n">
        <x:f>IF(H383="Win",1,0)</x:f>
        <x:v>0</x:v>
      </x:c>
      <x:c r="J383" s="7" t="n">
        <x:f>F383-G383</x:f>
        <x:v>-7</x:v>
      </x:c>
      <x:c r="K383" s="7" t="n">
        <x:f>F383+G383</x:f>
        <x:v>19</x:v>
      </x:c>
      <x:c r="L383" s="7" t="n">
        <x:v>9</x:v>
      </x:c>
      <x:c r="M383" s="7" t="n">
        <x:v>16</x:v>
      </x:c>
      <x:c r="N383" s="7" t="n">
        <x:v>2</x:v>
      </x:c>
      <x:c r="O383" s="9" t="n">
        <x:f>IF(M383=0,"n.a.",L383/M383)</x:f>
        <x:v>0.5625</x:v>
      </x:c>
      <x:c r="P383" s="9" t="n">
        <x:f>IF(K383=0,"n.a.",L383/K383)</x:f>
        <x:v>0.47368421052631576</x:v>
      </x:c>
      <x:c r="Q383" s="9" t="n">
        <x:f>IF(K383=0,"n.a.",M383/K383)</x:f>
        <x:v>0.8421052631578947</x:v>
      </x:c>
      <x:c r="R383" s="9" t="n">
        <x:f>IF(K383=0,"n.a.",N383/K383)</x:f>
        <x:v>0.10526315789473684</x:v>
      </x:c>
      <x:c r="S383" s="7" t="n">
        <x:v>-70</x:v>
      </x:c>
      <x:c r="T383" s="10" t="n">
        <x:v>0.35</x:v>
      </x:c>
      <x:c r="U383" s="7" t="n">
        <x:v>146</x:v>
      </x:c>
      <x:c r="V383" s="7" t="n">
        <x:v>198</x:v>
      </x:c>
    </x:row>
    <x:row r="384" ht="16" customHeight="1">
      <x:c r="A384" s="7" t="n">
        <x:v>381</x:v>
      </x:c>
      <x:c r="B384" s="8" t="n">
        <x:v>46017</x:v>
      </x:c>
      <x:c r="C384" s="7" t="str">
        <x:v>Abyss</x:v>
      </x:c>
      <x:c r="D384" s="7" t="str">
        <x:v>6th</x:v>
      </x:c>
      <x:c r="E384" s="7" t="str">
        <x:v>Neon</x:v>
      </x:c>
      <x:c r="F384" s="7" t="n">
        <x:v>13</x:v>
      </x:c>
      <x:c r="G384" s="7" t="n">
        <x:v>8</x:v>
      </x:c>
      <x:c r="H384" s="7" t="str">
        <x:f>IF(F384&gt;G384,"Win",IF(F384&lt;G384,"Loss","Draw"))</x:f>
        <x:v>Win</x:v>
      </x:c>
      <x:c r="I384" s="7" t="n">
        <x:f>IF(H384="Win",1,0)</x:f>
        <x:v>1</x:v>
      </x:c>
      <x:c r="J384" s="7" t="n">
        <x:f>F384-G384</x:f>
        <x:v>5</x:v>
      </x:c>
      <x:c r="K384" s="7" t="n">
        <x:f>F384+G384</x:f>
        <x:v>21</x:v>
      </x:c>
      <x:c r="L384" s="7" t="n">
        <x:v>18</x:v>
      </x:c>
      <x:c r="M384" s="7" t="n">
        <x:v>15</x:v>
      </x:c>
      <x:c r="N384" s="7" t="n">
        <x:v>2</x:v>
      </x:c>
      <x:c r="O384" s="9" t="n">
        <x:f>IF(M384=0,"n.a.",L384/M384)</x:f>
        <x:v>1.2</x:v>
      </x:c>
      <x:c r="P384" s="9" t="n">
        <x:f>IF(K384=0,"n.a.",L384/K384)</x:f>
        <x:v>0.8571428571428571</x:v>
      </x:c>
      <x:c r="Q384" s="9" t="n">
        <x:f>IF(K384=0,"n.a.",M384/K384)</x:f>
        <x:v>0.7142857142857143</x:v>
      </x:c>
      <x:c r="R384" s="9" t="n">
        <x:f>IF(K384=0,"n.a.",N384/K384)</x:f>
        <x:v>0.09523809523809523</x:v>
      </x:c>
      <x:c r="S384" s="7" t="n">
        <x:v>-6</x:v>
      </x:c>
      <x:c r="T384" s="10" t="n">
        <x:v>0.18</x:v>
      </x:c>
      <x:c r="U384" s="7" t="n">
        <x:v>227</x:v>
      </x:c>
      <x:c r="V384" s="7" t="n">
        <x:v>577</x:v>
      </x:c>
    </x:row>
    <x:row r="385" ht="16" customHeight="1">
      <x:c r="A385" s="7" t="n">
        <x:v>382</x:v>
      </x:c>
      <x:c r="B385" s="8" t="n">
        <x:v>46017</x:v>
      </x:c>
      <x:c r="C385" s="7" t="str">
        <x:v>Bind</x:v>
      </x:c>
      <x:c r="D385" s="7" t="str">
        <x:v>MVP</x:v>
      </x:c>
      <x:c r="E385" s="7" t="str">
        <x:v>Neon</x:v>
      </x:c>
      <x:c r="F385" s="7" t="n">
        <x:v>13</x:v>
      </x:c>
      <x:c r="G385" s="7" t="n">
        <x:v>3</x:v>
      </x:c>
      <x:c r="H385" s="7" t="str">
        <x:f>IF(F385&gt;G385,"Win",IF(F385&lt;G385,"Loss","Draw"))</x:f>
        <x:v>Win</x:v>
      </x:c>
      <x:c r="I385" s="7" t="n">
        <x:f>IF(H385="Win",1,0)</x:f>
        <x:v>1</x:v>
      </x:c>
      <x:c r="J385" s="7" t="n">
        <x:f>F385-G385</x:f>
        <x:v>10</x:v>
      </x:c>
      <x:c r="K385" s="7" t="n">
        <x:f>F385+G385</x:f>
        <x:v>16</x:v>
      </x:c>
      <x:c r="L385" s="7" t="n">
        <x:v>24</x:v>
      </x:c>
      <x:c r="M385" s="7" t="n">
        <x:v>10</x:v>
      </x:c>
      <x:c r="N385" s="7" t="n">
        <x:v>3</x:v>
      </x:c>
      <x:c r="O385" s="9" t="n">
        <x:f>IF(M385=0,"n.a.",L385/M385)</x:f>
        <x:v>2.4</x:v>
      </x:c>
      <x:c r="P385" s="9" t="n">
        <x:f>IF(K385=0,"n.a.",L385/K385)</x:f>
        <x:v>1.5</x:v>
      </x:c>
      <x:c r="Q385" s="9" t="n">
        <x:f>IF(K385=0,"n.a.",M385/K385)</x:f>
        <x:v>0.625</x:v>
      </x:c>
      <x:c r="R385" s="9" t="n">
        <x:f>IF(K385=0,"n.a.",N385/K385)</x:f>
        <x:v>0.1875</x:v>
      </x:c>
      <x:c r="S385" s="7" t="n">
        <x:v>88</x:v>
      </x:c>
      <x:c r="T385" s="10" t="n">
        <x:v>0.19</x:v>
      </x:c>
      <x:c r="U385" s="7" t="n">
        <x:v>380</x:v>
      </x:c>
      <x:c r="V385" s="7" t="n">
        <x:v>941</x:v>
      </x:c>
    </x:row>
    <x:row r="386" ht="16" customHeight="1">
      <x:c r="A386" s="7" t="n">
        <x:v>383</x:v>
      </x:c>
      <x:c r="B386" s="8" t="n">
        <x:v>46017</x:v>
      </x:c>
      <x:c r="C386" s="7" t="str">
        <x:v>Corrode</x:v>
      </x:c>
      <x:c r="D386" s="7" t="str">
        <x:v>5th</x:v>
      </x:c>
      <x:c r="E386" s="7" t="str">
        <x:v>Neon</x:v>
      </x:c>
      <x:c r="F386" s="7" t="n">
        <x:v>7</x:v>
      </x:c>
      <x:c r="G386" s="7" t="n">
        <x:v>13</x:v>
      </x:c>
      <x:c r="H386" s="7" t="str">
        <x:f>IF(F386&gt;G386,"Win",IF(F386&lt;G386,"Loss","Draw"))</x:f>
        <x:v>Loss</x:v>
      </x:c>
      <x:c r="I386" s="7" t="n">
        <x:f>IF(H386="Win",1,0)</x:f>
        <x:v>0</x:v>
      </x:c>
      <x:c r="J386" s="7" t="n">
        <x:f>F386-G386</x:f>
        <x:v>-6</x:v>
      </x:c>
      <x:c r="K386" s="7" t="n">
        <x:f>F386+G386</x:f>
        <x:v>20</x:v>
      </x:c>
      <x:c r="L386" s="7" t="n">
        <x:v>13</x:v>
      </x:c>
      <x:c r="M386" s="7" t="n">
        <x:v>20</x:v>
      </x:c>
      <x:c r="N386" s="7" t="n">
        <x:v>2</x:v>
      </x:c>
      <x:c r="O386" s="9" t="n">
        <x:f>IF(M386=0,"n.a.",L386/M386)</x:f>
        <x:v>0.65</x:v>
      </x:c>
      <x:c r="P386" s="9" t="n">
        <x:f>IF(K386=0,"n.a.",L386/K386)</x:f>
        <x:v>0.65</x:v>
      </x:c>
      <x:c r="Q386" s="9" t="n">
        <x:f>IF(K386=0,"n.a.",M386/K386)</x:f>
        <x:v>1</x:v>
      </x:c>
      <x:c r="R386" s="9" t="n">
        <x:f>IF(K386=0,"n.a.",N386/K386)</x:f>
        <x:v>0.1</x:v>
      </x:c>
      <x:c r="S386" s="7" t="n">
        <x:v>-60</x:v>
      </x:c>
      <x:c r="T386" s="10" t="n">
        <x:v>0.19</x:v>
      </x:c>
      <x:c r="U386" s="7" t="n">
        <x:v>204</x:v>
      </x:c>
      <x:c r="V386" s="7" t="n">
        <x:v>321</x:v>
      </x:c>
    </x:row>
    <x:row r="387" ht="16" customHeight="1">
      <x:c r="A387" s="7" t="n">
        <x:v>384</x:v>
      </x:c>
      <x:c r="B387" s="8" t="n">
        <x:v>46017</x:v>
      </x:c>
      <x:c r="C387" s="7" t="str">
        <x:v>Sunset</x:v>
      </x:c>
      <x:c r="D387" s="7" t="str">
        <x:v>4th</x:v>
      </x:c>
      <x:c r="E387" s="7" t="str">
        <x:v>Neon</x:v>
      </x:c>
      <x:c r="F387" s="7" t="n">
        <x:v>13</x:v>
      </x:c>
      <x:c r="G387" s="7" t="n">
        <x:v>5</x:v>
      </x:c>
      <x:c r="H387" s="7" t="str">
        <x:f>IF(F387&gt;G387,"Win",IF(F387&lt;G387,"Loss","Draw"))</x:f>
        <x:v>Win</x:v>
      </x:c>
      <x:c r="I387" s="7" t="n">
        <x:f>IF(H387="Win",1,0)</x:f>
        <x:v>1</x:v>
      </x:c>
      <x:c r="J387" s="7" t="n">
        <x:f>F387-G387</x:f>
        <x:v>8</x:v>
      </x:c>
      <x:c r="K387" s="7" t="n">
        <x:f>F387+G387</x:f>
        <x:v>18</x:v>
      </x:c>
      <x:c r="L387" s="7" t="n">
        <x:v>13</x:v>
      </x:c>
      <x:c r="M387" s="7" t="n">
        <x:v>14</x:v>
      </x:c>
      <x:c r="N387" s="7" t="n">
        <x:v>4</x:v>
      </x:c>
      <x:c r="O387" s="9" t="n">
        <x:f>IF(M387=0,"n.a.",L387/M387)</x:f>
        <x:v>0.9285714285714286</x:v>
      </x:c>
      <x:c r="P387" s="9" t="n">
        <x:f>IF(K387=0,"n.a.",L387/K387)</x:f>
        <x:v>0.7222222222222222</x:v>
      </x:c>
      <x:c r="Q387" s="9" t="n">
        <x:f>IF(K387=0,"n.a.",M387/K387)</x:f>
        <x:v>0.7777777777777778</x:v>
      </x:c>
      <x:c r="R387" s="9" t="n">
        <x:f>IF(K387=0,"n.a.",N387/K387)</x:f>
        <x:v>0.2222222222222222</x:v>
      </x:c>
      <x:c r="S387" s="7" t="n">
        <x:v>0</x:v>
      </x:c>
      <x:c r="T387" s="10" t="n">
        <x:v>0.21</x:v>
      </x:c>
      <x:c r="U387" s="7" t="n">
        <x:v>226</x:v>
      </x:c>
      <x:c r="V387" s="7" t="n">
        <x:v>737</x:v>
      </x:c>
    </x:row>
    <x:row r="388" ht="16" customHeight="1">
      <x:c r="A388" s="7" t="n">
        <x:v>385</x:v>
      </x:c>
      <x:c r="B388" s="8" t="n">
        <x:v>46017</x:v>
      </x:c>
      <x:c r="C388" s="7" t="str">
        <x:v>Split</x:v>
      </x:c>
      <x:c r="D388" s="7" t="str">
        <x:v>MVP</x:v>
      </x:c>
      <x:c r="E388" s="7" t="str">
        <x:v>Neon</x:v>
      </x:c>
      <x:c r="F388" s="7" t="n">
        <x:v>13</x:v>
      </x:c>
      <x:c r="G388" s="7" t="n">
        <x:v>4</x:v>
      </x:c>
      <x:c r="H388" s="7" t="str">
        <x:f>IF(F388&gt;G388,"Win",IF(F388&lt;G388,"Loss","Draw"))</x:f>
        <x:v>Win</x:v>
      </x:c>
      <x:c r="I388" s="7" t="n">
        <x:f>IF(H388="Win",1,0)</x:f>
        <x:v>1</x:v>
      </x:c>
      <x:c r="J388" s="7" t="n">
        <x:f>F388-G388</x:f>
        <x:v>9</x:v>
      </x:c>
      <x:c r="K388" s="7" t="n">
        <x:f>F388+G388</x:f>
        <x:v>17</x:v>
      </x:c>
      <x:c r="L388" s="7" t="n">
        <x:v>23</x:v>
      </x:c>
      <x:c r="M388" s="7" t="n">
        <x:v>12</x:v>
      </x:c>
      <x:c r="N388" s="7" t="n">
        <x:v>3</x:v>
      </x:c>
      <x:c r="O388" s="9" t="n">
        <x:f>IF(M388=0,"n.a.",L388/M388)</x:f>
        <x:v>1.9166666666666667</x:v>
      </x:c>
      <x:c r="P388" s="9" t="n">
        <x:f>IF(K388=0,"n.a.",L388/K388)</x:f>
        <x:v>1.3529411764705883</x:v>
      </x:c>
      <x:c r="Q388" s="9" t="n">
        <x:f>IF(K388=0,"n.a.",M388/K388)</x:f>
        <x:v>0.7058823529411765</x:v>
      </x:c>
      <x:c r="R388" s="9" t="n">
        <x:f>IF(K388=0,"n.a.",N388/K388)</x:f>
        <x:v>0.17647058823529413</x:v>
      </x:c>
      <x:c r="S388" s="7" t="n">
        <x:v>78</x:v>
      </x:c>
      <x:c r="T388" s="10" t="n">
        <x:v>0.21</x:v>
      </x:c>
      <x:c r="U388" s="7" t="n">
        <x:v>355</x:v>
      </x:c>
      <x:c r="V388" s="7" t="n">
        <x:v>979</x:v>
      </x:c>
    </x:row>
    <x:row r="389" ht="16" customHeight="1">
      <x:c r="A389" s="7" t="n">
        <x:v>386</x:v>
      </x:c>
      <x:c r="B389" s="8" t="n">
        <x:v>46017</x:v>
      </x:c>
      <x:c r="C389" s="7" t="str">
        <x:v>Haven</x:v>
      </x:c>
      <x:c r="D389" s="7" t="str">
        <x:v>2nd</x:v>
      </x:c>
      <x:c r="E389" s="7" t="str">
        <x:v>Neon</x:v>
      </x:c>
      <x:c r="F389" s="7" t="n">
        <x:v>13</x:v>
      </x:c>
      <x:c r="G389" s="7" t="n">
        <x:v>7</x:v>
      </x:c>
      <x:c r="H389" s="7" t="str">
        <x:f>IF(F389&gt;G389,"Win",IF(F389&lt;G389,"Loss","Draw"))</x:f>
        <x:v>Win</x:v>
      </x:c>
      <x:c r="I389" s="7" t="n">
        <x:f>IF(H389="Win",1,0)</x:f>
        <x:v>1</x:v>
      </x:c>
      <x:c r="J389" s="7" t="n">
        <x:f>F389-G389</x:f>
        <x:v>6</x:v>
      </x:c>
      <x:c r="K389" s="7" t="n">
        <x:f>F389+G389</x:f>
        <x:v>20</x:v>
      </x:c>
      <x:c r="L389" s="7" t="n">
        <x:v>22</x:v>
      </x:c>
      <x:c r="M389" s="7" t="n">
        <x:v>14</x:v>
      </x:c>
      <x:c r="N389" s="7" t="n">
        <x:v>4</x:v>
      </x:c>
      <x:c r="O389" s="9" t="n">
        <x:f>IF(M389=0,"n.a.",L389/M389)</x:f>
        <x:v>1.5714285714285714</x:v>
      </x:c>
      <x:c r="P389" s="9" t="n">
        <x:f>IF(K389=0,"n.a.",L389/K389)</x:f>
        <x:v>1.1</x:v>
      </x:c>
      <x:c r="Q389" s="9" t="n">
        <x:f>IF(K389=0,"n.a.",M389/K389)</x:f>
        <x:v>0.7</x:v>
      </x:c>
      <x:c r="R389" s="9" t="n">
        <x:f>IF(K389=0,"n.a.",N389/K389)</x:f>
        <x:v>0.2</x:v>
      </x:c>
      <x:c r="S389" s="7" t="n">
        <x:v>78</x:v>
      </x:c>
      <x:c r="T389" s="10" t="n">
        <x:v>0.24</x:v>
      </x:c>
      <x:c r="U389" s="7" t="n">
        <x:v>339</x:v>
      </x:c>
      <x:c r="V389" s="7" t="n">
        <x:v>926</x:v>
      </x:c>
    </x:row>
    <x:row r="390" ht="16" customHeight="1">
      <x:c r="A390" s="7" t="n">
        <x:v>387</x:v>
      </x:c>
      <x:c r="B390" s="8" t="n">
        <x:v>46018</x:v>
      </x:c>
      <x:c r="C390" s="7" t="str">
        <x:v>Haven</x:v>
      </x:c>
      <x:c r="D390" s="7" t="str">
        <x:v>9th</x:v>
      </x:c>
      <x:c r="E390" s="7" t="str">
        <x:v>Sage</x:v>
      </x:c>
      <x:c r="F390" s="7" t="n">
        <x:v>9</x:v>
      </x:c>
      <x:c r="G390" s="7" t="n">
        <x:v>13</x:v>
      </x:c>
      <x:c r="H390" s="7" t="str">
        <x:f>IF(F390&gt;G390,"Win",IF(F390&lt;G390,"Loss","Draw"))</x:f>
        <x:v>Loss</x:v>
      </x:c>
      <x:c r="I390" s="7" t="n">
        <x:f>IF(H390="Win",1,0)</x:f>
        <x:v>0</x:v>
      </x:c>
      <x:c r="J390" s="7" t="n">
        <x:f>F390-G390</x:f>
        <x:v>-4</x:v>
      </x:c>
      <x:c r="K390" s="7" t="n">
        <x:f>F390+G390</x:f>
        <x:v>22</x:v>
      </x:c>
      <x:c r="L390" s="7" t="n">
        <x:v>15</x:v>
      </x:c>
      <x:c r="M390" s="7" t="n">
        <x:v>17</x:v>
      </x:c>
      <x:c r="N390" s="7" t="n">
        <x:v>9</x:v>
      </x:c>
      <x:c r="O390" s="9" t="n">
        <x:f>IF(M390=0,"n.a.",L390/M390)</x:f>
        <x:v>0.8823529411764706</x:v>
      </x:c>
      <x:c r="P390" s="9" t="n">
        <x:f>IF(K390=0,"n.a.",L390/K390)</x:f>
        <x:v>0.6818181818181818</x:v>
      </x:c>
      <x:c r="Q390" s="9" t="n">
        <x:f>IF(K390=0,"n.a.",M390/K390)</x:f>
        <x:v>0.7727272727272727</x:v>
      </x:c>
      <x:c r="R390" s="9" t="n">
        <x:f>IF(K390=0,"n.a.",N390/K390)</x:f>
        <x:v>0.4090909090909091</x:v>
      </x:c>
      <x:c r="S390" s="7" t="n">
        <x:v>-54</x:v>
      </x:c>
      <x:c r="T390" s="10" t="n">
        <x:v>0.21</x:v>
      </x:c>
      <x:c r="U390" s="7" t="n">
        <x:v>174</x:v>
      </x:c>
      <x:c r="V390" s="7" t="n">
        <x:v>457</x:v>
      </x:c>
    </x:row>
    <x:row r="391" ht="16" customHeight="1">
      <x:c r="A391" s="7" t="n">
        <x:v>388</x:v>
      </x:c>
      <x:c r="B391" s="8" t="n">
        <x:v>46018</x:v>
      </x:c>
      <x:c r="C391" s="7" t="str">
        <x:v>Corrode</x:v>
      </x:c>
      <x:c r="D391" s="7" t="str">
        <x:v>7th</x:v>
      </x:c>
      <x:c r="E391" s="7" t="str">
        <x:v>Neon</x:v>
      </x:c>
      <x:c r="F391" s="7" t="n">
        <x:v>9</x:v>
      </x:c>
      <x:c r="G391" s="7" t="n">
        <x:v>13</x:v>
      </x:c>
      <x:c r="H391" s="7" t="str">
        <x:f>IF(F391&gt;G391,"Win",IF(F391&lt;G391,"Loss","Draw"))</x:f>
        <x:v>Loss</x:v>
      </x:c>
      <x:c r="I391" s="7" t="n">
        <x:f>IF(H391="Win",1,0)</x:f>
        <x:v>0</x:v>
      </x:c>
      <x:c r="J391" s="7" t="n">
        <x:f>F391-G391</x:f>
        <x:v>-4</x:v>
      </x:c>
      <x:c r="K391" s="7" t="n">
        <x:f>F391+G391</x:f>
        <x:v>22</x:v>
      </x:c>
      <x:c r="L391" s="7" t="n">
        <x:v>15</x:v>
      </x:c>
      <x:c r="M391" s="7" t="n">
        <x:v>16</x:v>
      </x:c>
      <x:c r="N391" s="7" t="n">
        <x:v>1</x:v>
      </x:c>
      <x:c r="O391" s="9" t="n">
        <x:f>IF(M391=0,"n.a.",L391/M391)</x:f>
        <x:v>0.9375</x:v>
      </x:c>
      <x:c r="P391" s="9" t="n">
        <x:f>IF(K391=0,"n.a.",L391/K391)</x:f>
        <x:v>0.6818181818181818</x:v>
      </x:c>
      <x:c r="Q391" s="9" t="n">
        <x:f>IF(K391=0,"n.a.",M391/K391)</x:f>
        <x:v>0.7272727272727273</x:v>
      </x:c>
      <x:c r="R391" s="9" t="n">
        <x:f>IF(K391=0,"n.a.",N391/K391)</x:f>
        <x:v>0.045454545454545456</x:v>
      </x:c>
      <x:c r="S391" s="7" t="n">
        <x:v>-24</x:v>
      </x:c>
      <x:c r="T391" s="10" t="n">
        <x:v>0.16</x:v>
      </x:c>
      <x:c r="U391" s="7" t="n">
        <x:v>183</x:v>
      </x:c>
      <x:c r="V391" s="7" t="n">
        <x:v>307</x:v>
      </x:c>
    </x:row>
    <x:row r="392" ht="16" customHeight="1">
      <x:c r="A392" s="7" t="n">
        <x:v>389</x:v>
      </x:c>
      <x:c r="B392" s="8" t="n">
        <x:v>46018</x:v>
      </x:c>
      <x:c r="C392" s="7" t="str">
        <x:v>Pearl</x:v>
      </x:c>
      <x:c r="D392" s="7" t="str">
        <x:v>2nd</x:v>
      </x:c>
      <x:c r="E392" s="7" t="str">
        <x:v>Neon</x:v>
      </x:c>
      <x:c r="F392" s="7" t="n">
        <x:v>13</x:v>
      </x:c>
      <x:c r="G392" s="7" t="n">
        <x:v>11</x:v>
      </x:c>
      <x:c r="H392" s="7" t="str">
        <x:f>IF(F392&gt;G392,"Win",IF(F392&lt;G392,"Loss","Draw"))</x:f>
        <x:v>Win</x:v>
      </x:c>
      <x:c r="I392" s="7" t="n">
        <x:f>IF(H392="Win",1,0)</x:f>
        <x:v>1</x:v>
      </x:c>
      <x:c r="J392" s="7" t="n">
        <x:f>F392-G392</x:f>
        <x:v>2</x:v>
      </x:c>
      <x:c r="K392" s="7" t="n">
        <x:f>F392+G392</x:f>
        <x:v>24</x:v>
      </x:c>
      <x:c r="L392" s="7" t="n">
        <x:v>23</x:v>
      </x:c>
      <x:c r="M392" s="7" t="n">
        <x:v>16</x:v>
      </x:c>
      <x:c r="N392" s="7" t="n">
        <x:v>2</x:v>
      </x:c>
      <x:c r="O392" s="9" t="n">
        <x:f>IF(M392=0,"n.a.",L392/M392)</x:f>
        <x:v>1.4375</x:v>
      </x:c>
      <x:c r="P392" s="9" t="n">
        <x:f>IF(K392=0,"n.a.",L392/K392)</x:f>
        <x:v>0.9583333333333334</x:v>
      </x:c>
      <x:c r="Q392" s="9" t="n">
        <x:f>IF(K392=0,"n.a.",M392/K392)</x:f>
        <x:v>0.6666666666666666</x:v>
      </x:c>
      <x:c r="R392" s="9" t="n">
        <x:f>IF(K392=0,"n.a.",N392/K392)</x:f>
        <x:v>0.08333333333333333</x:v>
      </x:c>
      <x:c r="S392" s="7" t="n">
        <x:v>46</x:v>
      </x:c>
      <x:c r="T392" s="10" t="n">
        <x:v>0.32</x:v>
      </x:c>
      <x:c r="U392" s="7" t="n">
        <x:v>258</x:v>
      </x:c>
      <x:c r="V392" s="7" t="n">
        <x:v>799</x:v>
      </x:c>
    </x:row>
    <x:row r="393" ht="16" customHeight="1">
      <x:c r="A393" s="7" t="n">
        <x:v>390</x:v>
      </x:c>
      <x:c r="B393" s="8" t="n">
        <x:v>46018</x:v>
      </x:c>
      <x:c r="C393" s="7" t="str">
        <x:v>Haven</x:v>
      </x:c>
      <x:c r="D393" s="7" t="str">
        <x:v>10th</x:v>
      </x:c>
      <x:c r="E393" s="7" t="str">
        <x:v>Neon</x:v>
      </x:c>
      <x:c r="F393" s="7" t="n">
        <x:v>8</x:v>
      </x:c>
      <x:c r="G393" s="7" t="n">
        <x:v>13</x:v>
      </x:c>
      <x:c r="H393" s="7" t="str">
        <x:f>IF(F393&gt;G393,"Win",IF(F393&lt;G393,"Loss","Draw"))</x:f>
        <x:v>Loss</x:v>
      </x:c>
      <x:c r="I393" s="7" t="n">
        <x:f>IF(H393="Win",1,0)</x:f>
        <x:v>0</x:v>
      </x:c>
      <x:c r="J393" s="7" t="n">
        <x:f>F393-G393</x:f>
        <x:v>-5</x:v>
      </x:c>
      <x:c r="K393" s="7" t="n">
        <x:f>F393+G393</x:f>
        <x:v>21</x:v>
      </x:c>
      <x:c r="L393" s="7" t="n">
        <x:v>7</x:v>
      </x:c>
      <x:c r="M393" s="7" t="n">
        <x:v>17</x:v>
      </x:c>
      <x:c r="N393" s="7" t="n">
        <x:v>3</x:v>
      </x:c>
      <x:c r="O393" s="9" t="n">
        <x:f>IF(M393=0,"n.a.",L393/M393)</x:f>
        <x:v>0.4117647058823529</x:v>
      </x:c>
      <x:c r="P393" s="9" t="n">
        <x:f>IF(K393=0,"n.a.",L393/K393)</x:f>
        <x:v>0.3333333333333333</x:v>
      </x:c>
      <x:c r="Q393" s="9" t="n">
        <x:f>IF(K393=0,"n.a.",M393/K393)</x:f>
        <x:v>0.8095238095238095</x:v>
      </x:c>
      <x:c r="R393" s="9" t="n">
        <x:f>IF(K393=0,"n.a.",N393/K393)</x:f>
        <x:v>0.14285714285714285</x:v>
      </x:c>
      <x:c r="S393" s="7" t="n">
        <x:v>-91</x:v>
      </x:c>
      <x:c r="T393" s="10" t="n">
        <x:v>0.17</x:v>
      </x:c>
      <x:c r="U393" s="7" t="n">
        <x:v>108</x:v>
      </x:c>
      <x:c r="V393" s="7" t="n">
        <x:v>100</x:v>
      </x:c>
    </x:row>
    <x:row r="394" ht="16" customHeight="1">
      <x:c r="A394" s="7" t="n">
        <x:v>391</x:v>
      </x:c>
      <x:c r="B394" s="8" t="n">
        <x:v>46018</x:v>
      </x:c>
      <x:c r="C394" s="7" t="str">
        <x:v>Split</x:v>
      </x:c>
      <x:c r="D394" s="7" t="str">
        <x:v>5th</x:v>
      </x:c>
      <x:c r="E394" s="7" t="str">
        <x:v>Neon</x:v>
      </x:c>
      <x:c r="F394" s="7" t="n">
        <x:v>4</x:v>
      </x:c>
      <x:c r="G394" s="7" t="n">
        <x:v>13</x:v>
      </x:c>
      <x:c r="H394" s="7" t="str">
        <x:f>IF(F394&gt;G394,"Win",IF(F394&lt;G394,"Loss","Draw"))</x:f>
        <x:v>Loss</x:v>
      </x:c>
      <x:c r="I394" s="7" t="n">
        <x:f>IF(H394="Win",1,0)</x:f>
        <x:v>0</x:v>
      </x:c>
      <x:c r="J394" s="7" t="n">
        <x:f>F394-G394</x:f>
        <x:v>-9</x:v>
      </x:c>
      <x:c r="K394" s="7" t="n">
        <x:f>F394+G394</x:f>
        <x:v>17</x:v>
      </x:c>
      <x:c r="L394" s="7" t="n">
        <x:v>13</x:v>
      </x:c>
      <x:c r="M394" s="7" t="n">
        <x:v>16</x:v>
      </x:c>
      <x:c r="N394" s="7" t="n">
        <x:v>2</x:v>
      </x:c>
      <x:c r="O394" s="9" t="n">
        <x:f>IF(M394=0,"n.a.",L394/M394)</x:f>
        <x:v>0.8125</x:v>
      </x:c>
      <x:c r="P394" s="9" t="n">
        <x:f>IF(K394=0,"n.a.",L394/K394)</x:f>
        <x:v>0.7647058823529411</x:v>
      </x:c>
      <x:c r="Q394" s="9" t="n">
        <x:f>IF(K394=0,"n.a.",M394/K394)</x:f>
        <x:v>0.9411764705882353</x:v>
      </x:c>
      <x:c r="R394" s="9" t="n">
        <x:f>IF(K394=0,"n.a.",N394/K394)</x:f>
        <x:v>0.11764705882352941</x:v>
      </x:c>
      <x:c r="S394" s="7" t="n">
        <x:v>-40</x:v>
      </x:c>
      <x:c r="T394" s="10" t="n">
        <x:v>0.39</x:v>
      </x:c>
      <x:c r="U394" s="7" t="n">
        <x:v>218</x:v>
      </x:c>
      <x:c r="V394" s="7" t="n">
        <x:v>349</x:v>
      </x:c>
    </x:row>
    <x:row r="395" ht="16" customHeight="1">
      <x:c r="A395" s="7" t="n">
        <x:v>392</x:v>
      </x:c>
      <x:c r="B395" s="8" t="n">
        <x:v>46018</x:v>
      </x:c>
      <x:c r="C395" s="7" t="str">
        <x:v>Corrode</x:v>
      </x:c>
      <x:c r="D395" s="7" t="str">
        <x:v>7th</x:v>
      </x:c>
      <x:c r="E395" s="7" t="str">
        <x:v>Neon</x:v>
      </x:c>
      <x:c r="F395" s="7" t="n">
        <x:v>7</x:v>
      </x:c>
      <x:c r="G395" s="7" t="n">
        <x:v>13</x:v>
      </x:c>
      <x:c r="H395" s="7" t="str">
        <x:f>IF(F395&gt;G395,"Win",IF(F395&lt;G395,"Loss","Draw"))</x:f>
        <x:v>Loss</x:v>
      </x:c>
      <x:c r="I395" s="7" t="n">
        <x:f>IF(H395="Win",1,0)</x:f>
        <x:v>0</x:v>
      </x:c>
      <x:c r="J395" s="7" t="n">
        <x:f>F395-G395</x:f>
        <x:v>-6</x:v>
      </x:c>
      <x:c r="K395" s="7" t="n">
        <x:f>F395+G395</x:f>
        <x:v>20</x:v>
      </x:c>
      <x:c r="L395" s="7" t="n">
        <x:v>12</x:v>
      </x:c>
      <x:c r="M395" s="7" t="n">
        <x:v>18</x:v>
      </x:c>
      <x:c r="N395" s="7" t="n">
        <x:v>3</x:v>
      </x:c>
      <x:c r="O395" s="9" t="n">
        <x:f>IF(M395=0,"n.a.",L395/M395)</x:f>
        <x:v>0.6666666666666666</x:v>
      </x:c>
      <x:c r="P395" s="9" t="n">
        <x:f>IF(K395=0,"n.a.",L395/K395)</x:f>
        <x:v>0.6</x:v>
      </x:c>
      <x:c r="Q395" s="9" t="n">
        <x:f>IF(K395=0,"n.a.",M395/K395)</x:f>
        <x:v>0.9</x:v>
      </x:c>
      <x:c r="R395" s="9" t="n">
        <x:f>IF(K395=0,"n.a.",N395/K395)</x:f>
        <x:v>0.15</x:v>
      </x:c>
      <x:c r="S395" s="7" t="n">
        <x:v>-43</x:v>
      </x:c>
      <x:c r="T395" s="10" t="n">
        <x:v>0.25</x:v>
      </x:c>
      <x:c r="U395" s="7" t="n">
        <x:v>191</x:v>
      </x:c>
      <x:c r="V395" s="7" t="n">
        <x:v>266</x:v>
      </x:c>
    </x:row>
    <x:row r="396" ht="16" customHeight="1">
      <x:c r="A396" s="7" t="n">
        <x:v>393</x:v>
      </x:c>
      <x:c r="B396" s="8" t="n">
        <x:v>46018</x:v>
      </x:c>
      <x:c r="C396" s="7" t="str">
        <x:v>Abyss</x:v>
      </x:c>
      <x:c r="D396" s="7" t="str">
        <x:v>5th</x:v>
      </x:c>
      <x:c r="E396" s="7" t="str">
        <x:v>Neon</x:v>
      </x:c>
      <x:c r="F396" s="7" t="n">
        <x:v>13</x:v>
      </x:c>
      <x:c r="G396" s="7" t="n">
        <x:v>11</x:v>
      </x:c>
      <x:c r="H396" s="7" t="str">
        <x:f>IF(F396&gt;G396,"Win",IF(F396&lt;G396,"Loss","Draw"))</x:f>
        <x:v>Win</x:v>
      </x:c>
      <x:c r="I396" s="7" t="n">
        <x:f>IF(H396="Win",1,0)</x:f>
        <x:v>1</x:v>
      </x:c>
      <x:c r="J396" s="7" t="n">
        <x:f>F396-G396</x:f>
        <x:v>2</x:v>
      </x:c>
      <x:c r="K396" s="7" t="n">
        <x:f>F396+G396</x:f>
        <x:v>24</x:v>
      </x:c>
      <x:c r="L396" s="7" t="n">
        <x:v>20</x:v>
      </x:c>
      <x:c r="M396" s="7" t="n">
        <x:v>18</x:v>
      </x:c>
      <x:c r="N396" s="7" t="n">
        <x:v>2</x:v>
      </x:c>
      <x:c r="O396" s="9" t="n">
        <x:f>IF(M396=0,"n.a.",L396/M396)</x:f>
        <x:v>1.1111111111111112</x:v>
      </x:c>
      <x:c r="P396" s="9" t="n">
        <x:f>IF(K396=0,"n.a.",L396/K396)</x:f>
        <x:v>0.8333333333333334</x:v>
      </x:c>
      <x:c r="Q396" s="9" t="n">
        <x:f>IF(K396=0,"n.a.",M396/K396)</x:f>
        <x:v>0.75</x:v>
      </x:c>
      <x:c r="R396" s="9" t="n">
        <x:f>IF(K396=0,"n.a.",N396/K396)</x:f>
        <x:v>0.08333333333333333</x:v>
      </x:c>
      <x:c r="S396" s="7" t="n">
        <x:v>-1</x:v>
      </x:c>
      <x:c r="T396" s="10" t="n">
        <x:v>0.16</x:v>
      </x:c>
      <x:c r="U396" s="7" t="n">
        <x:v>241</x:v>
      </x:c>
      <x:c r="V396" s="7" t="n">
        <x:v>580</x:v>
      </x:c>
    </x:row>
    <x:row r="397" ht="16" customHeight="1">
      <x:c r="A397" s="7" t="n">
        <x:v>394</x:v>
      </x:c>
      <x:c r="B397" s="8" t="n">
        <x:v>46018</x:v>
      </x:c>
      <x:c r="C397" s="7" t="str">
        <x:v>Bind</x:v>
      </x:c>
      <x:c r="D397" s="7" t="str">
        <x:v>8th</x:v>
      </x:c>
      <x:c r="E397" s="7" t="str">
        <x:v>Neon</x:v>
      </x:c>
      <x:c r="F397" s="7" t="n">
        <x:v>13</x:v>
      </x:c>
      <x:c r="G397" s="7" t="n">
        <x:v>9</x:v>
      </x:c>
      <x:c r="H397" s="7" t="str">
        <x:f>IF(F397&gt;G397,"Win",IF(F397&lt;G397,"Loss","Draw"))</x:f>
        <x:v>Win</x:v>
      </x:c>
      <x:c r="I397" s="7" t="n">
        <x:f>IF(H397="Win",1,0)</x:f>
        <x:v>1</x:v>
      </x:c>
      <x:c r="J397" s="7" t="n">
        <x:f>F397-G397</x:f>
        <x:v>4</x:v>
      </x:c>
      <x:c r="K397" s="7" t="n">
        <x:f>F397+G397</x:f>
        <x:v>22</x:v>
      </x:c>
      <x:c r="L397" s="7" t="n">
        <x:v>14</x:v>
      </x:c>
      <x:c r="M397" s="7" t="n">
        <x:v>19</x:v>
      </x:c>
      <x:c r="N397" s="7" t="n">
        <x:v>1</x:v>
      </x:c>
      <x:c r="O397" s="9" t="n">
        <x:f>IF(M397=0,"n.a.",L397/M397)</x:f>
        <x:v>0.7368421052631579</x:v>
      </x:c>
      <x:c r="P397" s="9" t="n">
        <x:f>IF(K397=0,"n.a.",L397/K397)</x:f>
        <x:v>0.6363636363636364</x:v>
      </x:c>
      <x:c r="Q397" s="9" t="n">
        <x:f>IF(K397=0,"n.a.",M397/K397)</x:f>
        <x:v>0.8636363636363636</x:v>
      </x:c>
      <x:c r="R397" s="9" t="n">
        <x:f>IF(K397=0,"n.a.",N397/K397)</x:f>
        <x:v>0.045454545454545456</x:v>
      </x:c>
      <x:c r="S397" s="7" t="n">
        <x:v>-55</x:v>
      </x:c>
      <x:c r="T397" s="10" t="n">
        <x:v>0.21</x:v>
      </x:c>
      <x:c r="U397" s="7" t="n">
        <x:v>173</x:v>
      </x:c>
      <x:c r="V397" s="7" t="n">
        <x:v>345</x:v>
      </x:c>
    </x:row>
    <x:row r="398" ht="16" customHeight="1">
      <x:c r="A398" s="7" t="n">
        <x:v>395</x:v>
      </x:c>
      <x:c r="B398" s="8" t="n">
        <x:v>46018</x:v>
      </x:c>
      <x:c r="C398" s="7" t="str">
        <x:v>Abyss</x:v>
      </x:c>
      <x:c r="D398" s="7" t="str">
        <x:v>5th</x:v>
      </x:c>
      <x:c r="E398" s="7" t="str">
        <x:v>Neon</x:v>
      </x:c>
      <x:c r="F398" s="7" t="n">
        <x:v>8</x:v>
      </x:c>
      <x:c r="G398" s="7" t="n">
        <x:v>13</x:v>
      </x:c>
      <x:c r="H398" s="7" t="str">
        <x:f>IF(F398&gt;G398,"Win",IF(F398&lt;G398,"Loss","Draw"))</x:f>
        <x:v>Loss</x:v>
      </x:c>
      <x:c r="I398" s="7" t="n">
        <x:f>IF(H398="Win",1,0)</x:f>
        <x:v>0</x:v>
      </x:c>
      <x:c r="J398" s="7" t="n">
        <x:f>F398-G398</x:f>
        <x:v>-5</x:v>
      </x:c>
      <x:c r="K398" s="7" t="n">
        <x:f>F398+G398</x:f>
        <x:v>21</x:v>
      </x:c>
      <x:c r="L398" s="7" t="n">
        <x:v>15</x:v>
      </x:c>
      <x:c r="M398" s="7" t="n">
        <x:v>18</x:v>
      </x:c>
      <x:c r="N398" s="7" t="n">
        <x:v>3</x:v>
      </x:c>
      <x:c r="O398" s="9" t="n">
        <x:f>IF(M398=0,"n.a.",L398/M398)</x:f>
        <x:v>0.8333333333333334</x:v>
      </x:c>
      <x:c r="P398" s="9" t="n">
        <x:f>IF(K398=0,"n.a.",L398/K398)</x:f>
        <x:v>0.7142857142857143</x:v>
      </x:c>
      <x:c r="Q398" s="9" t="n">
        <x:f>IF(K398=0,"n.a.",M398/K398)</x:f>
        <x:v>0.8571428571428571</x:v>
      </x:c>
      <x:c r="R398" s="9" t="n">
        <x:f>IF(K398=0,"n.a.",N398/K398)</x:f>
        <x:v>0.14285714285714285</x:v>
      </x:c>
      <x:c r="S398" s="7" t="n">
        <x:v>-12</x:v>
      </x:c>
      <x:c r="T398" s="10" t="n">
        <x:v>0.22</x:v>
      </x:c>
      <x:c r="U398" s="7" t="n">
        <x:v>212</x:v>
      </x:c>
      <x:c r="V398" s="7" t="n">
        <x:v>406</x:v>
      </x:c>
    </x:row>
    <x:row r="399" ht="16" customHeight="1">
      <x:c r="A399" s="7" t="n">
        <x:v>396</x:v>
      </x:c>
      <x:c r="B399" s="8" t="n">
        <x:v>46018</x:v>
      </x:c>
      <x:c r="C399" s="7" t="str">
        <x:v>Corrode</x:v>
      </x:c>
      <x:c r="D399" s="7" t="str">
        <x:v>2nd</x:v>
      </x:c>
      <x:c r="E399" s="7" t="str">
        <x:v>Neon</x:v>
      </x:c>
      <x:c r="F399" s="7" t="n">
        <x:v>8</x:v>
      </x:c>
      <x:c r="G399" s="7" t="n">
        <x:v>13</x:v>
      </x:c>
      <x:c r="H399" s="7" t="str">
        <x:f>IF(F399&gt;G399,"Win",IF(F399&lt;G399,"Loss","Draw"))</x:f>
        <x:v>Loss</x:v>
      </x:c>
      <x:c r="I399" s="7" t="n">
        <x:f>IF(H399="Win",1,0)</x:f>
        <x:v>0</x:v>
      </x:c>
      <x:c r="J399" s="7" t="n">
        <x:f>F399-G399</x:f>
        <x:v>-5</x:v>
      </x:c>
      <x:c r="K399" s="7" t="n">
        <x:f>F399+G399</x:f>
        <x:v>21</x:v>
      </x:c>
      <x:c r="L399" s="7" t="n">
        <x:v>23</x:v>
      </x:c>
      <x:c r="M399" s="7" t="n">
        <x:v>17</x:v>
      </x:c>
      <x:c r="N399" s="7" t="n">
        <x:v>1</x:v>
      </x:c>
      <x:c r="O399" s="9" t="n">
        <x:f>IF(M399=0,"n.a.",L399/M399)</x:f>
        <x:v>1.3529411764705883</x:v>
      </x:c>
      <x:c r="P399" s="9" t="n">
        <x:f>IF(K399=0,"n.a.",L399/K399)</x:f>
        <x:v>1.0952380952380953</x:v>
      </x:c>
      <x:c r="Q399" s="9" t="n">
        <x:f>IF(K399=0,"n.a.",M399/K399)</x:f>
        <x:v>0.8095238095238095</x:v>
      </x:c>
      <x:c r="R399" s="9" t="n">
        <x:f>IF(K399=0,"n.a.",N399/K399)</x:f>
        <x:v>0.047619047619047616</x:v>
      </x:c>
      <x:c r="S399" s="7" t="n">
        <x:v>32</x:v>
      </x:c>
      <x:c r="T399" s="10" t="n">
        <x:v>0.23</x:v>
      </x:c>
      <x:c r="U399" s="7" t="n">
        <x:v>309</x:v>
      </x:c>
      <x:c r="V399" s="7" t="n">
        <x:v>603</x:v>
      </x:c>
    </x:row>
    <x:row r="400" ht="16" customHeight="1">
      <x:c r="A400" s="7" t="n">
        <x:v>397</x:v>
      </x:c>
      <x:c r="B400" s="8" t="n">
        <x:v>46018</x:v>
      </x:c>
      <x:c r="C400" s="7" t="str">
        <x:v>Split</x:v>
      </x:c>
      <x:c r="D400" s="7" t="str">
        <x:v>2nd</x:v>
      </x:c>
      <x:c r="E400" s="7" t="str">
        <x:v>Neon</x:v>
      </x:c>
      <x:c r="F400" s="7" t="n">
        <x:v>13</x:v>
      </x:c>
      <x:c r="G400" s="7" t="n">
        <x:v>5</x:v>
      </x:c>
      <x:c r="H400" s="7" t="str">
        <x:f>IF(F400&gt;G400,"Win",IF(F400&lt;G400,"Loss","Draw"))</x:f>
        <x:v>Win</x:v>
      </x:c>
      <x:c r="I400" s="7" t="n">
        <x:f>IF(H400="Win",1,0)</x:f>
        <x:v>1</x:v>
      </x:c>
      <x:c r="J400" s="7" t="n">
        <x:f>F400-G400</x:f>
        <x:v>8</x:v>
      </x:c>
      <x:c r="K400" s="7" t="n">
        <x:f>F400+G400</x:f>
        <x:v>18</x:v>
      </x:c>
      <x:c r="L400" s="7" t="n">
        <x:v>20</x:v>
      </x:c>
      <x:c r="M400" s="7" t="n">
        <x:v>13</x:v>
      </x:c>
      <x:c r="N400" s="7" t="n">
        <x:v>2</x:v>
      </x:c>
      <x:c r="O400" s="9" t="n">
        <x:f>IF(M400=0,"n.a.",L400/M400)</x:f>
        <x:v>1.5384615384615385</x:v>
      </x:c>
      <x:c r="P400" s="9" t="n">
        <x:f>IF(K400=0,"n.a.",L400/K400)</x:f>
        <x:v>1.1111111111111112</x:v>
      </x:c>
      <x:c r="Q400" s="9" t="n">
        <x:f>IF(K400=0,"n.a.",M400/K400)</x:f>
        <x:v>0.7222222222222222</x:v>
      </x:c>
      <x:c r="R400" s="9" t="n">
        <x:f>IF(K400=0,"n.a.",N400/K400)</x:f>
        <x:v>0.1111111111111111</x:v>
      </x:c>
      <x:c r="S400" s="7" t="n">
        <x:v>56</x:v>
      </x:c>
      <x:c r="T400" s="10" t="n">
        <x:v>0.25</x:v>
      </x:c>
      <x:c r="U400" s="7" t="n">
        <x:v>297</x:v>
      </x:c>
      <x:c r="V400" s="7" t="n">
        <x:v>814</x:v>
      </x:c>
    </x:row>
    <x:row r="401" ht="16" customHeight="1">
      <x:c r="A401" s="7" t="n">
        <x:v>398</x:v>
      </x:c>
      <x:c r="B401" s="8" t="n">
        <x:v>46019</x:v>
      </x:c>
      <x:c r="C401" s="7" t="str">
        <x:v>Sunset</x:v>
      </x:c>
      <x:c r="D401" s="7" t="str">
        <x:v>5th</x:v>
      </x:c>
      <x:c r="E401" s="7" t="str">
        <x:v>Breach</x:v>
      </x:c>
      <x:c r="F401" s="7" t="n">
        <x:v>6</x:v>
      </x:c>
      <x:c r="G401" s="7" t="n">
        <x:v>13</x:v>
      </x:c>
      <x:c r="H401" s="7" t="str">
        <x:f>IF(F401&gt;G401,"Win",IF(F401&lt;G401,"Loss","Draw"))</x:f>
        <x:v>Loss</x:v>
      </x:c>
      <x:c r="I401" s="7" t="n">
        <x:f>IF(H401="Win",1,0)</x:f>
        <x:v>0</x:v>
      </x:c>
      <x:c r="J401" s="7" t="n">
        <x:f>F401-G401</x:f>
        <x:v>-7</x:v>
      </x:c>
      <x:c r="K401" s="7" t="n">
        <x:f>F401+G401</x:f>
        <x:v>19</x:v>
      </x:c>
      <x:c r="L401" s="7" t="n">
        <x:v>11</x:v>
      </x:c>
      <x:c r="M401" s="7" t="n">
        <x:v>15</x:v>
      </x:c>
      <x:c r="N401" s="7" t="n">
        <x:v>4</x:v>
      </x:c>
      <x:c r="O401" s="9" t="n">
        <x:f>IF(M401=0,"n.a.",L401/M401)</x:f>
        <x:v>0.7333333333333333</x:v>
      </x:c>
      <x:c r="P401" s="9" t="n">
        <x:f>IF(K401=0,"n.a.",L401/K401)</x:f>
        <x:v>0.5789473684210527</x:v>
      </x:c>
      <x:c r="Q401" s="9" t="n">
        <x:f>IF(K401=0,"n.a.",M401/K401)</x:f>
        <x:v>0.7894736842105263</x:v>
      </x:c>
      <x:c r="R401" s="9" t="n">
        <x:f>IF(K401=0,"n.a.",N401/K401)</x:f>
        <x:v>0.21052631578947367</x:v>
      </x:c>
      <x:c r="S401" s="7" t="n">
        <x:v>-16</x:v>
      </x:c>
      <x:c r="T401" s="10" t="n">
        <x:v>0.29</x:v>
      </x:c>
      <x:c r="U401" s="7" t="n">
        <x:v>186</x:v>
      </x:c>
      <x:c r="V401" s="7" t="n">
        <x:v>287</x:v>
      </x:c>
    </x:row>
    <x:row r="402" ht="16" customHeight="1">
      <x:c r="A402" s="7" t="n">
        <x:v>399</x:v>
      </x:c>
      <x:c r="B402" s="8" t="n">
        <x:v>46019</x:v>
      </x:c>
      <x:c r="C402" s="7" t="str">
        <x:v>Pearl</x:v>
      </x:c>
      <x:c r="D402" s="7" t="str">
        <x:v>10th</x:v>
      </x:c>
      <x:c r="E402" s="7" t="str">
        <x:v>Clove</x:v>
      </x:c>
      <x:c r="F402" s="7" t="n">
        <x:v>9</x:v>
      </x:c>
      <x:c r="G402" s="7" t="n">
        <x:v>13</x:v>
      </x:c>
      <x:c r="H402" s="7" t="str">
        <x:f>IF(F402&gt;G402,"Win",IF(F402&lt;G402,"Loss","Draw"))</x:f>
        <x:v>Loss</x:v>
      </x:c>
      <x:c r="I402" s="7" t="n">
        <x:f>IF(H402="Win",1,0)</x:f>
        <x:v>0</x:v>
      </x:c>
      <x:c r="J402" s="7" t="n">
        <x:f>F402-G402</x:f>
        <x:v>-4</x:v>
      </x:c>
      <x:c r="K402" s="7" t="n">
        <x:f>F402+G402</x:f>
        <x:v>22</x:v>
      </x:c>
      <x:c r="L402" s="7" t="n">
        <x:v>8</x:v>
      </x:c>
      <x:c r="M402" s="7" t="n">
        <x:v>19</x:v>
      </x:c>
      <x:c r="N402" s="7" t="n">
        <x:v>3</x:v>
      </x:c>
      <x:c r="O402" s="9" t="n">
        <x:f>IF(M402=0,"n.a.",L402/M402)</x:f>
        <x:v>0.42105263157894735</x:v>
      </x:c>
      <x:c r="P402" s="9" t="n">
        <x:f>IF(K402=0,"n.a.",L402/K402)</x:f>
        <x:v>0.36363636363636365</x:v>
      </x:c>
      <x:c r="Q402" s="9" t="n">
        <x:f>IF(K402=0,"n.a.",M402/K402)</x:f>
        <x:v>0.8636363636363636</x:v>
      </x:c>
      <x:c r="R402" s="9" t="n">
        <x:f>IF(K402=0,"n.a.",N402/K402)</x:f>
        <x:v>0.13636363636363635</x:v>
      </x:c>
      <x:c r="S402" s="7" t="n">
        <x:v>-88</x:v>
      </x:c>
      <x:c r="T402" s="10" t="n">
        <x:v>0.19</x:v>
      </x:c>
      <x:c r="U402" s="7" t="n">
        <x:v>97</x:v>
      </x:c>
      <x:c r="V402" s="7" t="n">
        <x:v>107</x:v>
      </x:c>
    </x:row>
    <x:row r="403" ht="16" customHeight="1">
      <x:c r="A403" s="7" t="n">
        <x:v>400</x:v>
      </x:c>
      <x:c r="B403" s="8" t="n">
        <x:v>46019</x:v>
      </x:c>
      <x:c r="C403" s="7" t="str">
        <x:v>Haven</x:v>
      </x:c>
      <x:c r="D403" s="7" t="str">
        <x:v>4th</x:v>
      </x:c>
      <x:c r="E403" s="7" t="str">
        <x:v>Jett</x:v>
      </x:c>
      <x:c r="F403" s="7" t="n">
        <x:v>9</x:v>
      </x:c>
      <x:c r="G403" s="7" t="n">
        <x:v>13</x:v>
      </x:c>
      <x:c r="H403" s="7" t="str">
        <x:f>IF(F403&gt;G403,"Win",IF(F403&lt;G403,"Loss","Draw"))</x:f>
        <x:v>Loss</x:v>
      </x:c>
      <x:c r="I403" s="7" t="n">
        <x:f>IF(H403="Win",1,0)</x:f>
        <x:v>0</x:v>
      </x:c>
      <x:c r="J403" s="7" t="n">
        <x:f>F403-G403</x:f>
        <x:v>-4</x:v>
      </x:c>
      <x:c r="K403" s="7" t="n">
        <x:f>F403+G403</x:f>
        <x:v>22</x:v>
      </x:c>
      <x:c r="L403" s="7" t="n">
        <x:v>20</x:v>
      </x:c>
      <x:c r="M403" s="7" t="n">
        <x:v>19</x:v>
      </x:c>
      <x:c r="N403" s="7" t="n">
        <x:v>2</x:v>
      </x:c>
      <x:c r="O403" s="9" t="n">
        <x:f>IF(M403=0,"n.a.",L403/M403)</x:f>
        <x:v>1.0526315789473684</x:v>
      </x:c>
      <x:c r="P403" s="9" t="n">
        <x:f>IF(K403=0,"n.a.",L403/K403)</x:f>
        <x:v>0.9090909090909091</x:v>
      </x:c>
      <x:c r="Q403" s="9" t="n">
        <x:f>IF(K403=0,"n.a.",M403/K403)</x:f>
        <x:v>0.8636363636363636</x:v>
      </x:c>
      <x:c r="R403" s="9" t="n">
        <x:f>IF(K403=0,"n.a.",N403/K403)</x:f>
        <x:v>0.09090909090909091</x:v>
      </x:c>
      <x:c r="S403" s="7" t="n">
        <x:v>8</x:v>
      </x:c>
      <x:c r="T403" s="10" t="n">
        <x:v>0.31</x:v>
      </x:c>
      <x:c r="U403" s="7" t="n">
        <x:v>258</x:v>
      </x:c>
      <x:c r="V403" s="7" t="n">
        <x:v>576</x:v>
      </x:c>
    </x:row>
    <x:row r="404" ht="16" customHeight="1">
      <x:c r="A404" s="7" t="n">
        <x:v>401</x:v>
      </x:c>
      <x:c r="B404" s="8" t="n">
        <x:v>46019</x:v>
      </x:c>
      <x:c r="C404" s="7" t="str">
        <x:v>Corrode</x:v>
      </x:c>
      <x:c r="D404" s="7" t="str">
        <x:v>MVP</x:v>
      </x:c>
      <x:c r="E404" s="7" t="str">
        <x:v>Clove</x:v>
      </x:c>
      <x:c r="F404" s="7" t="n">
        <x:v>13</x:v>
      </x:c>
      <x:c r="G404" s="7" t="n">
        <x:v>11</x:v>
      </x:c>
      <x:c r="H404" s="7" t="str">
        <x:f>IF(F404&gt;G404,"Win",IF(F404&lt;G404,"Loss","Draw"))</x:f>
        <x:v>Win</x:v>
      </x:c>
      <x:c r="I404" s="7" t="n">
        <x:f>IF(H404="Win",1,0)</x:f>
        <x:v>1</x:v>
      </x:c>
      <x:c r="J404" s="7" t="n">
        <x:f>F404-G404</x:f>
        <x:v>2</x:v>
      </x:c>
      <x:c r="K404" s="7" t="n">
        <x:f>F404+G404</x:f>
        <x:v>24</x:v>
      </x:c>
      <x:c r="L404" s="7" t="n">
        <x:v>32</x:v>
      </x:c>
      <x:c r="M404" s="7" t="n">
        <x:v>23</x:v>
      </x:c>
      <x:c r="N404" s="7" t="n">
        <x:v>10</x:v>
      </x:c>
      <x:c r="O404" s="9" t="n">
        <x:f>IF(M404=0,"n.a.",L404/M404)</x:f>
        <x:v>1.391304347826087</x:v>
      </x:c>
      <x:c r="P404" s="9" t="n">
        <x:f>IF(K404=0,"n.a.",L404/K404)</x:f>
        <x:v>1.3333333333333333</x:v>
      </x:c>
      <x:c r="Q404" s="9" t="n">
        <x:f>IF(K404=0,"n.a.",M404/K404)</x:f>
        <x:v>0.9583333333333334</x:v>
      </x:c>
      <x:c r="R404" s="9" t="n">
        <x:f>IF(K404=0,"n.a.",N404/K404)</x:f>
        <x:v>0.4166666666666667</x:v>
      </x:c>
      <x:c r="S404" s="7" t="n">
        <x:v>50</x:v>
      </x:c>
      <x:c r="T404" s="10" t="n">
        <x:v>0.27</x:v>
      </x:c>
      <x:c r="U404" s="7" t="n">
        <x:v>372</x:v>
      </x:c>
      <x:c r="V404" s="7" t="n">
        <x:v>926</x:v>
      </x:c>
    </x:row>
    <x:row r="405" ht="16" customHeight="1">
      <x:c r="A405" s="7" t="n">
        <x:v>402</x:v>
      </x:c>
      <x:c r="B405" s="8" t="n">
        <x:v>46019</x:v>
      </x:c>
      <x:c r="C405" s="7" t="str">
        <x:v>Pearl</x:v>
      </x:c>
      <x:c r="D405" s="7" t="str">
        <x:v>4th</x:v>
      </x:c>
      <x:c r="E405" s="7" t="str">
        <x:v>Clove</x:v>
      </x:c>
      <x:c r="F405" s="7" t="n">
        <x:v>3</x:v>
      </x:c>
      <x:c r="G405" s="7" t="n">
        <x:v>13</x:v>
      </x:c>
      <x:c r="H405" s="7" t="str">
        <x:f>IF(F405&gt;G405,"Win",IF(F405&lt;G405,"Loss","Draw"))</x:f>
        <x:v>Loss</x:v>
      </x:c>
      <x:c r="I405" s="7" t="n">
        <x:f>IF(H405="Win",1,0)</x:f>
        <x:v>0</x:v>
      </x:c>
      <x:c r="J405" s="7" t="n">
        <x:f>F405-G405</x:f>
        <x:v>-10</x:v>
      </x:c>
      <x:c r="K405" s="7" t="n">
        <x:f>F405+G405</x:f>
        <x:v>16</x:v>
      </x:c>
      <x:c r="L405" s="7" t="n">
        <x:v>11</x:v>
      </x:c>
      <x:c r="M405" s="7" t="n">
        <x:v>18</x:v>
      </x:c>
      <x:c r="N405" s="7" t="n">
        <x:v>4</x:v>
      </x:c>
      <x:c r="O405" s="9" t="n">
        <x:f>IF(M405=0,"n.a.",L405/M405)</x:f>
        <x:v>0.6111111111111112</x:v>
      </x:c>
      <x:c r="P405" s="9" t="n">
        <x:f>IF(K405=0,"n.a.",L405/K405)</x:f>
        <x:v>0.6875</x:v>
      </x:c>
      <x:c r="Q405" s="9" t="n">
        <x:f>IF(K405=0,"n.a.",M405/K405)</x:f>
        <x:v>1.125</x:v>
      </x:c>
      <x:c r="R405" s="9" t="n">
        <x:f>IF(K405=0,"n.a.",N405/K405)</x:f>
        <x:v>0.25</x:v>
      </x:c>
      <x:c r="S405" s="7" t="n">
        <x:v>-26</x:v>
      </x:c>
      <x:c r="T405" s="10" t="n">
        <x:v>0.3</x:v>
      </x:c>
      <x:c r="U405" s="7" t="n">
        <x:v>239</x:v>
      </x:c>
      <x:c r="V405" s="7" t="n">
        <x:v>381</x:v>
      </x:c>
    </x:row>
    <x:row r="406" ht="16" customHeight="1">
      <x:c r="A406" s="7" t="n">
        <x:v>403</x:v>
      </x:c>
      <x:c r="B406" s="8" t="n">
        <x:v>46019</x:v>
      </x:c>
      <x:c r="C406" s="7" t="str">
        <x:v>Split</x:v>
      </x:c>
      <x:c r="D406" s="7" t="str">
        <x:v>3rd</x:v>
      </x:c>
      <x:c r="E406" s="7" t="str">
        <x:v>Jett</x:v>
      </x:c>
      <x:c r="F406" s="7" t="n">
        <x:v>13</x:v>
      </x:c>
      <x:c r="G406" s="7" t="n">
        <x:v>7</x:v>
      </x:c>
      <x:c r="H406" s="7" t="str">
        <x:f>IF(F406&gt;G406,"Win",IF(F406&lt;G406,"Loss","Draw"))</x:f>
        <x:v>Win</x:v>
      </x:c>
      <x:c r="I406" s="7" t="n">
        <x:f>IF(H406="Win",1,0)</x:f>
        <x:v>1</x:v>
      </x:c>
      <x:c r="J406" s="7" t="n">
        <x:f>F406-G406</x:f>
        <x:v>6</x:v>
      </x:c>
      <x:c r="K406" s="7" t="n">
        <x:f>F406+G406</x:f>
        <x:v>20</x:v>
      </x:c>
      <x:c r="L406" s="7" t="n">
        <x:v>17</x:v>
      </x:c>
      <x:c r="M406" s="7" t="n">
        <x:v>14</x:v>
      </x:c>
      <x:c r="N406" s="7" t="n">
        <x:v>7</x:v>
      </x:c>
      <x:c r="O406" s="9" t="n">
        <x:f>IF(M406=0,"n.a.",L406/M406)</x:f>
        <x:v>1.2142857142857142</x:v>
      </x:c>
      <x:c r="P406" s="9" t="n">
        <x:f>IF(K406=0,"n.a.",L406/K406)</x:f>
        <x:v>0.85</x:v>
      </x:c>
      <x:c r="Q406" s="9" t="n">
        <x:f>IF(K406=0,"n.a.",M406/K406)</x:f>
        <x:v>0.7</x:v>
      </x:c>
      <x:c r="R406" s="9" t="n">
        <x:f>IF(K406=0,"n.a.",N406/K406)</x:f>
        <x:v>0.35</x:v>
      </x:c>
      <x:c r="S406" s="7" t="n">
        <x:v>50</x:v>
      </x:c>
      <x:c r="T406" s="10" t="n">
        <x:v>0.33</x:v>
      </x:c>
      <x:c r="U406" s="7" t="n">
        <x:v>276</x:v>
      </x:c>
      <x:c r="V406" s="7" t="n">
        <x:v>896</x:v>
      </x:c>
    </x:row>
    <x:row r="407" ht="16" customHeight="1">
      <x:c r="A407" s="7" t="n">
        <x:v>404</x:v>
      </x:c>
      <x:c r="B407" s="8" t="n">
        <x:v>46019</x:v>
      </x:c>
      <x:c r="C407" s="7" t="str">
        <x:v>Abyss</x:v>
      </x:c>
      <x:c r="D407" s="7" t="str">
        <x:v>5th</x:v>
      </x:c>
      <x:c r="E407" s="7" t="str">
        <x:v>Chamber</x:v>
      </x:c>
      <x:c r="F407" s="7" t="n">
        <x:v>9</x:v>
      </x:c>
      <x:c r="G407" s="7" t="n">
        <x:v>13</x:v>
      </x:c>
      <x:c r="H407" s="7" t="str">
        <x:f>IF(F407&gt;G407,"Win",IF(F407&lt;G407,"Loss","Draw"))</x:f>
        <x:v>Loss</x:v>
      </x:c>
      <x:c r="I407" s="7" t="n">
        <x:f>IF(H407="Win",1,0)</x:f>
        <x:v>0</x:v>
      </x:c>
      <x:c r="J407" s="7" t="n">
        <x:f>F407-G407</x:f>
        <x:v>-4</x:v>
      </x:c>
      <x:c r="K407" s="7" t="n">
        <x:f>F407+G407</x:f>
        <x:v>22</x:v>
      </x:c>
      <x:c r="L407" s="7" t="n">
        <x:v>15</x:v>
      </x:c>
      <x:c r="M407" s="7" t="n">
        <x:v>19</x:v>
      </x:c>
      <x:c r="N407" s="7" t="n">
        <x:v>5</x:v>
      </x:c>
      <x:c r="O407" s="9" t="n">
        <x:f>IF(M407=0,"n.a.",L407/M407)</x:f>
        <x:v>0.7894736842105263</x:v>
      </x:c>
      <x:c r="P407" s="9" t="n">
        <x:f>IF(K407=0,"n.a.",L407/K407)</x:f>
        <x:v>0.6818181818181818</x:v>
      </x:c>
      <x:c r="Q407" s="9" t="n">
        <x:f>IF(K407=0,"n.a.",M407/K407)</x:f>
        <x:v>0.8636363636363636</x:v>
      </x:c>
      <x:c r="R407" s="9" t="n">
        <x:f>IF(K407=0,"n.a.",N407/K407)</x:f>
        <x:v>0.22727272727272727</x:v>
      </x:c>
      <x:c r="S407" s="7" t="n">
        <x:v>-13</x:v>
      </x:c>
      <x:c r="T407" s="10" t="n">
        <x:v>0.18</x:v>
      </x:c>
      <x:c r="U407" s="7" t="n">
        <x:v>218</x:v>
      </x:c>
      <x:c r="V407" s="7" t="n">
        <x:v>477</x:v>
      </x:c>
    </x:row>
    <x:row r="408" ht="16" customHeight="1">
      <x:c r="A408" s="7" t="n">
        <x:v>405</x:v>
      </x:c>
      <x:c r="B408" s="8" t="n">
        <x:v>46019</x:v>
      </x:c>
      <x:c r="C408" s="7" t="str">
        <x:v>Abyss</x:v>
      </x:c>
      <x:c r="D408" s="7" t="str">
        <x:v>5th</x:v>
      </x:c>
      <x:c r="E408" s="7" t="str">
        <x:v>Omen</x:v>
      </x:c>
      <x:c r="F408" s="7" t="n">
        <x:v>7</x:v>
      </x:c>
      <x:c r="G408" s="7" t="n">
        <x:v>13</x:v>
      </x:c>
      <x:c r="H408" s="7" t="str">
        <x:f>IF(F408&gt;G408,"Win",IF(F408&lt;G408,"Loss","Draw"))</x:f>
        <x:v>Loss</x:v>
      </x:c>
      <x:c r="I408" s="7" t="n">
        <x:f>IF(H408="Win",1,0)</x:f>
        <x:v>0</x:v>
      </x:c>
      <x:c r="J408" s="7" t="n">
        <x:f>F408-G408</x:f>
        <x:v>-6</x:v>
      </x:c>
      <x:c r="K408" s="7" t="n">
        <x:f>F408+G408</x:f>
        <x:v>20</x:v>
      </x:c>
      <x:c r="L408" s="7" t="n">
        <x:v>15</x:v>
      </x:c>
      <x:c r="M408" s="7" t="n">
        <x:v>17</x:v>
      </x:c>
      <x:c r="N408" s="7" t="n">
        <x:v>3</x:v>
      </x:c>
      <x:c r="O408" s="9" t="n">
        <x:f>IF(M408=0,"n.a.",L408/M408)</x:f>
        <x:v>0.8823529411764706</x:v>
      </x:c>
      <x:c r="P408" s="9" t="n">
        <x:f>IF(K408=0,"n.a.",L408/K408)</x:f>
        <x:v>0.75</x:v>
      </x:c>
      <x:c r="Q408" s="9" t="n">
        <x:f>IF(K408=0,"n.a.",M408/K408)</x:f>
        <x:v>0.85</x:v>
      </x:c>
      <x:c r="R408" s="9" t="n">
        <x:f>IF(K408=0,"n.a.",N408/K408)</x:f>
        <x:v>0.15</x:v>
      </x:c>
      <x:c r="S408" s="7" t="n">
        <x:v>-15</x:v>
      </x:c>
      <x:c r="T408" s="10" t="n">
        <x:v>0.37</x:v>
      </x:c>
      <x:c r="U408" s="7" t="n">
        <x:v>215</x:v>
      </x:c>
      <x:c r="V408" s="7" t="n">
        <x:v>361</x:v>
      </x:c>
    </x:row>
    <x:row r="409" ht="16" customHeight="1">
      <x:c r="A409" s="7" t="n">
        <x:v>406</x:v>
      </x:c>
      <x:c r="B409" s="8" t="n">
        <x:v>46019</x:v>
      </x:c>
      <x:c r="C409" s="7" t="str">
        <x:v>Haven</x:v>
      </x:c>
      <x:c r="D409" s="7" t="str">
        <x:v>9th</x:v>
      </x:c>
      <x:c r="E409" s="7" t="str">
        <x:v>Reyna</x:v>
      </x:c>
      <x:c r="F409" s="7" t="n">
        <x:v>8</x:v>
      </x:c>
      <x:c r="G409" s="7" t="n">
        <x:v>3</x:v>
      </x:c>
      <x:c r="H409" s="7" t="str">
        <x:f>IF(F409&gt;G409,"Win",IF(F409&lt;G409,"Loss","Draw"))</x:f>
        <x:v>Win</x:v>
      </x:c>
      <x:c r="I409" s="7" t="n">
        <x:f>IF(H409="Win",1,0)</x:f>
        <x:v>1</x:v>
      </x:c>
      <x:c r="J409" s="7" t="n">
        <x:f>F409-G409</x:f>
        <x:v>5</x:v>
      </x:c>
      <x:c r="K409" s="7" t="n">
        <x:f>F409+G409</x:f>
        <x:v>11</x:v>
      </x:c>
      <x:c r="L409" s="7" t="n">
        <x:v>5</x:v>
      </x:c>
      <x:c r="M409" s="7" t="n">
        <x:v>9</x:v>
      </x:c>
      <x:c r="N409" s="7" t="n">
        <x:v>1</x:v>
      </x:c>
      <x:c r="O409" s="9" t="n">
        <x:f>IF(M409=0,"n.a.",L409/M409)</x:f>
        <x:v>0.5555555555555556</x:v>
      </x:c>
      <x:c r="P409" s="9" t="n">
        <x:f>IF(K409=0,"n.a.",L409/K409)</x:f>
        <x:v>0.45454545454545453</x:v>
      </x:c>
      <x:c r="Q409" s="9" t="n">
        <x:f>IF(K409=0,"n.a.",M409/K409)</x:f>
        <x:v>0.8181818181818182</x:v>
      </x:c>
      <x:c r="R409" s="9" t="n">
        <x:f>IF(K409=0,"n.a.",N409/K409)</x:f>
        <x:v>0.09090909090909091</x:v>
      </x:c>
      <x:c r="S409" s="7" t="n">
        <x:v>-47</x:v>
      </x:c>
      <x:c r="T409" s="10" t="n">
        <x:v>0.09</x:v>
      </x:c>
      <x:c r="U409" s="7" t="n">
        <x:v>129</x:v>
      </x:c>
      <x:c r="V409" s="7" t="n">
        <x:v>324</x:v>
      </x:c>
    </x:row>
    <x:row r="410" ht="16" customHeight="1">
      <x:c r="A410" s="7" t="n">
        <x:v>407</x:v>
      </x:c>
      <x:c r="B410" s="8" t="n">
        <x:v>46019</x:v>
      </x:c>
      <x:c r="C410" s="7" t="str">
        <x:v>Sunset</x:v>
      </x:c>
      <x:c r="D410" s="7" t="str">
        <x:v>8th</x:v>
      </x:c>
      <x:c r="E410" s="7" t="str">
        <x:v>Reyna</x:v>
      </x:c>
      <x:c r="F410" s="7" t="n">
        <x:v>13</x:v>
      </x:c>
      <x:c r="G410" s="7" t="n">
        <x:v>11</x:v>
      </x:c>
      <x:c r="H410" s="7" t="str">
        <x:f>IF(F410&gt;G410,"Win",IF(F410&lt;G410,"Loss","Draw"))</x:f>
        <x:v>Win</x:v>
      </x:c>
      <x:c r="I410" s="7" t="n">
        <x:f>IF(H410="Win",1,0)</x:f>
        <x:v>1</x:v>
      </x:c>
      <x:c r="J410" s="7" t="n">
        <x:f>F410-G410</x:f>
        <x:v>2</x:v>
      </x:c>
      <x:c r="K410" s="7" t="n">
        <x:f>F410+G410</x:f>
        <x:v>24</x:v>
      </x:c>
      <x:c r="L410" s="7" t="n">
        <x:v>16</x:v>
      </x:c>
      <x:c r="M410" s="7" t="n">
        <x:v>19</x:v>
      </x:c>
      <x:c r="N410" s="7" t="n">
        <x:v>3</x:v>
      </x:c>
      <x:c r="O410" s="9" t="n">
        <x:f>IF(M410=0,"n.a.",L410/M410)</x:f>
        <x:v>0.8421052631578947</x:v>
      </x:c>
      <x:c r="P410" s="9" t="n">
        <x:f>IF(K410=0,"n.a.",L410/K410)</x:f>
        <x:v>0.6666666666666666</x:v>
      </x:c>
      <x:c r="Q410" s="9" t="n">
        <x:f>IF(K410=0,"n.a.",M410/K410)</x:f>
        <x:v>0.7916666666666666</x:v>
      </x:c>
      <x:c r="R410" s="9" t="n">
        <x:f>IF(K410=0,"n.a.",N410/K410)</x:f>
        <x:v>0.125</x:v>
      </x:c>
      <x:c r="S410" s="7" t="n">
        <x:v>-33</x:v>
      </x:c>
      <x:c r="T410" s="10" t="n">
        <x:v>0.35</x:v>
      </x:c>
      <x:c r="U410" s="7" t="n">
        <x:v>185</x:v>
      </x:c>
      <x:c r="V410" s="7" t="n">
        <x:v>421</x:v>
      </x:c>
    </x:row>
    <x:row r="411" ht="16" customHeight="1">
      <x:c r="A411" s="7" t="n">
        <x:v>408</x:v>
      </x:c>
      <x:c r="B411" s="8" t="n">
        <x:v>46019</x:v>
      </x:c>
      <x:c r="C411" s="7" t="str">
        <x:v>Corrode</x:v>
      </x:c>
      <x:c r="D411" s="7" t="str">
        <x:v>2nd</x:v>
      </x:c>
      <x:c r="E411" s="7" t="str">
        <x:v>Deadlock</x:v>
      </x:c>
      <x:c r="F411" s="7" t="n">
        <x:v>10</x:v>
      </x:c>
      <x:c r="G411" s="7" t="n">
        <x:v>13</x:v>
      </x:c>
      <x:c r="H411" s="7" t="str">
        <x:f>IF(F411&gt;G411,"Win",IF(F411&lt;G411,"Loss","Draw"))</x:f>
        <x:v>Loss</x:v>
      </x:c>
      <x:c r="I411" s="7" t="n">
        <x:f>IF(H411="Win",1,0)</x:f>
        <x:v>0</x:v>
      </x:c>
      <x:c r="J411" s="7" t="n">
        <x:f>F411-G411</x:f>
        <x:v>-3</x:v>
      </x:c>
      <x:c r="K411" s="7" t="n">
        <x:f>F411+G411</x:f>
        <x:v>23</x:v>
      </x:c>
      <x:c r="L411" s="7" t="n">
        <x:v>24</x:v>
      </x:c>
      <x:c r="M411" s="7" t="n">
        <x:v>17</x:v>
      </x:c>
      <x:c r="N411" s="7" t="n">
        <x:v>7</x:v>
      </x:c>
      <x:c r="O411" s="9" t="n">
        <x:f>IF(M411=0,"n.a.",L411/M411)</x:f>
        <x:v>1.411764705882353</x:v>
      </x:c>
      <x:c r="P411" s="9" t="n">
        <x:f>IF(K411=0,"n.a.",L411/K411)</x:f>
        <x:v>1.0434782608695652</x:v>
      </x:c>
      <x:c r="Q411" s="9" t="n">
        <x:f>IF(K411=0,"n.a.",M411/K411)</x:f>
        <x:v>0.7391304347826086</x:v>
      </x:c>
      <x:c r="R411" s="9" t="n">
        <x:f>IF(K411=0,"n.a.",N411/K411)</x:f>
        <x:v>0.30434782608695654</x:v>
      </x:c>
      <x:c r="S411" s="7" t="n">
        <x:v>53</x:v>
      </x:c>
      <x:c r="T411" s="10" t="n">
        <x:v>0.23</x:v>
      </x:c>
      <x:c r="U411" s="7" t="n">
        <x:v>275</x:v>
      </x:c>
      <x:c r="V411" s="7" t="n">
        <x:v>732</x:v>
      </x:c>
    </x:row>
    <x:row r="412" ht="16" customHeight="1">
      <x:c r="A412" s="7" t="n">
        <x:v>409</x:v>
      </x:c>
      <x:c r="B412" s="8" t="n">
        <x:v>46020</x:v>
      </x:c>
      <x:c r="C412" s="7" t="str">
        <x:v>Sunset</x:v>
      </x:c>
      <x:c r="D412" s="7" t="str">
        <x:v>4th</x:v>
      </x:c>
      <x:c r="E412" s="7" t="str">
        <x:v>Jett</x:v>
      </x:c>
      <x:c r="F412" s="7" t="n">
        <x:v>8</x:v>
      </x:c>
      <x:c r="G412" s="7" t="n">
        <x:v>13</x:v>
      </x:c>
      <x:c r="H412" s="7" t="str">
        <x:f>IF(F412&gt;G412,"Win",IF(F412&lt;G412,"Loss","Draw"))</x:f>
        <x:v>Loss</x:v>
      </x:c>
      <x:c r="I412" s="7" t="n">
        <x:f>IF(H412="Win",1,0)</x:f>
        <x:v>0</x:v>
      </x:c>
      <x:c r="J412" s="7" t="n">
        <x:f>F412-G412</x:f>
        <x:v>-5</x:v>
      </x:c>
      <x:c r="K412" s="7" t="n">
        <x:f>F412+G412</x:f>
        <x:v>21</x:v>
      </x:c>
      <x:c r="L412" s="7" t="n">
        <x:v>16</x:v>
      </x:c>
      <x:c r="M412" s="7" t="n">
        <x:v>9</x:v>
      </x:c>
      <x:c r="N412" s="7" t="n">
        <x:v>3</x:v>
      </x:c>
      <x:c r="O412" s="9" t="n">
        <x:f>IF(M412=0,"n.a.",L412/M412)</x:f>
        <x:v>1.7777777777777777</x:v>
      </x:c>
      <x:c r="P412" s="9" t="n">
        <x:f>IF(K412=0,"n.a.",L412/K412)</x:f>
        <x:v>0.7619047619047619</x:v>
      </x:c>
      <x:c r="Q412" s="9" t="n">
        <x:f>IF(K412=0,"n.a.",M412/K412)</x:f>
        <x:v>0.42857142857142855</x:v>
      </x:c>
      <x:c r="R412" s="9" t="n">
        <x:f>IF(K412=0,"n.a.",N412/K412)</x:f>
        <x:v>0.14285714285714285</x:v>
      </x:c>
      <x:c r="S412" s="7" t="n">
        <x:v>57</x:v>
      </x:c>
      <x:c r="T412" s="10" t="n">
        <x:v>0.24</x:v>
      </x:c>
      <x:c r="U412" s="7" t="n">
        <x:v>213</x:v>
      </x:c>
      <x:c r="V412" s="7" t="n">
        <x:v>453</x:v>
      </x:c>
    </x:row>
    <x:row r="413" ht="16" customHeight="1">
      <x:c r="A413" s="7" t="n">
        <x:v>410</x:v>
      </x:c>
      <x:c r="B413" s="8" t="n">
        <x:v>46020</x:v>
      </x:c>
      <x:c r="C413" s="7" t="str">
        <x:v>Corrode</x:v>
      </x:c>
      <x:c r="D413" s="7" t="str">
        <x:v>7th</x:v>
      </x:c>
      <x:c r="E413" s="7" t="str">
        <x:v>Reyna</x:v>
      </x:c>
      <x:c r="F413" s="7" t="n">
        <x:v>13</x:v>
      </x:c>
      <x:c r="G413" s="7" t="n">
        <x:v>9</x:v>
      </x:c>
      <x:c r="H413" s="7" t="str">
        <x:f>IF(F413&gt;G413,"Win",IF(F413&lt;G413,"Loss","Draw"))</x:f>
        <x:v>Win</x:v>
      </x:c>
      <x:c r="I413" s="7" t="n">
        <x:f>IF(H413="Win",1,0)</x:f>
        <x:v>1</x:v>
      </x:c>
      <x:c r="J413" s="7" t="n">
        <x:f>F413-G413</x:f>
        <x:v>4</x:v>
      </x:c>
      <x:c r="K413" s="7" t="n">
        <x:f>F413+G413</x:f>
        <x:v>22</x:v>
      </x:c>
      <x:c r="L413" s="7" t="n">
        <x:v>16</x:v>
      </x:c>
      <x:c r="M413" s="7" t="n">
        <x:v>17</x:v>
      </x:c>
      <x:c r="N413" s="7" t="n">
        <x:v>9</x:v>
      </x:c>
      <x:c r="O413" s="9" t="n">
        <x:f>IF(M413=0,"n.a.",L413/M413)</x:f>
        <x:v>0.9411764705882353</x:v>
      </x:c>
      <x:c r="P413" s="9" t="n">
        <x:f>IF(K413=0,"n.a.",L413/K413)</x:f>
        <x:v>0.7272727272727273</x:v>
      </x:c>
      <x:c r="Q413" s="9" t="n">
        <x:f>IF(K413=0,"n.a.",M413/K413)</x:f>
        <x:v>0.7727272727272727</x:v>
      </x:c>
      <x:c r="R413" s="9" t="n">
        <x:f>IF(K413=0,"n.a.",N413/K413)</x:f>
        <x:v>0.4090909090909091</x:v>
      </x:c>
      <x:c r="S413" s="7" t="n">
        <x:v>-15</x:v>
      </x:c>
      <x:c r="T413" s="10" t="n">
        <x:v>0.14</x:v>
      </x:c>
      <x:c r="U413" s="7" t="n">
        <x:v>215</x:v>
      </x:c>
      <x:c r="V413" s="7" t="n">
        <x:v>709</x:v>
      </x:c>
    </x:row>
    <x:row r="414" ht="16" customHeight="1">
      <x:c r="A414" s="7" t="n">
        <x:v>411</x:v>
      </x:c>
      <x:c r="B414" s="8" t="n">
        <x:v>46020</x:v>
      </x:c>
      <x:c r="C414" s="7" t="str">
        <x:v>Haven</x:v>
      </x:c>
      <x:c r="D414" s="7" t="str">
        <x:v>6th</x:v>
      </x:c>
      <x:c r="E414" s="7" t="str">
        <x:v>Chamber</x:v>
      </x:c>
      <x:c r="F414" s="7" t="n">
        <x:v>5</x:v>
      </x:c>
      <x:c r="G414" s="7" t="n">
        <x:v>13</x:v>
      </x:c>
      <x:c r="H414" s="7" t="str">
        <x:f>IF(F414&gt;G414,"Win",IF(F414&lt;G414,"Loss","Draw"))</x:f>
        <x:v>Loss</x:v>
      </x:c>
      <x:c r="I414" s="7" t="n">
        <x:f>IF(H414="Win",1,0)</x:f>
        <x:v>0</x:v>
      </x:c>
      <x:c r="J414" s="7" t="n">
        <x:f>F414-G414</x:f>
        <x:v>-8</x:v>
      </x:c>
      <x:c r="K414" s="7" t="n">
        <x:f>F414+G414</x:f>
        <x:v>18</x:v>
      </x:c>
      <x:c r="L414" s="7" t="n">
        <x:v>10</x:v>
      </x:c>
      <x:c r="M414" s="7" t="n">
        <x:v>17</x:v>
      </x:c>
      <x:c r="N414" s="7" t="n">
        <x:v>5</x:v>
      </x:c>
      <x:c r="O414" s="9" t="n">
        <x:f>IF(M414=0,"n.a.",L414/M414)</x:f>
        <x:v>0.5882352941176471</x:v>
      </x:c>
      <x:c r="P414" s="9" t="n">
        <x:f>IF(K414=0,"n.a.",L414/K414)</x:f>
        <x:v>0.5555555555555556</x:v>
      </x:c>
      <x:c r="Q414" s="9" t="n">
        <x:f>IF(K414=0,"n.a.",M414/K414)</x:f>
        <x:v>0.9444444444444444</x:v>
      </x:c>
      <x:c r="R414" s="9" t="n">
        <x:f>IF(K414=0,"n.a.",N414/K414)</x:f>
        <x:v>0.2777777777777778</x:v>
      </x:c>
      <x:c r="S414" s="7" t="n">
        <x:v>-32</x:v>
      </x:c>
      <x:c r="T414" s="10" t="n">
        <x:v>0.33</x:v>
      </x:c>
      <x:c r="U414" s="7" t="n">
        <x:v>192</x:v>
      </x:c>
      <x:c r="V414" s="7" t="n">
        <x:v>334</x:v>
      </x:c>
    </x:row>
    <x:row r="415" ht="16" customHeight="1">
      <x:c r="A415" s="7" t="n">
        <x:v>412</x:v>
      </x:c>
      <x:c r="B415" s="8" t="n">
        <x:v>46029</x:v>
      </x:c>
      <x:c r="C415" s="7" t="str">
        <x:v>Corrode</x:v>
      </x:c>
      <x:c r="D415" s="7" t="str">
        <x:v>8th</x:v>
      </x:c>
      <x:c r="E415" s="7" t="str">
        <x:v>Neon</x:v>
      </x:c>
      <x:c r="F415" s="7" t="n">
        <x:v>2</x:v>
      </x:c>
      <x:c r="G415" s="7" t="n">
        <x:v>13</x:v>
      </x:c>
      <x:c r="H415" s="7" t="str">
        <x:f>IF(F415&gt;G415,"Win",IF(F415&lt;G415,"Loss","Draw"))</x:f>
        <x:v>Loss</x:v>
      </x:c>
      <x:c r="I415" s="7" t="n">
        <x:f>IF(H415="Win",1,0)</x:f>
        <x:v>0</x:v>
      </x:c>
      <x:c r="J415" s="7" t="n">
        <x:f>F415-G415</x:f>
        <x:v>-11</x:v>
      </x:c>
      <x:c r="K415" s="7" t="n">
        <x:f>F415+G415</x:f>
        <x:v>15</x:v>
      </x:c>
      <x:c r="L415" s="7" t="n">
        <x:v>10</x:v>
      </x:c>
      <x:c r="M415" s="7" t="n">
        <x:v>15</x:v>
      </x:c>
      <x:c r="N415" s="7" t="n">
        <x:v>0</x:v>
      </x:c>
      <x:c r="O415" s="9" t="n">
        <x:f>IF(M415=0,"n.a.",L415/M415)</x:f>
        <x:v>0.6666666666666666</x:v>
      </x:c>
      <x:c r="P415" s="9" t="n">
        <x:f>IF(K415=0,"n.a.",L415/K415)</x:f>
        <x:v>0.6666666666666666</x:v>
      </x:c>
      <x:c r="Q415" s="9" t="n">
        <x:f>IF(K415=0,"n.a.",M415/K415)</x:f>
        <x:v>1</x:v>
      </x:c>
      <x:c r="R415" s="9" t="n">
        <x:f>IF(K415=0,"n.a.",N415/K415)</x:f>
        <x:v>0</x:v>
      </x:c>
      <x:c r="S415" s="7" t="n">
        <x:v>-81</x:v>
      </x:c>
      <x:c r="T415" s="10" t="n">
        <x:v>0.24</x:v>
      </x:c>
      <x:c r="U415" s="7" t="n">
        <x:v>174</x:v>
      </x:c>
      <x:c r="V415" s="7" t="n">
        <x:v>135</x:v>
      </x:c>
    </x:row>
    <x:row r="416" ht="16" customHeight="1">
      <x:c r="A416" s="7" t="n">
        <x:v>413</x:v>
      </x:c>
      <x:c r="B416" s="8" t="n">
        <x:v>46029</x:v>
      </x:c>
      <x:c r="C416" s="7" t="str">
        <x:v>Split</x:v>
      </x:c>
      <x:c r="D416" s="7" t="str">
        <x:v>3rd</x:v>
      </x:c>
      <x:c r="E416" s="7" t="str">
        <x:v>Neon</x:v>
      </x:c>
      <x:c r="F416" s="7" t="n">
        <x:v>12</x:v>
      </x:c>
      <x:c r="G416" s="7" t="n">
        <x:v>14</x:v>
      </x:c>
      <x:c r="H416" s="7" t="str">
        <x:f>IF(F416&gt;G416,"Win",IF(F416&lt;G416,"Loss","Draw"))</x:f>
        <x:v>Loss</x:v>
      </x:c>
      <x:c r="I416" s="7" t="n">
        <x:f>IF(H416="Win",1,0)</x:f>
        <x:v>0</x:v>
      </x:c>
      <x:c r="J416" s="7" t="n">
        <x:f>F416-G416</x:f>
        <x:v>-2</x:v>
      </x:c>
      <x:c r="K416" s="7" t="n">
        <x:f>F416+G416</x:f>
        <x:v>26</x:v>
      </x:c>
      <x:c r="L416" s="7" t="n">
        <x:v>24</x:v>
      </x:c>
      <x:c r="M416" s="7" t="n">
        <x:v>24</x:v>
      </x:c>
      <x:c r="N416" s="7" t="n">
        <x:v>10</x:v>
      </x:c>
      <x:c r="O416" s="9" t="n">
        <x:f>IF(M416=0,"n.a.",L416/M416)</x:f>
        <x:v>1</x:v>
      </x:c>
      <x:c r="P416" s="9" t="n">
        <x:f>IF(K416=0,"n.a.",L416/K416)</x:f>
        <x:v>0.9230769230769231</x:v>
      </x:c>
      <x:c r="Q416" s="9" t="n">
        <x:f>IF(K416=0,"n.a.",M416/K416)</x:f>
        <x:v>0.9230769230769231</x:v>
      </x:c>
      <x:c r="R416" s="9" t="n">
        <x:f>IF(K416=0,"n.a.",N416/K416)</x:f>
        <x:v>0.38461538461538464</x:v>
      </x:c>
      <x:c r="S416" s="7" t="n">
        <x:v>26</x:v>
      </x:c>
      <x:c r="T416" s="10" t="n">
        <x:v>0.18</x:v>
      </x:c>
      <x:c r="U416" s="7" t="n">
        <x:v>294</x:v>
      </x:c>
      <x:c r="V416" s="7" t="n">
        <x:v>788</x:v>
      </x:c>
    </x:row>
    <x:row r="417" ht="16" customHeight="1">
      <x:c r="A417" s="7" t="n">
        <x:v>414</x:v>
      </x:c>
      <x:c r="B417" s="8" t="n">
        <x:v>46030</x:v>
      </x:c>
      <x:c r="C417" s="7" t="str">
        <x:v>Bind</x:v>
      </x:c>
      <x:c r="D417" s="7" t="str">
        <x:v>3rd</x:v>
      </x:c>
      <x:c r="E417" s="7" t="str">
        <x:v>Neon</x:v>
      </x:c>
      <x:c r="F417" s="7" t="n">
        <x:v>10</x:v>
      </x:c>
      <x:c r="G417" s="7" t="n">
        <x:v>13</x:v>
      </x:c>
      <x:c r="H417" s="7" t="str">
        <x:f>IF(F417&gt;G417,"Win",IF(F417&lt;G417,"Loss","Draw"))</x:f>
        <x:v>Loss</x:v>
      </x:c>
      <x:c r="I417" s="7" t="n">
        <x:f>IF(H417="Win",1,0)</x:f>
        <x:v>0</x:v>
      </x:c>
      <x:c r="J417" s="7" t="n">
        <x:f>F417-G417</x:f>
        <x:v>-3</x:v>
      </x:c>
      <x:c r="K417" s="7" t="n">
        <x:f>F417+G417</x:f>
        <x:v>23</x:v>
      </x:c>
      <x:c r="L417" s="7" t="n">
        <x:v>24</x:v>
      </x:c>
      <x:c r="M417" s="7" t="n">
        <x:v>18</x:v>
      </x:c>
      <x:c r="N417" s="7" t="n">
        <x:v>5</x:v>
      </x:c>
      <x:c r="O417" s="9" t="n">
        <x:f>IF(M417=0,"n.a.",L417/M417)</x:f>
        <x:v>1.3333333333333333</x:v>
      </x:c>
      <x:c r="P417" s="9" t="n">
        <x:f>IF(K417=0,"n.a.",L417/K417)</x:f>
        <x:v>1.0434782608695652</x:v>
      </x:c>
      <x:c r="Q417" s="9" t="n">
        <x:f>IF(K417=0,"n.a.",M417/K417)</x:f>
        <x:v>0.782608695652174</x:v>
      </x:c>
      <x:c r="R417" s="9" t="n">
        <x:f>IF(K417=0,"n.a.",N417/K417)</x:f>
        <x:v>0.21739130434782608</x:v>
      </x:c>
      <x:c r="S417" s="7" t="n">
        <x:v>39</x:v>
      </x:c>
      <x:c r="T417" s="10" t="n">
        <x:v>0.25</x:v>
      </x:c>
      <x:c r="U417" s="7" t="n">
        <x:v>305</x:v>
      </x:c>
      <x:c r="V417" s="7" t="n">
        <x:v>863</x:v>
      </x:c>
    </x:row>
    <x:row r="418" ht="16" customHeight="1">
      <x:c r="A418" s="7" t="n">
        <x:v>415</x:v>
      </x:c>
      <x:c r="B418" s="8" t="n">
        <x:v>46030</x:v>
      </x:c>
      <x:c r="C418" s="7" t="str">
        <x:v>Bind</x:v>
      </x:c>
      <x:c r="D418" s="7" t="str">
        <x:v>4th</x:v>
      </x:c>
      <x:c r="E418" s="7" t="str">
        <x:v>Neon</x:v>
      </x:c>
      <x:c r="F418" s="7" t="n">
        <x:v>13</x:v>
      </x:c>
      <x:c r="G418" s="7" t="n">
        <x:v>9</x:v>
      </x:c>
      <x:c r="H418" s="7" t="str">
        <x:f>IF(F418&gt;G418,"Win",IF(F418&lt;G418,"Loss","Draw"))</x:f>
        <x:v>Win</x:v>
      </x:c>
      <x:c r="I418" s="7" t="n">
        <x:f>IF(H418="Win",1,0)</x:f>
        <x:v>1</x:v>
      </x:c>
      <x:c r="J418" s="7" t="n">
        <x:f>F418-G418</x:f>
        <x:v>4</x:v>
      </x:c>
      <x:c r="K418" s="7" t="n">
        <x:f>F418+G418</x:f>
        <x:v>22</x:v>
      </x:c>
      <x:c r="L418" s="7" t="n">
        <x:v>19</x:v>
      </x:c>
      <x:c r="M418" s="7" t="n">
        <x:v>17</x:v>
      </x:c>
      <x:c r="N418" s="7" t="n">
        <x:v>2</x:v>
      </x:c>
      <x:c r="O418" s="9" t="n">
        <x:f>IF(M418=0,"n.a.",L418/M418)</x:f>
        <x:v>1.1176470588235294</x:v>
      </x:c>
      <x:c r="P418" s="9" t="n">
        <x:f>IF(K418=0,"n.a.",L418/K418)</x:f>
        <x:v>0.8636363636363636</x:v>
      </x:c>
      <x:c r="Q418" s="9" t="n">
        <x:f>IF(K418=0,"n.a.",M418/K418)</x:f>
        <x:v>0.7727272727272727</x:v>
      </x:c>
      <x:c r="R418" s="9" t="n">
        <x:f>IF(K418=0,"n.a.",N418/K418)</x:f>
        <x:v>0.09090909090909091</x:v>
      </x:c>
      <x:c r="S418" s="7" t="n">
        <x:v>4</x:v>
      </x:c>
      <x:c r="T418" s="10" t="n">
        <x:v>0.19</x:v>
      </x:c>
      <x:c r="U418" s="7" t="n">
        <x:v>237</x:v>
      </x:c>
      <x:c r="V418" s="7" t="n">
        <x:v>626</x:v>
      </x:c>
    </x:row>
    <x:row r="419" ht="16" customHeight="1">
      <x:c r="A419" s="7" t="n">
        <x:v>416</x:v>
      </x:c>
      <x:c r="B419" s="8" t="n">
        <x:v>46031</x:v>
      </x:c>
      <x:c r="C419" s="7" t="str">
        <x:v>Bind</x:v>
      </x:c>
      <x:c r="D419" s="7" t="str">
        <x:v>MVP</x:v>
      </x:c>
      <x:c r="E419" s="7" t="str">
        <x:v>Neon</x:v>
      </x:c>
      <x:c r="F419" s="7" t="n">
        <x:v>10</x:v>
      </x:c>
      <x:c r="G419" s="7" t="n">
        <x:v>13</x:v>
      </x:c>
      <x:c r="H419" s="7" t="str">
        <x:f>IF(F419&gt;G419,"Win",IF(F419&lt;G419,"Loss","Draw"))</x:f>
        <x:v>Loss</x:v>
      </x:c>
      <x:c r="I419" s="7" t="n">
        <x:f>IF(H419="Win",1,0)</x:f>
        <x:v>0</x:v>
      </x:c>
      <x:c r="J419" s="7" t="n">
        <x:f>F419-G419</x:f>
        <x:v>-3</x:v>
      </x:c>
      <x:c r="K419" s="7" t="n">
        <x:f>F419+G419</x:f>
        <x:v>23</x:v>
      </x:c>
      <x:c r="L419" s="7" t="n">
        <x:v>27</x:v>
      </x:c>
      <x:c r="M419" s="7" t="n">
        <x:v>13</x:v>
      </x:c>
      <x:c r="N419" s="7" t="n">
        <x:v>2</x:v>
      </x:c>
      <x:c r="O419" s="9" t="n">
        <x:f>IF(M419=0,"n.a.",L419/M419)</x:f>
        <x:v>2.076923076923077</x:v>
      </x:c>
      <x:c r="P419" s="9" t="n">
        <x:f>IF(K419=0,"n.a.",L419/K419)</x:f>
        <x:v>1.173913043478261</x:v>
      </x:c>
      <x:c r="Q419" s="9" t="n">
        <x:f>IF(K419=0,"n.a.",M419/K419)</x:f>
        <x:v>0.5652173913043478</x:v>
      </x:c>
      <x:c r="R419" s="9" t="n">
        <x:f>IF(K419=0,"n.a.",N419/K419)</x:f>
        <x:v>0.08695652173913043</x:v>
      </x:c>
      <x:c r="S419" s="7" t="n">
        <x:v>110</x:v>
      </x:c>
      <x:c r="T419" s="10" t="n">
        <x:v>0.26</x:v>
      </x:c>
      <x:c r="U419" s="7" t="n">
        <x:v>343</x:v>
      </x:c>
      <x:c r="V419" s="7" t="n">
        <x:v>761</x:v>
      </x:c>
    </x:row>
    <x:row r="420" ht="16" customHeight="1">
      <x:c r="A420" s="7" t="n">
        <x:v>417</x:v>
      </x:c>
      <x:c r="B420" s="8" t="n">
        <x:v>46031</x:v>
      </x:c>
      <x:c r="C420" s="7" t="str">
        <x:v>Haven</x:v>
      </x:c>
      <x:c r="D420" s="7" t="str">
        <x:v>4th</x:v>
      </x:c>
      <x:c r="E420" s="7" t="str">
        <x:v>Neon</x:v>
      </x:c>
      <x:c r="F420" s="7" t="n">
        <x:v>7</x:v>
      </x:c>
      <x:c r="G420" s="7" t="n">
        <x:v>13</x:v>
      </x:c>
      <x:c r="H420" s="7" t="str">
        <x:f>IF(F420&gt;G420,"Win",IF(F420&lt;G420,"Loss","Draw"))</x:f>
        <x:v>Loss</x:v>
      </x:c>
      <x:c r="I420" s="7" t="n">
        <x:f>IF(H420="Win",1,0)</x:f>
        <x:v>0</x:v>
      </x:c>
      <x:c r="J420" s="7" t="n">
        <x:f>F420-G420</x:f>
        <x:v>-6</x:v>
      </x:c>
      <x:c r="K420" s="7" t="n">
        <x:f>F420+G420</x:f>
        <x:v>20</x:v>
      </x:c>
      <x:c r="L420" s="7" t="n">
        <x:v>17</x:v>
      </x:c>
      <x:c r="M420" s="7" t="n">
        <x:v>16</x:v>
      </x:c>
      <x:c r="N420" s="7" t="n">
        <x:v>0</x:v>
      </x:c>
      <x:c r="O420" s="9" t="n">
        <x:f>IF(M420=0,"n.a.",L420/M420)</x:f>
        <x:v>1.0625</x:v>
      </x:c>
      <x:c r="P420" s="9" t="n">
        <x:f>IF(K420=0,"n.a.",L420/K420)</x:f>
        <x:v>0.85</x:v>
      </x:c>
      <x:c r="Q420" s="9" t="n">
        <x:f>IF(K420=0,"n.a.",M420/K420)</x:f>
        <x:v>0.8</x:v>
      </x:c>
      <x:c r="R420" s="9" t="n">
        <x:f>IF(K420=0,"n.a.",N420/K420)</x:f>
        <x:v>0</x:v>
      </x:c>
      <x:c r="S420" s="7" t="n">
        <x:v>-5</x:v>
      </x:c>
      <x:c r="T420" s="10" t="n">
        <x:v>0.18</x:v>
      </x:c>
      <x:c r="U420" s="7" t="n">
        <x:v>241</x:v>
      </x:c>
      <x:c r="V420" s="7" t="n">
        <x:v>445</x:v>
      </x:c>
    </x:row>
    <x:row r="421" ht="16" customHeight="1">
      <x:c r="A421" s="7" t="n">
        <x:v>418</x:v>
      </x:c>
      <x:c r="B421" s="8" t="n">
        <x:v>46031</x:v>
      </x:c>
      <x:c r="C421" s="7" t="str">
        <x:v>Pearl</x:v>
      </x:c>
      <x:c r="D421" s="7" t="str">
        <x:v>MVP</x:v>
      </x:c>
      <x:c r="E421" s="7" t="str">
        <x:v>Neon</x:v>
      </x:c>
      <x:c r="F421" s="7" t="n">
        <x:v>10</x:v>
      </x:c>
      <x:c r="G421" s="7" t="n">
        <x:v>13</x:v>
      </x:c>
      <x:c r="H421" s="7" t="str">
        <x:f>IF(F421&gt;G421,"Win",IF(F421&lt;G421,"Loss","Draw"))</x:f>
        <x:v>Loss</x:v>
      </x:c>
      <x:c r="I421" s="7" t="n">
        <x:f>IF(H421="Win",1,0)</x:f>
        <x:v>0</x:v>
      </x:c>
      <x:c r="J421" s="7" t="n">
        <x:f>F421-G421</x:f>
        <x:v>-3</x:v>
      </x:c>
      <x:c r="K421" s="7" t="n">
        <x:f>F421+G421</x:f>
        <x:v>23</x:v>
      </x:c>
      <x:c r="L421" s="7" t="n">
        <x:v>24</x:v>
      </x:c>
      <x:c r="M421" s="7" t="n">
        <x:v>21</x:v>
      </x:c>
      <x:c r="N421" s="7" t="n">
        <x:v>1</x:v>
      </x:c>
      <x:c r="O421" s="9" t="n">
        <x:f>IF(M421=0,"n.a.",L421/M421)</x:f>
        <x:v>1.1428571428571428</x:v>
      </x:c>
      <x:c r="P421" s="9" t="n">
        <x:f>IF(K421=0,"n.a.",L421/K421)</x:f>
        <x:v>1.0434782608695652</x:v>
      </x:c>
      <x:c r="Q421" s="9" t="n">
        <x:f>IF(K421=0,"n.a.",M421/K421)</x:f>
        <x:v>0.9130434782608695</x:v>
      </x:c>
      <x:c r="R421" s="9" t="n">
        <x:f>IF(K421=0,"n.a.",N421/K421)</x:f>
        <x:v>0.043478260869565216</x:v>
      </x:c>
      <x:c r="S421" s="7" t="n">
        <x:v>19</x:v>
      </x:c>
      <x:c r="T421" s="10" t="n">
        <x:v>0.27</x:v>
      </x:c>
      <x:c r="U421" s="7" t="n">
        <x:v>287</x:v>
      </x:c>
      <x:c r="V421" s="7" t="n">
        <x:v>544</x:v>
      </x:c>
    </x:row>
    <x:row r="422" ht="16" customHeight="1">
      <x:c r="A422" s="7" t="n">
        <x:v>419</x:v>
      </x:c>
      <x:c r="B422" s="8" t="n">
        <x:v>46032</x:v>
      </x:c>
      <x:c r="C422" s="7" t="str">
        <x:v>Corrode</x:v>
      </x:c>
      <x:c r="D422" s="7" t="str">
        <x:v>2nd</x:v>
      </x:c>
      <x:c r="E422" s="7" t="str">
        <x:v>Neon</x:v>
      </x:c>
      <x:c r="F422" s="7" t="n">
        <x:v>13</x:v>
      </x:c>
      <x:c r="G422" s="7" t="n">
        <x:v>8</x:v>
      </x:c>
      <x:c r="H422" s="7" t="str">
        <x:f>IF(F422&gt;G422,"Win",IF(F422&lt;G422,"Loss","Draw"))</x:f>
        <x:v>Win</x:v>
      </x:c>
      <x:c r="I422" s="7" t="n">
        <x:f>IF(H422="Win",1,0)</x:f>
        <x:v>1</x:v>
      </x:c>
      <x:c r="J422" s="7" t="n">
        <x:f>F422-G422</x:f>
        <x:v>5</x:v>
      </x:c>
      <x:c r="K422" s="7" t="n">
        <x:f>F422+G422</x:f>
        <x:v>21</x:v>
      </x:c>
      <x:c r="L422" s="7" t="n">
        <x:v>22</x:v>
      </x:c>
      <x:c r="M422" s="7" t="n">
        <x:v>15</x:v>
      </x:c>
      <x:c r="N422" s="7" t="n">
        <x:v>4</x:v>
      </x:c>
      <x:c r="O422" s="9" t="n">
        <x:f>IF(M422=0,"n.a.",L422/M422)</x:f>
        <x:v>1.4666666666666666</x:v>
      </x:c>
      <x:c r="P422" s="9" t="n">
        <x:f>IF(K422=0,"n.a.",L422/K422)</x:f>
        <x:v>1.0476190476190477</x:v>
      </x:c>
      <x:c r="Q422" s="9" t="n">
        <x:f>IF(K422=0,"n.a.",M422/K422)</x:f>
        <x:v>0.7142857142857143</x:v>
      </x:c>
      <x:c r="R422" s="9" t="n">
        <x:f>IF(K422=0,"n.a.",N422/K422)</x:f>
        <x:v>0.19047619047619047</x:v>
      </x:c>
      <x:c r="S422" s="7" t="n">
        <x:v>37</x:v>
      </x:c>
      <x:c r="T422" s="10" t="n">
        <x:v>0.21</x:v>
      </x:c>
      <x:c r="U422" s="7" t="n">
        <x:v>293</x:v>
      </x:c>
      <x:c r="V422" s="7" t="n">
        <x:v>868</x:v>
      </x:c>
    </x:row>
    <x:row r="423" ht="16" customHeight="1">
      <x:c r="A423" s="7" t="n">
        <x:v>420</x:v>
      </x:c>
      <x:c r="B423" s="8" t="n">
        <x:v>46032</x:v>
      </x:c>
      <x:c r="C423" s="7" t="str">
        <x:v>Corrode</x:v>
      </x:c>
      <x:c r="D423" s="7" t="str">
        <x:v>6th</x:v>
      </x:c>
      <x:c r="E423" s="7" t="str">
        <x:v>Astra</x:v>
      </x:c>
      <x:c r="F423" s="7" t="n">
        <x:v>11</x:v>
      </x:c>
      <x:c r="G423" s="7" t="n">
        <x:v>13</x:v>
      </x:c>
      <x:c r="H423" s="7" t="str">
        <x:f>IF(F423&gt;G423,"Win",IF(F423&lt;G423,"Loss","Draw"))</x:f>
        <x:v>Loss</x:v>
      </x:c>
      <x:c r="I423" s="7" t="n">
        <x:f>IF(H423="Win",1,0)</x:f>
        <x:v>0</x:v>
      </x:c>
      <x:c r="J423" s="7" t="n">
        <x:f>F423-G423</x:f>
        <x:v>-2</x:v>
      </x:c>
      <x:c r="K423" s="7" t="n">
        <x:f>F423+G423</x:f>
        <x:v>24</x:v>
      </x:c>
      <x:c r="L423" s="7" t="n">
        <x:v>18</x:v>
      </x:c>
      <x:c r="M423" s="7" t="n">
        <x:v>21</x:v>
      </x:c>
      <x:c r="N423" s="7" t="n">
        <x:v>1</x:v>
      </x:c>
      <x:c r="O423" s="9" t="n">
        <x:f>IF(M423=0,"n.a.",L423/M423)</x:f>
        <x:v>0.8571428571428571</x:v>
      </x:c>
      <x:c r="P423" s="9" t="n">
        <x:f>IF(K423=0,"n.a.",L423/K423)</x:f>
        <x:v>0.75</x:v>
      </x:c>
      <x:c r="Q423" s="9" t="n">
        <x:f>IF(K423=0,"n.a.",M423/K423)</x:f>
        <x:v>0.875</x:v>
      </x:c>
      <x:c r="R423" s="9" t="n">
        <x:f>IF(K423=0,"n.a.",N423/K423)</x:f>
        <x:v>0.041666666666666664</x:v>
      </x:c>
      <x:c r="S423" s="7" t="n">
        <x:v>-25</x:v>
      </x:c>
      <x:c r="T423" s="10" t="n">
        <x:v>0.38</x:v>
      </x:c>
      <x:c r="U423" s="7" t="n">
        <x:v>201</x:v>
      </x:c>
      <x:c r="V423" s="7" t="n">
        <x:v>473</x:v>
      </x:c>
    </x:row>
    <x:row r="424" ht="16" customHeight="1">
      <x:c r="A424" s="7" t="n">
        <x:v>421</x:v>
      </x:c>
      <x:c r="B424" s="8" t="n">
        <x:v>46032</x:v>
      </x:c>
      <x:c r="C424" s="7" t="str">
        <x:v>Split</x:v>
      </x:c>
      <x:c r="D424" s="7" t="str">
        <x:v>5th</x:v>
      </x:c>
      <x:c r="E424" s="7" t="str">
        <x:v>Neon</x:v>
      </x:c>
      <x:c r="F424" s="7" t="n">
        <x:v>10</x:v>
      </x:c>
      <x:c r="G424" s="7" t="n">
        <x:v>13</x:v>
      </x:c>
      <x:c r="H424" s="7" t="str">
        <x:f>IF(F424&gt;G424,"Win",IF(F424&lt;G424,"Loss","Draw"))</x:f>
        <x:v>Loss</x:v>
      </x:c>
      <x:c r="I424" s="7" t="n">
        <x:f>IF(H424="Win",1,0)</x:f>
        <x:v>0</x:v>
      </x:c>
      <x:c r="J424" s="7" t="n">
        <x:f>F424-G424</x:f>
        <x:v>-3</x:v>
      </x:c>
      <x:c r="K424" s="7" t="n">
        <x:f>F424+G424</x:f>
        <x:v>23</x:v>
      </x:c>
      <x:c r="L424" s="7" t="n">
        <x:v>18</x:v>
      </x:c>
      <x:c r="M424" s="7" t="n">
        <x:v>17</x:v>
      </x:c>
      <x:c r="N424" s="7" t="n">
        <x:v>3</x:v>
      </x:c>
      <x:c r="O424" s="9" t="n">
        <x:f>IF(M424=0,"n.a.",L424/M424)</x:f>
        <x:v>1.0588235294117647</x:v>
      </x:c>
      <x:c r="P424" s="9" t="n">
        <x:f>IF(K424=0,"n.a.",L424/K424)</x:f>
        <x:v>0.782608695652174</x:v>
      </x:c>
      <x:c r="Q424" s="9" t="n">
        <x:f>IF(K424=0,"n.a.",M424/K424)</x:f>
        <x:v>0.7391304347826086</x:v>
      </x:c>
      <x:c r="R424" s="9" t="n">
        <x:f>IF(K424=0,"n.a.",N424/K424)</x:f>
        <x:v>0.13043478260869565</x:v>
      </x:c>
      <x:c r="S424" s="7" t="n">
        <x:v>-18</x:v>
      </x:c>
      <x:c r="T424" s="10" t="n">
        <x:v>0.19</x:v>
      </x:c>
      <x:c r="U424" s="7" t="n">
        <x:v>205</x:v>
      </x:c>
      <x:c r="V424" s="7" t="n">
        <x:v>512</x:v>
      </x:c>
    </x:row>
    <x:row r="425" ht="16" customHeight="1">
      <x:c r="A425" s="7" t="n">
        <x:v>422</x:v>
      </x:c>
      <x:c r="B425" s="8" t="n">
        <x:v>46032</x:v>
      </x:c>
      <x:c r="C425" s="7" t="str">
        <x:v>Pearl</x:v>
      </x:c>
      <x:c r="D425" s="7" t="str">
        <x:v>3rd</x:v>
      </x:c>
      <x:c r="E425" s="7" t="str">
        <x:v>Neon</x:v>
      </x:c>
      <x:c r="F425" s="7" t="n">
        <x:v>13</x:v>
      </x:c>
      <x:c r="G425" s="7" t="n">
        <x:v>9</x:v>
      </x:c>
      <x:c r="H425" s="7" t="str">
        <x:f>IF(F425&gt;G425,"Win",IF(F425&lt;G425,"Loss","Draw"))</x:f>
        <x:v>Win</x:v>
      </x:c>
      <x:c r="I425" s="7" t="n">
        <x:f>IF(H425="Win",1,0)</x:f>
        <x:v>1</x:v>
      </x:c>
      <x:c r="J425" s="7" t="n">
        <x:f>F425-G425</x:f>
        <x:v>4</x:v>
      </x:c>
      <x:c r="K425" s="7" t="n">
        <x:f>F425+G425</x:f>
        <x:v>22</x:v>
      </x:c>
      <x:c r="L425" s="7" t="n">
        <x:v>20</x:v>
      </x:c>
      <x:c r="M425" s="7" t="n">
        <x:v>16</x:v>
      </x:c>
      <x:c r="N425" s="7" t="n">
        <x:v>3</x:v>
      </x:c>
      <x:c r="O425" s="9" t="n">
        <x:f>IF(M425=0,"n.a.",L425/M425)</x:f>
        <x:v>1.25</x:v>
      </x:c>
      <x:c r="P425" s="9" t="n">
        <x:f>IF(K425=0,"n.a.",L425/K425)</x:f>
        <x:v>0.9090909090909091</x:v>
      </x:c>
      <x:c r="Q425" s="9" t="n">
        <x:f>IF(K425=0,"n.a.",M425/K425)</x:f>
        <x:v>0.7272727272727273</x:v>
      </x:c>
      <x:c r="R425" s="9" t="n">
        <x:f>IF(K425=0,"n.a.",N425/K425)</x:f>
        <x:v>0.13636363636363635</x:v>
      </x:c>
      <x:c r="S425" s="7" t="n">
        <x:v>35</x:v>
      </x:c>
      <x:c r="T425" s="10" t="n">
        <x:v>0.21</x:v>
      </x:c>
      <x:c r="U425" s="7" t="n">
        <x:v>286</x:v>
      </x:c>
      <x:c r="V425" s="7" t="n">
        <x:v>737</x:v>
      </x:c>
    </x:row>
    <x:row r="426" ht="16" customHeight="1">
      <x:c r="A426" s="7" t="n">
        <x:v>423</x:v>
      </x:c>
      <x:c r="B426" s="8" t="n">
        <x:v>46033</x:v>
      </x:c>
      <x:c r="C426" s="7" t="str">
        <x:v>Breeze</x:v>
      </x:c>
      <x:c r="D426" s="7" t="str">
        <x:v>9th</x:v>
      </x:c>
      <x:c r="E426" s="7" t="str">
        <x:v>Neon</x:v>
      </x:c>
      <x:c r="F426" s="7" t="n">
        <x:v>6</x:v>
      </x:c>
      <x:c r="G426" s="7" t="n">
        <x:v>13</x:v>
      </x:c>
      <x:c r="H426" s="7" t="str">
        <x:f>IF(F426&gt;G426,"Win",IF(F426&lt;G426,"Loss","Draw"))</x:f>
        <x:v>Loss</x:v>
      </x:c>
      <x:c r="I426" s="7" t="n">
        <x:f>IF(H426="Win",1,0)</x:f>
        <x:v>0</x:v>
      </x:c>
      <x:c r="J426" s="7" t="n">
        <x:f>F426-G426</x:f>
        <x:v>-7</x:v>
      </x:c>
      <x:c r="K426" s="7" t="n">
        <x:f>F426+G426</x:f>
        <x:v>19</x:v>
      </x:c>
      <x:c r="L426" s="7" t="n">
        <x:v>7</x:v>
      </x:c>
      <x:c r="M426" s="7" t="n">
        <x:v>13</x:v>
      </x:c>
      <x:c r="N426" s="7" t="n">
        <x:v>2</x:v>
      </x:c>
      <x:c r="O426" s="9" t="n">
        <x:f>IF(M426=0,"n.a.",L426/M426)</x:f>
        <x:v>0.5384615384615384</x:v>
      </x:c>
      <x:c r="P426" s="9" t="n">
        <x:f>IF(K426=0,"n.a.",L426/K426)</x:f>
        <x:v>0.3684210526315789</x:v>
      </x:c>
      <x:c r="Q426" s="9" t="n">
        <x:f>IF(K426=0,"n.a.",M426/K426)</x:f>
        <x:v>0.6842105263157895</x:v>
      </x:c>
      <x:c r="R426" s="9" t="n">
        <x:f>IF(K426=0,"n.a.",N426/K426)</x:f>
        <x:v>0.10526315789473684</x:v>
      </x:c>
      <x:c r="S426" s="7" t="n">
        <x:v>-39</x:v>
      </x:c>
      <x:c r="T426" s="10" t="n">
        <x:v>0.15</x:v>
      </x:c>
      <x:c r="U426" s="7" t="n">
        <x:v>96</x:v>
      </x:c>
      <x:c r="V426" s="7" t="n">
        <x:v>118</x:v>
      </x:c>
    </x:row>
    <x:row r="427" ht="16" customHeight="1">
      <x:c r="A427" s="7" t="n">
        <x:v>424</x:v>
      </x:c>
      <x:c r="B427" s="8" t="n">
        <x:v>46033</x:v>
      </x:c>
      <x:c r="C427" s="7" t="str">
        <x:v>Abyss</x:v>
      </x:c>
      <x:c r="D427" s="7" t="str">
        <x:v>3rd</x:v>
      </x:c>
      <x:c r="E427" s="7" t="str">
        <x:v>Neon</x:v>
      </x:c>
      <x:c r="F427" s="7" t="n">
        <x:v>12</x:v>
      </x:c>
      <x:c r="G427" s="7" t="n">
        <x:v>14</x:v>
      </x:c>
      <x:c r="H427" s="7" t="str">
        <x:f>IF(F427&gt;G427,"Win",IF(F427&lt;G427,"Loss","Draw"))</x:f>
        <x:v>Loss</x:v>
      </x:c>
      <x:c r="I427" s="7" t="n">
        <x:f>IF(H427="Win",1,0)</x:f>
        <x:v>0</x:v>
      </x:c>
      <x:c r="J427" s="7" t="n">
        <x:f>F427-G427</x:f>
        <x:v>-2</x:v>
      </x:c>
      <x:c r="K427" s="7" t="n">
        <x:f>F427+G427</x:f>
        <x:v>26</x:v>
      </x:c>
      <x:c r="L427" s="7" t="n">
        <x:v>26</x:v>
      </x:c>
      <x:c r="M427" s="7" t="n">
        <x:v>17</x:v>
      </x:c>
      <x:c r="N427" s="7" t="n">
        <x:v>4</x:v>
      </x:c>
      <x:c r="O427" s="9" t="n">
        <x:f>IF(M427=0,"n.a.",L427/M427)</x:f>
        <x:v>1.5294117647058822</x:v>
      </x:c>
      <x:c r="P427" s="9" t="n">
        <x:f>IF(K427=0,"n.a.",L427/K427)</x:f>
        <x:v>1</x:v>
      </x:c>
      <x:c r="Q427" s="9" t="n">
        <x:f>IF(K427=0,"n.a.",M427/K427)</x:f>
        <x:v>0.6538461538461539</x:v>
      </x:c>
      <x:c r="R427" s="9" t="n">
        <x:f>IF(K427=0,"n.a.",N427/K427)</x:f>
        <x:v>0.15384615384615385</x:v>
      </x:c>
      <x:c r="S427" s="7" t="n">
        <x:v>45</x:v>
      </x:c>
      <x:c r="T427" s="10" t="n">
        <x:v>0.31</x:v>
      </x:c>
      <x:c r="U427" s="7" t="n">
        <x:v>296</x:v>
      </x:c>
      <x:c r="V427" s="7" t="n">
        <x:v>745</x:v>
      </x:c>
    </x:row>
    <x:row r="428" ht="16" customHeight="1">
      <x:c r="A428" s="7" t="n">
        <x:v>425</x:v>
      </x:c>
      <x:c r="B428" s="8" t="n">
        <x:v>46033</x:v>
      </x:c>
      <x:c r="C428" s="7" t="str">
        <x:v>Split</x:v>
      </x:c>
      <x:c r="D428" s="7" t="str">
        <x:v>2nd</x:v>
      </x:c>
      <x:c r="E428" s="7" t="str">
        <x:v>Neon</x:v>
      </x:c>
      <x:c r="F428" s="7" t="n">
        <x:v>14</x:v>
      </x:c>
      <x:c r="G428" s="7" t="n">
        <x:v>12</x:v>
      </x:c>
      <x:c r="H428" s="7" t="str">
        <x:f>IF(F428&gt;G428,"Win",IF(F428&lt;G428,"Loss","Draw"))</x:f>
        <x:v>Win</x:v>
      </x:c>
      <x:c r="I428" s="7" t="n">
        <x:f>IF(H428="Win",1,0)</x:f>
        <x:v>1</x:v>
      </x:c>
      <x:c r="J428" s="7" t="n">
        <x:f>F428-G428</x:f>
        <x:v>2</x:v>
      </x:c>
      <x:c r="K428" s="7" t="n">
        <x:f>F428+G428</x:f>
        <x:v>26</x:v>
      </x:c>
      <x:c r="L428" s="7" t="n">
        <x:v>26</x:v>
      </x:c>
      <x:c r="M428" s="7" t="n">
        <x:v>20</x:v>
      </x:c>
      <x:c r="N428" s="7" t="n">
        <x:v>3</x:v>
      </x:c>
      <x:c r="O428" s="9" t="n">
        <x:f>IF(M428=0,"n.a.",L428/M428)</x:f>
        <x:v>1.3</x:v>
      </x:c>
      <x:c r="P428" s="9" t="n">
        <x:f>IF(K428=0,"n.a.",L428/K428)</x:f>
        <x:v>1</x:v>
      </x:c>
      <x:c r="Q428" s="9" t="n">
        <x:f>IF(K428=0,"n.a.",M428/K428)</x:f>
        <x:v>0.7692307692307693</x:v>
      </x:c>
      <x:c r="R428" s="9" t="n">
        <x:f>IF(K428=0,"n.a.",N428/K428)</x:f>
        <x:v>0.11538461538461539</x:v>
      </x:c>
      <x:c r="S428" s="7" t="n">
        <x:v>48</x:v>
      </x:c>
      <x:c r="T428" s="10" t="n">
        <x:v>0.21</x:v>
      </x:c>
      <x:c r="U428" s="7" t="n">
        <x:v>283</x:v>
      </x:c>
      <x:c r="V428" s="7" t="n">
        <x:v>811</x:v>
      </x:c>
    </x:row>
    <x:row r="429" ht="16" customHeight="1">
      <x:c r="A429" s="7" t="n">
        <x:v>426</x:v>
      </x:c>
      <x:c r="B429" s="8" t="n">
        <x:v>46034</x:v>
      </x:c>
      <x:c r="C429" s="7" t="str">
        <x:v>Breeze</x:v>
      </x:c>
      <x:c r="D429" s="7" t="str">
        <x:v>8th</x:v>
      </x:c>
      <x:c r="E429" s="7" t="str">
        <x:v>Neon</x:v>
      </x:c>
      <x:c r="F429" s="7" t="n">
        <x:v>11</x:v>
      </x:c>
      <x:c r="G429" s="7" t="n">
        <x:v>13</x:v>
      </x:c>
      <x:c r="H429" s="7" t="str">
        <x:f>IF(F429&gt;G429,"Win",IF(F429&lt;G429,"Loss","Draw"))</x:f>
        <x:v>Loss</x:v>
      </x:c>
      <x:c r="I429" s="7" t="n">
        <x:f>IF(H429="Win",1,0)</x:f>
        <x:v>0</x:v>
      </x:c>
      <x:c r="J429" s="7" t="n">
        <x:f>F429-G429</x:f>
        <x:v>-2</x:v>
      </x:c>
      <x:c r="K429" s="7" t="n">
        <x:f>F429+G429</x:f>
        <x:v>24</x:v>
      </x:c>
      <x:c r="L429" s="7" t="n">
        <x:v>16</x:v>
      </x:c>
      <x:c r="M429" s="7" t="n">
        <x:v>18</x:v>
      </x:c>
      <x:c r="N429" s="7" t="n">
        <x:v>3</x:v>
      </x:c>
      <x:c r="O429" s="9" t="n">
        <x:f>IF(M429=0,"n.a.",L429/M429)</x:f>
        <x:v>0.8888888888888888</x:v>
      </x:c>
      <x:c r="P429" s="9" t="n">
        <x:f>IF(K429=0,"n.a.",L429/K429)</x:f>
        <x:v>0.6666666666666666</x:v>
      </x:c>
      <x:c r="Q429" s="9" t="n">
        <x:f>IF(K429=0,"n.a.",M429/K429)</x:f>
        <x:v>0.75</x:v>
      </x:c>
      <x:c r="R429" s="9" t="n">
        <x:f>IF(K429=0,"n.a.",N429/K429)</x:f>
        <x:v>0.125</x:v>
      </x:c>
      <x:c r="S429" s="7" t="n">
        <x:v>-35</x:v>
      </x:c>
      <x:c r="T429" s="10" t="n">
        <x:v>0.14</x:v>
      </x:c>
      <x:c r="U429" s="7" t="n">
        <x:v>190</x:v>
      </x:c>
      <x:c r="V429" s="7" t="n">
        <x:v>333</x:v>
      </x:c>
    </x:row>
    <x:row r="430" ht="16" customHeight="1">
      <x:c r="A430" s="7" t="n">
        <x:v>427</x:v>
      </x:c>
      <x:c r="B430" s="8" t="n">
        <x:v>46034</x:v>
      </x:c>
      <x:c r="C430" s="7" t="str">
        <x:v>Haven</x:v>
      </x:c>
      <x:c r="D430" s="7" t="str">
        <x:v>MVP</x:v>
      </x:c>
      <x:c r="E430" s="7" t="str">
        <x:v>Neon</x:v>
      </x:c>
      <x:c r="F430" s="7" t="n">
        <x:v>13</x:v>
      </x:c>
      <x:c r="G430" s="7" t="n">
        <x:v>7</x:v>
      </x:c>
      <x:c r="H430" s="7" t="str">
        <x:f>IF(F430&gt;G430,"Win",IF(F430&lt;G430,"Loss","Draw"))</x:f>
        <x:v>Win</x:v>
      </x:c>
      <x:c r="I430" s="7" t="n">
        <x:f>IF(H430="Win",1,0)</x:f>
        <x:v>1</x:v>
      </x:c>
      <x:c r="J430" s="7" t="n">
        <x:f>F430-G430</x:f>
        <x:v>6</x:v>
      </x:c>
      <x:c r="K430" s="7" t="n">
        <x:f>F430+G430</x:f>
        <x:v>20</x:v>
      </x:c>
      <x:c r="L430" s="7" t="n">
        <x:v>27</x:v>
      </x:c>
      <x:c r="M430" s="7" t="n">
        <x:v>12</x:v>
      </x:c>
      <x:c r="N430" s="7" t="n">
        <x:v>0</x:v>
      </x:c>
      <x:c r="O430" s="9" t="n">
        <x:f>IF(M430=0,"n.a.",L430/M430)</x:f>
        <x:v>2.25</x:v>
      </x:c>
      <x:c r="P430" s="9" t="n">
        <x:f>IF(K430=0,"n.a.",L430/K430)</x:f>
        <x:v>1.35</x:v>
      </x:c>
      <x:c r="Q430" s="9" t="n">
        <x:f>IF(K430=0,"n.a.",M430/K430)</x:f>
        <x:v>0.6</x:v>
      </x:c>
      <x:c r="R430" s="9" t="n">
        <x:f>IF(K430=0,"n.a.",N430/K430)</x:f>
        <x:v>0</x:v>
      </x:c>
      <x:c r="S430" s="7" t="n">
        <x:v>86</x:v>
      </x:c>
      <x:c r="T430" s="10" t="n">
        <x:v>0.36</x:v>
      </x:c>
      <x:c r="U430" s="7" t="n">
        <x:v>343</x:v>
      </x:c>
      <x:c r="V430" s="7" t="n">
        <x:v>988</x:v>
      </x:c>
    </x:row>
    <x:row r="431" ht="16" customHeight="1">
      <x:c r="A431" s="7" t="n">
        <x:v>428</x:v>
      </x:c>
      <x:c r="B431" s="8" t="n">
        <x:v>46037</x:v>
      </x:c>
      <x:c r="C431" s="7" t="str">
        <x:v>Pearl</x:v>
      </x:c>
      <x:c r="D431" s="7" t="str">
        <x:v>7th</x:v>
      </x:c>
      <x:c r="E431" s="7" t="str">
        <x:v>Neon</x:v>
      </x:c>
      <x:c r="F431" s="7" t="n">
        <x:v>11</x:v>
      </x:c>
      <x:c r="G431" s="7" t="n">
        <x:v>13</x:v>
      </x:c>
      <x:c r="H431" s="7" t="str">
        <x:f>IF(F431&gt;G431,"Win",IF(F431&lt;G431,"Loss","Draw"))</x:f>
        <x:v>Loss</x:v>
      </x:c>
      <x:c r="I431" s="7" t="n">
        <x:f>IF(H431="Win",1,0)</x:f>
        <x:v>0</x:v>
      </x:c>
      <x:c r="J431" s="7" t="n">
        <x:f>F431-G431</x:f>
        <x:v>-2</x:v>
      </x:c>
      <x:c r="K431" s="7" t="n">
        <x:f>F431+G431</x:f>
        <x:v>24</x:v>
      </x:c>
      <x:c r="L431" s="7" t="n">
        <x:v>16</x:v>
      </x:c>
      <x:c r="M431" s="7" t="n">
        <x:v>18</x:v>
      </x:c>
      <x:c r="N431" s="7" t="n">
        <x:v>3</x:v>
      </x:c>
      <x:c r="O431" s="9" t="n">
        <x:f>IF(M431=0,"n.a.",L431/M431)</x:f>
        <x:v>0.8888888888888888</x:v>
      </x:c>
      <x:c r="P431" s="9" t="n">
        <x:f>IF(K431=0,"n.a.",L431/K431)</x:f>
        <x:v>0.6666666666666666</x:v>
      </x:c>
      <x:c r="Q431" s="9" t="n">
        <x:f>IF(K431=0,"n.a.",M431/K431)</x:f>
        <x:v>0.75</x:v>
      </x:c>
      <x:c r="R431" s="9" t="n">
        <x:f>IF(K431=0,"n.a.",N431/K431)</x:f>
        <x:v>0.125</x:v>
      </x:c>
      <x:c r="S431" s="7" t="n">
        <x:v>-31</x:v>
      </x:c>
      <x:c r="T431" s="10" t="n">
        <x:v>0.19</x:v>
      </x:c>
      <x:c r="U431" s="7" t="n">
        <x:v>180</x:v>
      </x:c>
      <x:c r="V431" s="7" t="n">
        <x:v>384</x:v>
      </x:c>
    </x:row>
    <x:row r="432" ht="16" customHeight="1">
      <x:c r="A432" s="7" t="n">
        <x:v>429</x:v>
      </x:c>
      <x:c r="B432" s="8" t="n">
        <x:v>46037</x:v>
      </x:c>
      <x:c r="C432" s="7" t="str">
        <x:v>Split</x:v>
      </x:c>
      <x:c r="D432" s="7" t="str">
        <x:v>8th</x:v>
      </x:c>
      <x:c r="E432" s="7" t="str">
        <x:v>Neon</x:v>
      </x:c>
      <x:c r="F432" s="7" t="n">
        <x:v>3</x:v>
      </x:c>
      <x:c r="G432" s="7" t="n">
        <x:v>13</x:v>
      </x:c>
      <x:c r="H432" s="7" t="str">
        <x:f>IF(F432&gt;G432,"Win",IF(F432&lt;G432,"Loss","Draw"))</x:f>
        <x:v>Loss</x:v>
      </x:c>
      <x:c r="I432" s="7" t="n">
        <x:f>IF(H432="Win",1,0)</x:f>
        <x:v>0</x:v>
      </x:c>
      <x:c r="J432" s="7" t="n">
        <x:f>F432-G432</x:f>
        <x:v>-10</x:v>
      </x:c>
      <x:c r="K432" s="7" t="n">
        <x:f>F432+G432</x:f>
        <x:v>16</x:v>
      </x:c>
      <x:c r="L432" s="7" t="n">
        <x:v>11</x:v>
      </x:c>
      <x:c r="M432" s="7" t="n">
        <x:v>14</x:v>
      </x:c>
      <x:c r="N432" s="7" t="n">
        <x:v>0</x:v>
      </x:c>
      <x:c r="O432" s="9" t="n">
        <x:f>IF(M432=0,"n.a.",L432/M432)</x:f>
        <x:v>0.7857142857142857</x:v>
      </x:c>
      <x:c r="P432" s="9" t="n">
        <x:f>IF(K432=0,"n.a.",L432/K432)</x:f>
        <x:v>0.6875</x:v>
      </x:c>
      <x:c r="Q432" s="9" t="n">
        <x:f>IF(K432=0,"n.a.",M432/K432)</x:f>
        <x:v>0.875</x:v>
      </x:c>
      <x:c r="R432" s="9" t="n">
        <x:f>IF(K432=0,"n.a.",N432/K432)</x:f>
        <x:v>0</x:v>
      </x:c>
      <x:c r="S432" s="7" t="n">
        <x:v>-54</x:v>
      </x:c>
      <x:c r="T432" s="10" t="n">
        <x:v>0.43</x:v>
      </x:c>
      <x:c r="U432" s="7" t="n">
        <x:v>176</x:v>
      </x:c>
      <x:c r="V432" s="7" t="n">
        <x:v>165</x:v>
      </x:c>
    </x:row>
    <x:row r="433" ht="16" customHeight="1">
      <x:c r="A433" s="7" t="n">
        <x:v>430</x:v>
      </x:c>
      <x:c r="B433" s="8" t="n">
        <x:v>46037</x:v>
      </x:c>
      <x:c r="C433" s="7" t="str">
        <x:v>Breeze</x:v>
      </x:c>
      <x:c r="D433" s="7" t="str">
        <x:v>2nd</x:v>
      </x:c>
      <x:c r="E433" s="7" t="str">
        <x:v>Neon</x:v>
      </x:c>
      <x:c r="F433" s="7" t="n">
        <x:v>13</x:v>
      </x:c>
      <x:c r="G433" s="7" t="n">
        <x:v>6</x:v>
      </x:c>
      <x:c r="H433" s="7" t="str">
        <x:f>IF(F433&gt;G433,"Win",IF(F433&lt;G433,"Loss","Draw"))</x:f>
        <x:v>Win</x:v>
      </x:c>
      <x:c r="I433" s="7" t="n">
        <x:f>IF(H433="Win",1,0)</x:f>
        <x:v>1</x:v>
      </x:c>
      <x:c r="J433" s="7" t="n">
        <x:f>F433-G433</x:f>
        <x:v>7</x:v>
      </x:c>
      <x:c r="K433" s="7" t="n">
        <x:f>F433+G433</x:f>
        <x:v>19</x:v>
      </x:c>
      <x:c r="L433" s="7" t="n">
        <x:v>23</x:v>
      </x:c>
      <x:c r="M433" s="7" t="n">
        <x:v>10</x:v>
      </x:c>
      <x:c r="N433" s="7" t="n">
        <x:v>0</x:v>
      </x:c>
      <x:c r="O433" s="9" t="n">
        <x:f>IF(M433=0,"n.a.",L433/M433)</x:f>
        <x:v>2.3</x:v>
      </x:c>
      <x:c r="P433" s="9" t="n">
        <x:f>IF(K433=0,"n.a.",L433/K433)</x:f>
        <x:v>1.2105263157894737</x:v>
      </x:c>
      <x:c r="Q433" s="9" t="n">
        <x:f>IF(K433=0,"n.a.",M433/K433)</x:f>
        <x:v>0.5263157894736842</x:v>
      </x:c>
      <x:c r="R433" s="9" t="n">
        <x:f>IF(K433=0,"n.a.",N433/K433)</x:f>
        <x:v>0</x:v>
      </x:c>
      <x:c r="S433" s="7" t="n">
        <x:v>48</x:v>
      </x:c>
      <x:c r="T433" s="10" t="n">
        <x:v>0.41</x:v>
      </x:c>
      <x:c r="U433" s="7" t="n">
        <x:v>325</x:v>
      </x:c>
      <x:c r="V433" s="7" t="n">
        <x:v>834</x:v>
      </x:c>
    </x:row>
    <x:row r="434" ht="16" customHeight="1">
      <x:c r="A434" s="7" t="n">
        <x:v>431</x:v>
      </x:c>
      <x:c r="B434" s="8" t="n">
        <x:v>46038</x:v>
      </x:c>
      <x:c r="C434" s="7" t="str">
        <x:v>Pearl</x:v>
      </x:c>
      <x:c r="D434" s="7" t="str">
        <x:v>6th</x:v>
      </x:c>
      <x:c r="E434" s="7" t="str">
        <x:v>Neon</x:v>
      </x:c>
      <x:c r="F434" s="7" t="n">
        <x:v>10</x:v>
      </x:c>
      <x:c r="G434" s="7" t="n">
        <x:v>13</x:v>
      </x:c>
      <x:c r="H434" s="7" t="str">
        <x:f>IF(F434&gt;G434,"Win",IF(F434&lt;G434,"Loss","Draw"))</x:f>
        <x:v>Loss</x:v>
      </x:c>
      <x:c r="I434" s="7" t="n">
        <x:f>IF(H434="Win",1,0)</x:f>
        <x:v>0</x:v>
      </x:c>
      <x:c r="J434" s="7" t="n">
        <x:f>F434-G434</x:f>
        <x:v>-3</x:v>
      </x:c>
      <x:c r="K434" s="7" t="n">
        <x:f>F434+G434</x:f>
        <x:v>23</x:v>
      </x:c>
      <x:c r="L434" s="7" t="n">
        <x:v>15</x:v>
      </x:c>
      <x:c r="M434" s="7" t="n">
        <x:v>19</x:v>
      </x:c>
      <x:c r="N434" s="7" t="n">
        <x:v>2</x:v>
      </x:c>
      <x:c r="O434" s="9" t="n">
        <x:f>IF(M434=0,"n.a.",L434/M434)</x:f>
        <x:v>0.7894736842105263</x:v>
      </x:c>
      <x:c r="P434" s="9" t="n">
        <x:f>IF(K434=0,"n.a.",L434/K434)</x:f>
        <x:v>0.6521739130434783</x:v>
      </x:c>
      <x:c r="Q434" s="9" t="n">
        <x:f>IF(K434=0,"n.a.",M434/K434)</x:f>
        <x:v>0.8260869565217391</x:v>
      </x:c>
      <x:c r="R434" s="9" t="n">
        <x:f>IF(K434=0,"n.a.",N434/K434)</x:f>
        <x:v>0.08695652173913043</x:v>
      </x:c>
      <x:c r="S434" s="7" t="n">
        <x:v>-9</x:v>
      </x:c>
      <x:c r="T434" s="10" t="n">
        <x:v>0.33</x:v>
      </x:c>
      <x:c r="U434" s="7" t="n">
        <x:v>185</x:v>
      </x:c>
      <x:c r="V434" s="7" t="n">
        <x:v>362</x:v>
      </x:c>
    </x:row>
    <x:row r="435" ht="16" customHeight="1">
      <x:c r="A435" s="7" t="n">
        <x:v>432</x:v>
      </x:c>
      <x:c r="B435" s="8" t="n">
        <x:v>46039</x:v>
      </x:c>
      <x:c r="C435" s="7" t="str">
        <x:v>Breeze</x:v>
      </x:c>
      <x:c r="D435" s="7" t="str">
        <x:v>MVP</x:v>
      </x:c>
      <x:c r="E435" s="7" t="str">
        <x:v>Neon</x:v>
      </x:c>
      <x:c r="F435" s="7" t="n">
        <x:v>13</x:v>
      </x:c>
      <x:c r="G435" s="7" t="n">
        <x:v>9</x:v>
      </x:c>
      <x:c r="H435" s="7" t="str">
        <x:f>IF(F435&gt;G435,"Win",IF(F435&lt;G435,"Loss","Draw"))</x:f>
        <x:v>Win</x:v>
      </x:c>
      <x:c r="I435" s="7" t="n">
        <x:f>IF(H435="Win",1,0)</x:f>
        <x:v>1</x:v>
      </x:c>
      <x:c r="J435" s="7" t="n">
        <x:f>F435-G435</x:f>
        <x:v>4</x:v>
      </x:c>
      <x:c r="K435" s="7" t="n">
        <x:f>F435+G435</x:f>
        <x:v>22</x:v>
      </x:c>
      <x:c r="L435" s="7" t="n">
        <x:v>22</x:v>
      </x:c>
      <x:c r="M435" s="7" t="n">
        <x:v>15</x:v>
      </x:c>
      <x:c r="N435" s="7" t="n">
        <x:v>1</x:v>
      </x:c>
      <x:c r="O435" s="9" t="n">
        <x:f>IF(M435=0,"n.a.",L435/M435)</x:f>
        <x:v>1.4666666666666666</x:v>
      </x:c>
      <x:c r="P435" s="9" t="n">
        <x:f>IF(K435=0,"n.a.",L435/K435)</x:f>
        <x:v>1</x:v>
      </x:c>
      <x:c r="Q435" s="9" t="n">
        <x:f>IF(K435=0,"n.a.",M435/K435)</x:f>
        <x:v>0.6818181818181818</x:v>
      </x:c>
      <x:c r="R435" s="9" t="n">
        <x:f>IF(K435=0,"n.a.",N435/K435)</x:f>
        <x:v>0.045454545454545456</x:v>
      </x:c>
      <x:c r="S435" s="7" t="n">
        <x:v>59</x:v>
      </x:c>
      <x:c r="T435" s="10" t="n">
        <x:v>0.31</x:v>
      </x:c>
      <x:c r="U435" s="7" t="n">
        <x:v>280</x:v>
      </x:c>
      <x:c r="V435" s="7" t="n">
        <x:v>723</x:v>
      </x:c>
    </x:row>
    <x:row r="436" ht="16" customHeight="1">
      <x:c r="A436" s="7" t="n">
        <x:v>433</x:v>
      </x:c>
      <x:c r="B436" s="8" t="n">
        <x:v>46039</x:v>
      </x:c>
      <x:c r="C436" s="7" t="str">
        <x:v>Bind</x:v>
      </x:c>
      <x:c r="D436" s="7" t="str">
        <x:v>MVP</x:v>
      </x:c>
      <x:c r="E436" s="7" t="str">
        <x:v>Neon</x:v>
      </x:c>
      <x:c r="F436" s="7" t="n">
        <x:v>13</x:v>
      </x:c>
      <x:c r="G436" s="7" t="n">
        <x:v>5</x:v>
      </x:c>
      <x:c r="H436" s="7" t="str">
        <x:f>IF(F436&gt;G436,"Win",IF(F436&lt;G436,"Loss","Draw"))</x:f>
        <x:v>Win</x:v>
      </x:c>
      <x:c r="I436" s="7" t="n">
        <x:f>IF(H436="Win",1,0)</x:f>
        <x:v>1</x:v>
      </x:c>
      <x:c r="J436" s="7" t="n">
        <x:f>F436-G436</x:f>
        <x:v>8</x:v>
      </x:c>
      <x:c r="K436" s="7" t="n">
        <x:f>F436+G436</x:f>
        <x:v>18</x:v>
      </x:c>
      <x:c r="L436" s="7" t="n">
        <x:v>22</x:v>
      </x:c>
      <x:c r="M436" s="7" t="n">
        <x:v>13</x:v>
      </x:c>
      <x:c r="N436" s="7" t="n">
        <x:v>5</x:v>
      </x:c>
      <x:c r="O436" s="9" t="n">
        <x:f>IF(M436=0,"n.a.",L436/M436)</x:f>
        <x:v>1.6923076923076923</x:v>
      </x:c>
      <x:c r="P436" s="9" t="n">
        <x:f>IF(K436=0,"n.a.",L436/K436)</x:f>
        <x:v>1.2222222222222223</x:v>
      </x:c>
      <x:c r="Q436" s="9" t="n">
        <x:f>IF(K436=0,"n.a.",M436/K436)</x:f>
        <x:v>0.7222222222222222</x:v>
      </x:c>
      <x:c r="R436" s="9" t="n">
        <x:f>IF(K436=0,"n.a.",N436/K436)</x:f>
        <x:v>0.2777777777777778</x:v>
      </x:c>
      <x:c r="S436" s="7" t="n">
        <x:v>68</x:v>
      </x:c>
      <x:c r="T436" s="10" t="n">
        <x:v>0.32</x:v>
      </x:c>
      <x:c r="U436" s="7" t="n">
        <x:v>342</x:v>
      </x:c>
      <x:c r="V436" s="7" t="n">
        <x:v>974</x:v>
      </x:c>
    </x:row>
    <x:row r="437" ht="16" customHeight="1">
      <x:c r="A437" s="7" t="n">
        <x:v>434</x:v>
      </x:c>
      <x:c r="B437" s="8" t="n">
        <x:v>46039</x:v>
      </x:c>
      <x:c r="C437" s="7" t="str">
        <x:v>Abyss</x:v>
      </x:c>
      <x:c r="D437" s="7" t="str">
        <x:v>MVP</x:v>
      </x:c>
      <x:c r="E437" s="7" t="str">
        <x:v>Neon</x:v>
      </x:c>
      <x:c r="F437" s="7" t="n">
        <x:v>13</x:v>
      </x:c>
      <x:c r="G437" s="7" t="n">
        <x:v>2</x:v>
      </x:c>
      <x:c r="H437" s="7" t="str">
        <x:f>IF(F437&gt;G437,"Win",IF(F437&lt;G437,"Loss","Draw"))</x:f>
        <x:v>Win</x:v>
      </x:c>
      <x:c r="I437" s="7" t="n">
        <x:f>IF(H437="Win",1,0)</x:f>
        <x:v>1</x:v>
      </x:c>
      <x:c r="J437" s="7" t="n">
        <x:f>F437-G437</x:f>
        <x:v>11</x:v>
      </x:c>
      <x:c r="K437" s="7" t="n">
        <x:f>F437+G437</x:f>
        <x:v>15</x:v>
      </x:c>
      <x:c r="L437" s="7" t="n">
        <x:v>17</x:v>
      </x:c>
      <x:c r="M437" s="7" t="n">
        <x:v>10</x:v>
      </x:c>
      <x:c r="N437" s="7" t="n">
        <x:v>1</x:v>
      </x:c>
      <x:c r="O437" s="9" t="n">
        <x:f>IF(M437=0,"n.a.",L437/M437)</x:f>
        <x:v>1.7</x:v>
      </x:c>
      <x:c r="P437" s="9" t="n">
        <x:f>IF(K437=0,"n.a.",L437/K437)</x:f>
        <x:v>1.1333333333333333</x:v>
      </x:c>
      <x:c r="Q437" s="9" t="n">
        <x:f>IF(K437=0,"n.a.",M437/K437)</x:f>
        <x:v>0.6666666666666666</x:v>
      </x:c>
      <x:c r="R437" s="9" t="n">
        <x:f>IF(K437=0,"n.a.",N437/K437)</x:f>
        <x:v>0.06666666666666667</x:v>
      </x:c>
      <x:c r="S437" s="7" t="n">
        <x:v>92</x:v>
      </x:c>
      <x:c r="T437" s="10" t="n">
        <x:v>0.24</x:v>
      </x:c>
      <x:c r="U437" s="7" t="n">
        <x:v>339</x:v>
      </x:c>
      <x:c r="V437" s="7" t="n">
        <x:v>862</x:v>
      </x:c>
    </x:row>
    <x:row r="438" ht="16" customHeight="1">
      <x:c r="A438" s="7" t="n">
        <x:v>435</x:v>
      </x:c>
      <x:c r="B438" s="8" t="n">
        <x:v>46039</x:v>
      </x:c>
      <x:c r="C438" s="7" t="str">
        <x:v>Haven</x:v>
      </x:c>
      <x:c r="D438" s="7" t="str">
        <x:v>7th</x:v>
      </x:c>
      <x:c r="E438" s="7" t="str">
        <x:v>Neon</x:v>
      </x:c>
      <x:c r="F438" s="7" t="n">
        <x:v>13</x:v>
      </x:c>
      <x:c r="G438" s="7" t="n">
        <x:v>5</x:v>
      </x:c>
      <x:c r="H438" s="7" t="str">
        <x:f>IF(F438&gt;G438,"Win",IF(F438&lt;G438,"Loss","Draw"))</x:f>
        <x:v>Win</x:v>
      </x:c>
      <x:c r="I438" s="7" t="n">
        <x:f>IF(H438="Win",1,0)</x:f>
        <x:v>1</x:v>
      </x:c>
      <x:c r="J438" s="7" t="n">
        <x:f>F438-G438</x:f>
        <x:v>8</x:v>
      </x:c>
      <x:c r="K438" s="7" t="n">
        <x:f>F438+G438</x:f>
        <x:v>18</x:v>
      </x:c>
      <x:c r="L438" s="7" t="n">
        <x:v>14</x:v>
      </x:c>
      <x:c r="M438" s="7" t="n">
        <x:v>16</x:v>
      </x:c>
      <x:c r="N438" s="7" t="n">
        <x:v>3</x:v>
      </x:c>
      <x:c r="O438" s="9" t="n">
        <x:f>IF(M438=0,"n.a.",L438/M438)</x:f>
        <x:v>0.875</x:v>
      </x:c>
      <x:c r="P438" s="9" t="n">
        <x:f>IF(K438=0,"n.a.",L438/K438)</x:f>
        <x:v>0.7777777777777778</x:v>
      </x:c>
      <x:c r="Q438" s="9" t="n">
        <x:f>IF(K438=0,"n.a.",M438/K438)</x:f>
        <x:v>0.8888888888888888</x:v>
      </x:c>
      <x:c r="R438" s="9" t="n">
        <x:f>IF(K438=0,"n.a.",N438/K438)</x:f>
        <x:v>0.16666666666666666</x:v>
      </x:c>
      <x:c r="S438" s="7" t="n">
        <x:v>-6</x:v>
      </x:c>
      <x:c r="T438" s="10" t="n">
        <x:v>0.37</x:v>
      </x:c>
      <x:c r="U438" s="7" t="n">
        <x:v>209</x:v>
      </x:c>
      <x:c r="V438" s="7" t="n">
        <x:v>702</x:v>
      </x:c>
    </x:row>
    <x:row r="439" ht="16" customHeight="1">
      <x:c r="A439" s="7" t="n">
        <x:v>436</x:v>
      </x:c>
      <x:c r="B439" s="8" t="n">
        <x:v>46039</x:v>
      </x:c>
      <x:c r="C439" s="7" t="str">
        <x:v>Abyss</x:v>
      </x:c>
      <x:c r="D439" s="7" t="str">
        <x:v>3rd</x:v>
      </x:c>
      <x:c r="E439" s="7" t="str">
        <x:v>Neon</x:v>
      </x:c>
      <x:c r="F439" s="7" t="n">
        <x:v>13</x:v>
      </x:c>
      <x:c r="G439" s="7" t="n">
        <x:v>9</x:v>
      </x:c>
      <x:c r="H439" s="7" t="str">
        <x:f>IF(F439&gt;G439,"Win",IF(F439&lt;G439,"Loss","Draw"))</x:f>
        <x:v>Win</x:v>
      </x:c>
      <x:c r="I439" s="7" t="n">
        <x:f>IF(H439="Win",1,0)</x:f>
        <x:v>1</x:v>
      </x:c>
      <x:c r="J439" s="7" t="n">
        <x:f>F439-G439</x:f>
        <x:v>4</x:v>
      </x:c>
      <x:c r="K439" s="7" t="n">
        <x:f>F439+G439</x:f>
        <x:v>22</x:v>
      </x:c>
      <x:c r="L439" s="7" t="n">
        <x:v>21</x:v>
      </x:c>
      <x:c r="M439" s="7" t="n">
        <x:v>15</x:v>
      </x:c>
      <x:c r="N439" s="7" t="n">
        <x:v>1</x:v>
      </x:c>
      <x:c r="O439" s="9" t="n">
        <x:f>IF(M439=0,"n.a.",L439/M439)</x:f>
        <x:v>1.4</x:v>
      </x:c>
      <x:c r="P439" s="9" t="n">
        <x:f>IF(K439=0,"n.a.",L439/K439)</x:f>
        <x:v>0.9545454545454546</x:v>
      </x:c>
      <x:c r="Q439" s="9" t="n">
        <x:f>IF(K439=0,"n.a.",M439/K439)</x:f>
        <x:v>0.6818181818181818</x:v>
      </x:c>
      <x:c r="R439" s="9" t="n">
        <x:f>IF(K439=0,"n.a.",N439/K439)</x:f>
        <x:v>0.045454545454545456</x:v>
      </x:c>
      <x:c r="S439" s="7" t="n">
        <x:v>36</x:v>
      </x:c>
      <x:c r="T439" s="10" t="n">
        <x:v>0.19</x:v>
      </x:c>
      <x:c r="U439" s="7" t="n">
        <x:v>270</x:v>
      </x:c>
      <x:c r="V439" s="7" t="n">
        <x:v>724</x:v>
      </x:c>
    </x:row>
    <x:row r="440" ht="16" customHeight="1">
      <x:c r="A440" s="7" t="n">
        <x:v>437</x:v>
      </x:c>
      <x:c r="B440" s="8" t="n">
        <x:v>46039</x:v>
      </x:c>
      <x:c r="C440" s="7" t="str">
        <x:v>Bind</x:v>
      </x:c>
      <x:c r="D440" s="7" t="str">
        <x:v>3rd</x:v>
      </x:c>
      <x:c r="E440" s="7" t="str">
        <x:v>Neon</x:v>
      </x:c>
      <x:c r="F440" s="7" t="n">
        <x:v>13</x:v>
      </x:c>
      <x:c r="G440" s="7" t="n">
        <x:v>11</x:v>
      </x:c>
      <x:c r="H440" s="7" t="str">
        <x:f>IF(F440&gt;G440,"Win",IF(F440&lt;G440,"Loss","Draw"))</x:f>
        <x:v>Win</x:v>
      </x:c>
      <x:c r="I440" s="7" t="n">
        <x:f>IF(H440="Win",1,0)</x:f>
        <x:v>1</x:v>
      </x:c>
      <x:c r="J440" s="7" t="n">
        <x:f>F440-G440</x:f>
        <x:v>2</x:v>
      </x:c>
      <x:c r="K440" s="7" t="n">
        <x:f>F440+G440</x:f>
        <x:v>24</x:v>
      </x:c>
      <x:c r="L440" s="7" t="n">
        <x:v>24</x:v>
      </x:c>
      <x:c r="M440" s="7" t="n">
        <x:v>19</x:v>
      </x:c>
      <x:c r="N440" s="7" t="n">
        <x:v>3</x:v>
      </x:c>
      <x:c r="O440" s="9" t="n">
        <x:f>IF(M440=0,"n.a.",L440/M440)</x:f>
        <x:v>1.263157894736842</x:v>
      </x:c>
      <x:c r="P440" s="9" t="n">
        <x:f>IF(K440=0,"n.a.",L440/K440)</x:f>
        <x:v>1</x:v>
      </x:c>
      <x:c r="Q440" s="9" t="n">
        <x:f>IF(K440=0,"n.a.",M440/K440)</x:f>
        <x:v>0.7916666666666666</x:v>
      </x:c>
      <x:c r="R440" s="9" t="n">
        <x:f>IF(K440=0,"n.a.",N440/K440)</x:f>
        <x:v>0.125</x:v>
      </x:c>
      <x:c r="S440" s="7" t="n">
        <x:v>16</x:v>
      </x:c>
      <x:c r="T440" s="10" t="n">
        <x:v>0.35</x:v>
      </x:c>
      <x:c r="U440" s="7" t="n">
        <x:v>262</x:v>
      </x:c>
      <x:c r="V440" s="7" t="n">
        <x:v>717</x:v>
      </x:c>
    </x:row>
    <x:row r="441" ht="16" customHeight="1">
      <x:c r="A441" s="7" t="n">
        <x:v>438</x:v>
      </x:c>
      <x:c r="B441" s="8" t="n">
        <x:v>46039</x:v>
      </x:c>
      <x:c r="C441" s="7" t="str">
        <x:v>Breeze</x:v>
      </x:c>
      <x:c r="D441" s="7" t="str">
        <x:v>3rd</x:v>
      </x:c>
      <x:c r="E441" s="7" t="str">
        <x:v>Neon</x:v>
      </x:c>
      <x:c r="F441" s="7" t="n">
        <x:v>15</x:v>
      </x:c>
      <x:c r="G441" s="7" t="n">
        <x:v>13</x:v>
      </x:c>
      <x:c r="H441" s="7" t="str">
        <x:f>IF(F441&gt;G441,"Win",IF(F441&lt;G441,"Loss","Draw"))</x:f>
        <x:v>Win</x:v>
      </x:c>
      <x:c r="I441" s="7" t="n">
        <x:f>IF(H441="Win",1,0)</x:f>
        <x:v>1</x:v>
      </x:c>
      <x:c r="J441" s="7" t="n">
        <x:f>F441-G441</x:f>
        <x:v>2</x:v>
      </x:c>
      <x:c r="K441" s="7" t="n">
        <x:f>F441+G441</x:f>
        <x:v>28</x:v>
      </x:c>
      <x:c r="L441" s="7" t="n">
        <x:v>28</x:v>
      </x:c>
      <x:c r="M441" s="7" t="n">
        <x:v>20</x:v>
      </x:c>
      <x:c r="N441" s="7" t="n">
        <x:v>3</x:v>
      </x:c>
      <x:c r="O441" s="9" t="n">
        <x:f>IF(M441=0,"n.a.",L441/M441)</x:f>
        <x:v>1.4</x:v>
      </x:c>
      <x:c r="P441" s="9" t="n">
        <x:f>IF(K441=0,"n.a.",L441/K441)</x:f>
        <x:v>1</x:v>
      </x:c>
      <x:c r="Q441" s="9" t="n">
        <x:f>IF(K441=0,"n.a.",M441/K441)</x:f>
        <x:v>0.7142857142857143</x:v>
      </x:c>
      <x:c r="R441" s="9" t="n">
        <x:f>IF(K441=0,"n.a.",N441/K441)</x:f>
        <x:v>0.10714285714285714</x:v>
      </x:c>
      <x:c r="S441" s="7" t="n">
        <x:v>29</x:v>
      </x:c>
      <x:c r="T441" s="10" t="n">
        <x:v>0.29</x:v>
      </x:c>
      <x:c r="U441" s="7" t="n">
        <x:v>275</x:v>
      </x:c>
      <x:c r="V441" s="7" t="n">
        <x:v>686</x:v>
      </x:c>
    </x:row>
    <x:row r="442" ht="16" customHeight="1">
      <x:c r="A442" s="7" t="n">
        <x:v>439</x:v>
      </x:c>
      <x:c r="B442" s="8" t="n">
        <x:v>46039</x:v>
      </x:c>
      <x:c r="C442" s="7" t="str">
        <x:v>Corrode</x:v>
      </x:c>
      <x:c r="D442" s="7" t="str">
        <x:v>MVP</x:v>
      </x:c>
      <x:c r="E442" s="7" t="str">
        <x:v>Neon</x:v>
      </x:c>
      <x:c r="F442" s="7" t="n">
        <x:v>14</x:v>
      </x:c>
      <x:c r="G442" s="7" t="n">
        <x:v>12</x:v>
      </x:c>
      <x:c r="H442" s="7" t="str">
        <x:f>IF(F442&gt;G442,"Win",IF(F442&lt;G442,"Loss","Draw"))</x:f>
        <x:v>Win</x:v>
      </x:c>
      <x:c r="I442" s="7" t="n">
        <x:f>IF(H442="Win",1,0)</x:f>
        <x:v>1</x:v>
      </x:c>
      <x:c r="J442" s="7" t="n">
        <x:f>F442-G442</x:f>
        <x:v>2</x:v>
      </x:c>
      <x:c r="K442" s="7" t="n">
        <x:f>F442+G442</x:f>
        <x:v>26</x:v>
      </x:c>
      <x:c r="L442" s="7" t="n">
        <x:v>31</x:v>
      </x:c>
      <x:c r="M442" s="7" t="n">
        <x:v>19</x:v>
      </x:c>
      <x:c r="N442" s="7" t="n">
        <x:v>3</x:v>
      </x:c>
      <x:c r="O442" s="9" t="n">
        <x:f>IF(M442=0,"n.a.",L442/M442)</x:f>
        <x:v>1.631578947368421</x:v>
      </x:c>
      <x:c r="P442" s="9" t="n">
        <x:f>IF(K442=0,"n.a.",L442/K442)</x:f>
        <x:v>1.1923076923076923</x:v>
      </x:c>
      <x:c r="Q442" s="9" t="n">
        <x:f>IF(K442=0,"n.a.",M442/K442)</x:f>
        <x:v>0.7307692307692307</x:v>
      </x:c>
      <x:c r="R442" s="9" t="n">
        <x:f>IF(K442=0,"n.a.",N442/K442)</x:f>
        <x:v>0.11538461538461539</x:v>
      </x:c>
      <x:c r="S442" s="7" t="n">
        <x:v>56</x:v>
      </x:c>
      <x:c r="T442" s="10" t="n">
        <x:v>0.27</x:v>
      </x:c>
      <x:c r="U442" s="7" t="n">
        <x:v>333</x:v>
      </x:c>
      <x:c r="V442" s="7" t="n">
        <x:v>850</x:v>
      </x:c>
    </x:row>
    <x:row r="443" ht="16" customHeight="1">
      <x:c r="A443" s="7" t="n">
        <x:v>440</x:v>
      </x:c>
      <x:c r="B443" s="8" t="n">
        <x:v>46040</x:v>
      </x:c>
      <x:c r="C443" s="7" t="str">
        <x:v>Bind</x:v>
      </x:c>
      <x:c r="D443" s="7" t="str">
        <x:v>2nd</x:v>
      </x:c>
      <x:c r="E443" s="7" t="str">
        <x:v>Neon</x:v>
      </x:c>
      <x:c r="F443" s="7" t="n">
        <x:v>10</x:v>
      </x:c>
      <x:c r="G443" s="7" t="n">
        <x:v>13</x:v>
      </x:c>
      <x:c r="H443" s="7" t="str">
        <x:f>IF(F443&gt;G443,"Win",IF(F443&lt;G443,"Loss","Draw"))</x:f>
        <x:v>Loss</x:v>
      </x:c>
      <x:c r="I443" s="7" t="n">
        <x:f>IF(H443="Win",1,0)</x:f>
        <x:v>0</x:v>
      </x:c>
      <x:c r="J443" s="7" t="n">
        <x:f>F443-G443</x:f>
        <x:v>-3</x:v>
      </x:c>
      <x:c r="K443" s="7" t="n">
        <x:f>F443+G443</x:f>
        <x:v>23</x:v>
      </x:c>
      <x:c r="L443" s="7" t="n">
        <x:v>26</x:v>
      </x:c>
      <x:c r="M443" s="7" t="n">
        <x:v>19</x:v>
      </x:c>
      <x:c r="N443" s="7" t="n">
        <x:v>6</x:v>
      </x:c>
      <x:c r="O443" s="9" t="n">
        <x:f>IF(M443=0,"n.a.",L443/M443)</x:f>
        <x:v>1.368421052631579</x:v>
      </x:c>
      <x:c r="P443" s="9" t="n">
        <x:f>IF(K443=0,"n.a.",L443/K443)</x:f>
        <x:v>1.1304347826086956</x:v>
      </x:c>
      <x:c r="Q443" s="9" t="n">
        <x:f>IF(K443=0,"n.a.",M443/K443)</x:f>
        <x:v>0.8260869565217391</x:v>
      </x:c>
      <x:c r="R443" s="9" t="n">
        <x:f>IF(K443=0,"n.a.",N443/K443)</x:f>
        <x:v>0.2608695652173913</x:v>
      </x:c>
      <x:c r="S443" s="7" t="n">
        <x:v>19</x:v>
      </x:c>
      <x:c r="T443" s="10" t="n">
        <x:v>0.31</x:v>
      </x:c>
      <x:c r="U443" s="7" t="n">
        <x:v>315</x:v>
      </x:c>
      <x:c r="V443" s="7" t="n">
        <x:v>757</x:v>
      </x:c>
    </x:row>
    <x:row r="444" ht="16" customHeight="1">
      <x:c r="A444" s="7" t="n">
        <x:v>441</x:v>
      </x:c>
      <x:c r="B444" s="8" t="n">
        <x:v>46041</x:v>
      </x:c>
      <x:c r="C444" s="7" t="str">
        <x:v>Corrode</x:v>
      </x:c>
      <x:c r="D444" s="7" t="str">
        <x:v>2nd</x:v>
      </x:c>
      <x:c r="E444" s="7" t="str">
        <x:v>Neon</x:v>
      </x:c>
      <x:c r="F444" s="7" t="n">
        <x:v>13</x:v>
      </x:c>
      <x:c r="G444" s="7" t="n">
        <x:v>10</x:v>
      </x:c>
      <x:c r="H444" s="7" t="str">
        <x:f>IF(F444&gt;G444,"Win",IF(F444&lt;G444,"Loss","Draw"))</x:f>
        <x:v>Win</x:v>
      </x:c>
      <x:c r="I444" s="7" t="n">
        <x:f>IF(H444="Win",1,0)</x:f>
        <x:v>1</x:v>
      </x:c>
      <x:c r="J444" s="7" t="n">
        <x:f>F444-G444</x:f>
        <x:v>3</x:v>
      </x:c>
      <x:c r="K444" s="7" t="n">
        <x:f>F444+G444</x:f>
        <x:v>23</x:v>
      </x:c>
      <x:c r="L444" s="7" t="n">
        <x:v>28</x:v>
      </x:c>
      <x:c r="M444" s="7" t="n">
        <x:v>17</x:v>
      </x:c>
      <x:c r="N444" s="7" t="n">
        <x:v>7</x:v>
      </x:c>
      <x:c r="O444" s="9" t="n">
        <x:f>IF(M444=0,"n.a.",L444/M444)</x:f>
        <x:v>1.6470588235294117</x:v>
      </x:c>
      <x:c r="P444" s="9" t="n">
        <x:f>IF(K444=0,"n.a.",L444/K444)</x:f>
        <x:v>1.2173913043478262</x:v>
      </x:c>
      <x:c r="Q444" s="9" t="n">
        <x:f>IF(K444=0,"n.a.",M444/K444)</x:f>
        <x:v>0.7391304347826086</x:v>
      </x:c>
      <x:c r="R444" s="9" t="n">
        <x:f>IF(K444=0,"n.a.",N444/K444)</x:f>
        <x:v>0.30434782608695654</x:v>
      </x:c>
      <x:c r="S444" s="7" t="n">
        <x:v>85</x:v>
      </x:c>
      <x:c r="T444" s="10" t="n">
        <x:v>0.29</x:v>
      </x:c>
      <x:c r="U444" s="7" t="n">
        <x:v>359</x:v>
      </x:c>
      <x:c r="V444" s="7" t="n">
        <x:v>861</x:v>
      </x:c>
    </x:row>
    <x:row r="445" ht="16" customHeight="1">
      <x:c r="A445" s="7" t="n">
        <x:v>442</x:v>
      </x:c>
      <x:c r="B445" s="8" t="n">
        <x:v>46041</x:v>
      </x:c>
      <x:c r="C445" s="7" t="str">
        <x:v>Abyss</x:v>
      </x:c>
      <x:c r="D445" s="7" t="str">
        <x:v>3rd</x:v>
      </x:c>
      <x:c r="E445" s="7" t="str">
        <x:v>Neon</x:v>
      </x:c>
      <x:c r="F445" s="7" t="n">
        <x:v>5</x:v>
      </x:c>
      <x:c r="G445" s="7" t="n">
        <x:v>13</x:v>
      </x:c>
      <x:c r="H445" s="7" t="str">
        <x:f>IF(F445&gt;G445,"Win",IF(F445&lt;G445,"Loss","Draw"))</x:f>
        <x:v>Loss</x:v>
      </x:c>
      <x:c r="I445" s="7" t="n">
        <x:f>IF(H445="Win",1,0)</x:f>
        <x:v>0</x:v>
      </x:c>
      <x:c r="J445" s="7" t="n">
        <x:f>F445-G445</x:f>
        <x:v>-8</x:v>
      </x:c>
      <x:c r="K445" s="7" t="n">
        <x:f>F445+G445</x:f>
        <x:v>18</x:v>
      </x:c>
      <x:c r="L445" s="7" t="n">
        <x:v>18</x:v>
      </x:c>
      <x:c r="M445" s="7" t="n">
        <x:v>17</x:v>
      </x:c>
      <x:c r="N445" s="7" t="n">
        <x:v>3</x:v>
      </x:c>
      <x:c r="O445" s="9" t="n">
        <x:f>IF(M445=0,"n.a.",L445/M445)</x:f>
        <x:v>1.0588235294117647</x:v>
      </x:c>
      <x:c r="P445" s="9" t="n">
        <x:f>IF(K445=0,"n.a.",L445/K445)</x:f>
        <x:v>1</x:v>
      </x:c>
      <x:c r="Q445" s="9" t="n">
        <x:f>IF(K445=0,"n.a.",M445/K445)</x:f>
        <x:v>0.9444444444444444</x:v>
      </x:c>
      <x:c r="R445" s="9" t="n">
        <x:f>IF(K445=0,"n.a.",N445/K445)</x:f>
        <x:v>0.16666666666666666</x:v>
      </x:c>
      <x:c r="S445" s="7" t="n">
        <x:v>20</x:v>
      </x:c>
      <x:c r="T445" s="10" t="n">
        <x:v>0.14</x:v>
      </x:c>
      <x:c r="U445" s="7" t="n">
        <x:v>292</x:v>
      </x:c>
      <x:c r="V445" s="7" t="n">
        <x:v>636</x:v>
      </x:c>
    </x:row>
    <x:row r="446" ht="16" customHeight="1">
      <x:c r="A446" s="7" t="n">
        <x:v>443</x:v>
      </x:c>
      <x:c r="B446" s="8" t="n">
        <x:v>46043</x:v>
      </x:c>
      <x:c r="C446" s="7" t="str">
        <x:v>Abyss</x:v>
      </x:c>
      <x:c r="D446" s="7" t="str">
        <x:v>8th</x:v>
      </x:c>
      <x:c r="E446" s="7" t="str">
        <x:v>Neon</x:v>
      </x:c>
      <x:c r="F446" s="7" t="n">
        <x:v>8</x:v>
      </x:c>
      <x:c r="G446" s="7" t="n">
        <x:v>13</x:v>
      </x:c>
      <x:c r="H446" s="7" t="str">
        <x:f>IF(F446&gt;G446,"Win",IF(F446&lt;G446,"Loss","Draw"))</x:f>
        <x:v>Loss</x:v>
      </x:c>
      <x:c r="I446" s="7" t="n">
        <x:f>IF(H446="Win",1,0)</x:f>
        <x:v>0</x:v>
      </x:c>
      <x:c r="J446" s="7" t="n">
        <x:f>F446-G446</x:f>
        <x:v>-5</x:v>
      </x:c>
      <x:c r="K446" s="7" t="n">
        <x:f>F446+G446</x:f>
        <x:v>21</x:v>
      </x:c>
      <x:c r="L446" s="7" t="n">
        <x:v>13</x:v>
      </x:c>
      <x:c r="M446" s="7" t="n">
        <x:v>20</x:v>
      </x:c>
      <x:c r="N446" s="7" t="n">
        <x:v>5</x:v>
      </x:c>
      <x:c r="O446" s="9" t="n">
        <x:f>IF(M446=0,"n.a.",L446/M446)</x:f>
        <x:v>0.65</x:v>
      </x:c>
      <x:c r="P446" s="9" t="n">
        <x:f>IF(K446=0,"n.a.",L446/K446)</x:f>
        <x:v>0.6190476190476191</x:v>
      </x:c>
      <x:c r="Q446" s="9" t="n">
        <x:f>IF(K446=0,"n.a.",M446/K446)</x:f>
        <x:v>0.9523809523809523</x:v>
      </x:c>
      <x:c r="R446" s="9" t="n">
        <x:f>IF(K446=0,"n.a.",N446/K446)</x:f>
        <x:v>0.23809523809523808</x:v>
      </x:c>
      <x:c r="S446" s="7" t="n">
        <x:v>-24</x:v>
      </x:c>
      <x:c r="T446" s="10" t="n">
        <x:v>0.23</x:v>
      </x:c>
      <x:c r="U446" s="7" t="n">
        <x:v>200</x:v>
      </x:c>
      <x:c r="V446" s="7" t="n">
        <x:v>393</x:v>
      </x:c>
    </x:row>
    <x:row r="447" ht="16" customHeight="1">
      <x:c r="A447" s="7" t="n">
        <x:v>444</x:v>
      </x:c>
      <x:c r="B447" s="8" t="n">
        <x:v>46043</x:v>
      </x:c>
      <x:c r="C447" s="7" t="str">
        <x:v>Corrode</x:v>
      </x:c>
      <x:c r="D447" s="7" t="str">
        <x:v>MVP</x:v>
      </x:c>
      <x:c r="E447" s="7" t="str">
        <x:v>Neon</x:v>
      </x:c>
      <x:c r="F447" s="7" t="n">
        <x:v>13</x:v>
      </x:c>
      <x:c r="G447" s="7" t="n">
        <x:v>5</x:v>
      </x:c>
      <x:c r="H447" s="7" t="str">
        <x:f>IF(F447&gt;G447,"Win",IF(F447&lt;G447,"Loss","Draw"))</x:f>
        <x:v>Win</x:v>
      </x:c>
      <x:c r="I447" s="7" t="n">
        <x:f>IF(H447="Win",1,0)</x:f>
        <x:v>1</x:v>
      </x:c>
      <x:c r="J447" s="7" t="n">
        <x:f>F447-G447</x:f>
        <x:v>8</x:v>
      </x:c>
      <x:c r="K447" s="7" t="n">
        <x:f>F447+G447</x:f>
        <x:v>18</x:v>
      </x:c>
      <x:c r="L447" s="7" t="n">
        <x:v>22</x:v>
      </x:c>
      <x:c r="M447" s="7" t="n">
        <x:v>13</x:v>
      </x:c>
      <x:c r="N447" s="7" t="n">
        <x:v>1</x:v>
      </x:c>
      <x:c r="O447" s="9" t="n">
        <x:f>IF(M447=0,"n.a.",L447/M447)</x:f>
        <x:v>1.6923076923076923</x:v>
      </x:c>
      <x:c r="P447" s="9" t="n">
        <x:f>IF(K447=0,"n.a.",L447/K447)</x:f>
        <x:v>1.2222222222222223</x:v>
      </x:c>
      <x:c r="Q447" s="9" t="n">
        <x:f>IF(K447=0,"n.a.",M447/K447)</x:f>
        <x:v>0.7222222222222222</x:v>
      </x:c>
      <x:c r="R447" s="9" t="n">
        <x:f>IF(K447=0,"n.a.",N447/K447)</x:f>
        <x:v>0.05555555555555555</x:v>
      </x:c>
      <x:c r="S447" s="7" t="n">
        <x:v>64</x:v>
      </x:c>
      <x:c r="T447" s="10" t="n">
        <x:v>0.38</x:v>
      </x:c>
      <x:c r="U447" s="7" t="n">
        <x:v>342</x:v>
      </x:c>
      <x:c r="V447" s="7" t="n">
        <x:v>937</x:v>
      </x:c>
    </x:row>
    <x:row r="448" ht="16" customHeight="1">
      <x:c r="A448" s="7" t="n">
        <x:v>445</x:v>
      </x:c>
      <x:c r="B448" s="8" t="n">
        <x:v>46044</x:v>
      </x:c>
      <x:c r="C448" s="7" t="str">
        <x:v>Haven</x:v>
      </x:c>
      <x:c r="D448" s="7" t="str">
        <x:v>5th</x:v>
      </x:c>
      <x:c r="E448" s="7" t="str">
        <x:v>Neon</x:v>
      </x:c>
      <x:c r="F448" s="7" t="n">
        <x:v>13</x:v>
      </x:c>
      <x:c r="G448" s="7" t="n">
        <x:v>10</x:v>
      </x:c>
      <x:c r="H448" s="7" t="str">
        <x:f>IF(F448&gt;G448,"Win",IF(F448&lt;G448,"Loss","Draw"))</x:f>
        <x:v>Win</x:v>
      </x:c>
      <x:c r="I448" s="7" t="n">
        <x:f>IF(H448="Win",1,0)</x:f>
        <x:v>1</x:v>
      </x:c>
      <x:c r="J448" s="7" t="n">
        <x:f>F448-G448</x:f>
        <x:v>3</x:v>
      </x:c>
      <x:c r="K448" s="7" t="n">
        <x:f>F448+G448</x:f>
        <x:v>23</x:v>
      </x:c>
      <x:c r="L448" s="7" t="n">
        <x:v>17</x:v>
      </x:c>
      <x:c r="M448" s="7" t="n">
        <x:v>18</x:v>
      </x:c>
      <x:c r="N448" s="7" t="n">
        <x:v>3</x:v>
      </x:c>
      <x:c r="O448" s="9" t="n">
        <x:f>IF(M448=0,"n.a.",L448/M448)</x:f>
        <x:v>0.9444444444444444</x:v>
      </x:c>
      <x:c r="P448" s="9" t="n">
        <x:f>IF(K448=0,"n.a.",L448/K448)</x:f>
        <x:v>0.7391304347826086</x:v>
      </x:c>
      <x:c r="Q448" s="9" t="n">
        <x:f>IF(K448=0,"n.a.",M448/K448)</x:f>
        <x:v>0.782608695652174</x:v>
      </x:c>
      <x:c r="R448" s="9" t="n">
        <x:f>IF(K448=0,"n.a.",N448/K448)</x:f>
        <x:v>0.13043478260869565</x:v>
      </x:c>
      <x:c r="S448" s="7" t="n">
        <x:v>-9</x:v>
      </x:c>
      <x:c r="T448" s="10" t="n">
        <x:v>0.22</x:v>
      </x:c>
      <x:c r="U448" s="7" t="n">
        <x:v>206</x:v>
      </x:c>
      <x:c r="V448" s="7" t="n">
        <x:v>480</x:v>
      </x:c>
    </x:row>
    <x:row r="449" ht="16" customHeight="1">
      <x:c r="A449" s="7" t="n">
        <x:v>446</x:v>
      </x:c>
      <x:c r="B449" s="8" t="n">
        <x:v>46044</x:v>
      </x:c>
      <x:c r="C449" s="7" t="str">
        <x:v>Pearl</x:v>
      </x:c>
      <x:c r="D449" s="7" t="str">
        <x:v>5th</x:v>
      </x:c>
      <x:c r="E449" s="7" t="str">
        <x:v>Neon</x:v>
      </x:c>
      <x:c r="F449" s="7" t="n">
        <x:v>15</x:v>
      </x:c>
      <x:c r="G449" s="7" t="n">
        <x:v>13</x:v>
      </x:c>
      <x:c r="H449" s="7" t="str">
        <x:f>IF(F449&gt;G449,"Win",IF(F449&lt;G449,"Loss","Draw"))</x:f>
        <x:v>Win</x:v>
      </x:c>
      <x:c r="I449" s="7" t="n">
        <x:f>IF(H449="Win",1,0)</x:f>
        <x:v>1</x:v>
      </x:c>
      <x:c r="J449" s="7" t="n">
        <x:f>F449-G449</x:f>
        <x:v>2</x:v>
      </x:c>
      <x:c r="K449" s="7" t="n">
        <x:f>F449+G449</x:f>
        <x:v>28</x:v>
      </x:c>
      <x:c r="L449" s="7" t="n">
        <x:v>21</x:v>
      </x:c>
      <x:c r="M449" s="7" t="n">
        <x:v>22</x:v>
      </x:c>
      <x:c r="N449" s="7" t="n">
        <x:v>2</x:v>
      </x:c>
      <x:c r="O449" s="9" t="n">
        <x:f>IF(M449=0,"n.a.",L449/M449)</x:f>
        <x:v>0.9545454545454546</x:v>
      </x:c>
      <x:c r="P449" s="9" t="n">
        <x:f>IF(K449=0,"n.a.",L449/K449)</x:f>
        <x:v>0.75</x:v>
      </x:c>
      <x:c r="Q449" s="9" t="n">
        <x:f>IF(K449=0,"n.a.",M449/K449)</x:f>
        <x:v>0.7857142857142857</x:v>
      </x:c>
      <x:c r="R449" s="9" t="n">
        <x:f>IF(K449=0,"n.a.",N449/K449)</x:f>
        <x:v>0.07142857142857142</x:v>
      </x:c>
      <x:c r="S449" s="7" t="n">
        <x:v>-4</x:v>
      </x:c>
      <x:c r="T449" s="10" t="n">
        <x:v>0.15</x:v>
      </x:c>
      <x:c r="U449" s="7" t="n">
        <x:v>218</x:v>
      </x:c>
      <x:c r="V449" s="7" t="n">
        <x:v>469</x:v>
      </x:c>
    </x:row>
    <x:row r="450" ht="16" customHeight="1">
      <x:c r="A450" s="7" t="n">
        <x:v>447</x:v>
      </x:c>
      <x:c r="B450" s="8" t="n">
        <x:v>46045</x:v>
      </x:c>
      <x:c r="C450" s="7" t="str">
        <x:v>Corrode</x:v>
      </x:c>
      <x:c r="D450" s="7" t="str">
        <x:v>2nd</x:v>
      </x:c>
      <x:c r="E450" s="7" t="str">
        <x:v>Neon</x:v>
      </x:c>
      <x:c r="F450" s="7" t="n">
        <x:v>15</x:v>
      </x:c>
      <x:c r="G450" s="7" t="n">
        <x:v>15</x:v>
      </x:c>
      <x:c r="H450" s="7" t="str">
        <x:f>IF(F450&gt;G450,"Win",IF(F450&lt;G450,"Loss","Draw"))</x:f>
        <x:v>Draw</x:v>
      </x:c>
      <x:c r="I450" s="7" t="n">
        <x:f>IF(H450="Win",1,0)</x:f>
        <x:v>0</x:v>
      </x:c>
      <x:c r="J450" s="7" t="n">
        <x:f>F450-G450</x:f>
        <x:v>0</x:v>
      </x:c>
      <x:c r="K450" s="7" t="n">
        <x:f>F450+G450</x:f>
        <x:v>30</x:v>
      </x:c>
      <x:c r="L450" s="7" t="n">
        <x:v>30</x:v>
      </x:c>
      <x:c r="M450" s="7" t="n">
        <x:v>22</x:v>
      </x:c>
      <x:c r="N450" s="7" t="n">
        <x:v>5</x:v>
      </x:c>
      <x:c r="O450" s="9" t="n">
        <x:f>IF(M450=0,"n.a.",L450/M450)</x:f>
        <x:v>1.3636363636363635</x:v>
      </x:c>
      <x:c r="P450" s="9" t="n">
        <x:f>IF(K450=0,"n.a.",L450/K450)</x:f>
        <x:v>1</x:v>
      </x:c>
      <x:c r="Q450" s="9" t="n">
        <x:f>IF(K450=0,"n.a.",M450/K450)</x:f>
        <x:v>0.7333333333333333</x:v>
      </x:c>
      <x:c r="R450" s="9" t="n">
        <x:f>IF(K450=0,"n.a.",N450/K450)</x:f>
        <x:v>0.16666666666666666</x:v>
      </x:c>
      <x:c r="S450" s="7" t="n">
        <x:v>20</x:v>
      </x:c>
      <x:c r="T450" s="10" t="n">
        <x:v>0.27</x:v>
      </x:c>
      <x:c r="U450" s="7" t="n">
        <x:v>265</x:v>
      </x:c>
      <x:c r="V450" s="7" t="n">
        <x:v>771</x:v>
      </x:c>
    </x:row>
    <x:row r="451" ht="16" customHeight="1">
      <x:c r="A451" s="7" t="n">
        <x:v>448</x:v>
      </x:c>
      <x:c r="B451" s="8" t="n">
        <x:v>46045</x:v>
      </x:c>
      <x:c r="C451" s="7" t="str">
        <x:v>Bind</x:v>
      </x:c>
      <x:c r="D451" s="7" t="str">
        <x:v>3rd</x:v>
      </x:c>
      <x:c r="E451" s="7" t="str">
        <x:v>Neon</x:v>
      </x:c>
      <x:c r="F451" s="7" t="n">
        <x:v>8</x:v>
      </x:c>
      <x:c r="G451" s="7" t="n">
        <x:v>13</x:v>
      </x:c>
      <x:c r="H451" s="7" t="str">
        <x:f>IF(F451&gt;G451,"Win",IF(F451&lt;G451,"Loss","Draw"))</x:f>
        <x:v>Loss</x:v>
      </x:c>
      <x:c r="I451" s="7" t="n">
        <x:f>IF(H451="Win",1,0)</x:f>
        <x:v>0</x:v>
      </x:c>
      <x:c r="J451" s="7" t="n">
        <x:f>F451-G451</x:f>
        <x:v>-5</x:v>
      </x:c>
      <x:c r="K451" s="7" t="n">
        <x:f>F451+G451</x:f>
        <x:v>21</x:v>
      </x:c>
      <x:c r="L451" s="7" t="n">
        <x:v>17</x:v>
      </x:c>
      <x:c r="M451" s="7" t="n">
        <x:v>17</x:v>
      </x:c>
      <x:c r="N451" s="7" t="n">
        <x:v>5</x:v>
      </x:c>
      <x:c r="O451" s="9" t="n">
        <x:f>IF(M451=0,"n.a.",L451/M451)</x:f>
        <x:v>1</x:v>
      </x:c>
      <x:c r="P451" s="9" t="n">
        <x:f>IF(K451=0,"n.a.",L451/K451)</x:f>
        <x:v>0.8095238095238095</x:v>
      </x:c>
      <x:c r="Q451" s="9" t="n">
        <x:f>IF(K451=0,"n.a.",M451/K451)</x:f>
        <x:v>0.8095238095238095</x:v>
      </x:c>
      <x:c r="R451" s="9" t="n">
        <x:f>IF(K451=0,"n.a.",N451/K451)</x:f>
        <x:v>0.23809523809523808</x:v>
      </x:c>
      <x:c r="S451" s="7" t="n">
        <x:v>18</x:v>
      </x:c>
      <x:c r="T451" s="10" t="n">
        <x:v>0.2</x:v>
      </x:c>
      <x:c r="U451" s="7" t="n">
        <x:v>230</x:v>
      </x:c>
      <x:c r="V451" s="7" t="n">
        <x:v>469</x:v>
      </x:c>
    </x:row>
    <x:row r="452" ht="16" customHeight="1">
      <x:c r="A452" s="7" t="n">
        <x:v>449</x:v>
      </x:c>
      <x:c r="B452" s="8" t="n">
        <x:v>46045</x:v>
      </x:c>
      <x:c r="C452" s="7" t="str">
        <x:v>Pearl</x:v>
      </x:c>
      <x:c r="D452" s="7" t="str">
        <x:v>MVP</x:v>
      </x:c>
      <x:c r="E452" s="7" t="str">
        <x:v>Neon</x:v>
      </x:c>
      <x:c r="F452" s="7" t="n">
        <x:v>13</x:v>
      </x:c>
      <x:c r="G452" s="7" t="n">
        <x:v>11</x:v>
      </x:c>
      <x:c r="H452" s="7" t="str">
        <x:f>IF(F452&gt;G452,"Win",IF(F452&lt;G452,"Loss","Draw"))</x:f>
        <x:v>Win</x:v>
      </x:c>
      <x:c r="I452" s="7" t="n">
        <x:f>IF(H452="Win",1,0)</x:f>
        <x:v>1</x:v>
      </x:c>
      <x:c r="J452" s="7" t="n">
        <x:f>F452-G452</x:f>
        <x:v>2</x:v>
      </x:c>
      <x:c r="K452" s="7" t="n">
        <x:f>F452+G452</x:f>
        <x:v>24</x:v>
      </x:c>
      <x:c r="L452" s="7" t="n">
        <x:v>29</x:v>
      </x:c>
      <x:c r="M452" s="7" t="n">
        <x:v>20</x:v>
      </x:c>
      <x:c r="N452" s="7" t="n">
        <x:v>5</x:v>
      </x:c>
      <x:c r="O452" s="9" t="n">
        <x:f>IF(M452=0,"n.a.",L452/M452)</x:f>
        <x:v>1.45</x:v>
      </x:c>
      <x:c r="P452" s="9" t="n">
        <x:f>IF(K452=0,"n.a.",L452/K452)</x:f>
        <x:v>1.2083333333333333</x:v>
      </x:c>
      <x:c r="Q452" s="9" t="n">
        <x:f>IF(K452=0,"n.a.",M452/K452)</x:f>
        <x:v>0.8333333333333334</x:v>
      </x:c>
      <x:c r="R452" s="9" t="n">
        <x:f>IF(K452=0,"n.a.",N452/K452)</x:f>
        <x:v>0.20833333333333334</x:v>
      </x:c>
      <x:c r="S452" s="7" t="n">
        <x:v>59</x:v>
      </x:c>
      <x:c r="T452" s="10" t="n">
        <x:v>0.27</x:v>
      </x:c>
      <x:c r="U452" s="7" t="n">
        <x:v>348</x:v>
      </x:c>
      <x:c r="V452" s="7" t="n">
        <x:v>906</x:v>
      </x:c>
    </x:row>
    <x:row r="453" ht="16" customHeight="1">
      <x:c r="A453" s="7" t="n">
        <x:v>450</x:v>
      </x:c>
      <x:c r="B453" s="8" t="n">
        <x:v>46045</x:v>
      </x:c>
      <x:c r="C453" s="7" t="str">
        <x:v>Haven</x:v>
      </x:c>
      <x:c r="D453" s="7" t="str">
        <x:v>MVP</x:v>
      </x:c>
      <x:c r="E453" s="7" t="str">
        <x:v>Neon</x:v>
      </x:c>
      <x:c r="F453" s="7" t="n">
        <x:v>13</x:v>
      </x:c>
      <x:c r="G453" s="7" t="n">
        <x:v>7</x:v>
      </x:c>
      <x:c r="H453" s="7" t="str">
        <x:f>IF(F453&gt;G453,"Win",IF(F453&lt;G453,"Loss","Draw"))</x:f>
        <x:v>Win</x:v>
      </x:c>
      <x:c r="I453" s="7" t="n">
        <x:f>IF(H453="Win",1,0)</x:f>
        <x:v>1</x:v>
      </x:c>
      <x:c r="J453" s="7" t="n">
        <x:f>F453-G453</x:f>
        <x:v>6</x:v>
      </x:c>
      <x:c r="K453" s="7" t="n">
        <x:f>F453+G453</x:f>
        <x:v>20</x:v>
      </x:c>
      <x:c r="L453" s="7" t="n">
        <x:v>23</x:v>
      </x:c>
      <x:c r="M453" s="7" t="n">
        <x:v>15</x:v>
      </x:c>
      <x:c r="N453" s="7" t="n">
        <x:v>3</x:v>
      </x:c>
      <x:c r="O453" s="9" t="n">
        <x:f>IF(M453=0,"n.a.",L453/M453)</x:f>
        <x:v>1.5333333333333334</x:v>
      </x:c>
      <x:c r="P453" s="9" t="n">
        <x:f>IF(K453=0,"n.a.",L453/K453)</x:f>
        <x:v>1.15</x:v>
      </x:c>
      <x:c r="Q453" s="9" t="n">
        <x:f>IF(K453=0,"n.a.",M453/K453)</x:f>
        <x:v>0.75</x:v>
      </x:c>
      <x:c r="R453" s="9" t="n">
        <x:f>IF(K453=0,"n.a.",N453/K453)</x:f>
        <x:v>0.15</x:v>
      </x:c>
      <x:c r="S453" s="7" t="n">
        <x:v>76</x:v>
      </x:c>
      <x:c r="T453" s="10" t="n">
        <x:v>0.18</x:v>
      </x:c>
      <x:c r="U453" s="7" t="n">
        <x:v>315</x:v>
      </x:c>
      <x:c r="V453" s="7" t="n">
        <x:v>977</x:v>
      </x:c>
    </x:row>
    <x:row r="454" ht="16" customHeight="1">
      <x:c r="A454" s="7" t="n">
        <x:v>451</x:v>
      </x:c>
      <x:c r="B454" s="8" t="n">
        <x:v>46046</x:v>
      </x:c>
      <x:c r="C454" s="7" t="str">
        <x:v>Abyss</x:v>
      </x:c>
      <x:c r="D454" s="7" t="str">
        <x:v>2nd</x:v>
      </x:c>
      <x:c r="E454" s="7" t="str">
        <x:v>Neon</x:v>
      </x:c>
      <x:c r="F454" s="7" t="n">
        <x:v>8</x:v>
      </x:c>
      <x:c r="G454" s="7" t="n">
        <x:v>13</x:v>
      </x:c>
      <x:c r="H454" s="7" t="str">
        <x:f>IF(F454&gt;G454,"Win",IF(F454&lt;G454,"Loss","Draw"))</x:f>
        <x:v>Loss</x:v>
      </x:c>
      <x:c r="I454" s="7" t="n">
        <x:f>IF(H454="Win",1,0)</x:f>
        <x:v>0</x:v>
      </x:c>
      <x:c r="J454" s="7" t="n">
        <x:f>F454-G454</x:f>
        <x:v>-5</x:v>
      </x:c>
      <x:c r="K454" s="7" t="n">
        <x:f>F454+G454</x:f>
        <x:v>21</x:v>
      </x:c>
      <x:c r="L454" s="7" t="n">
        <x:v>19</x:v>
      </x:c>
      <x:c r="M454" s="7" t="n">
        <x:v>18</x:v>
      </x:c>
      <x:c r="N454" s="7" t="n">
        <x:v>2</x:v>
      </x:c>
      <x:c r="O454" s="9" t="n">
        <x:f>IF(M454=0,"n.a.",L454/M454)</x:f>
        <x:v>1.0555555555555556</x:v>
      </x:c>
      <x:c r="P454" s="9" t="n">
        <x:f>IF(K454=0,"n.a.",L454/K454)</x:f>
        <x:v>0.9047619047619048</x:v>
      </x:c>
      <x:c r="Q454" s="9" t="n">
        <x:f>IF(K454=0,"n.a.",M454/K454)</x:f>
        <x:v>0.8571428571428571</x:v>
      </x:c>
      <x:c r="R454" s="9" t="n">
        <x:f>IF(K454=0,"n.a.",N454/K454)</x:f>
        <x:v>0.09523809523809523</x:v>
      </x:c>
      <x:c r="S454" s="7" t="n">
        <x:v>-17</x:v>
      </x:c>
      <x:c r="T454" s="10" t="n">
        <x:v>0.41</x:v>
      </x:c>
      <x:c r="U454" s="7" t="n">
        <x:v>244</x:v>
      </x:c>
      <x:c r="V454" s="7" t="n">
        <x:v>448</x:v>
      </x:c>
    </x:row>
    <x:row r="455" ht="16" customHeight="1">
      <x:c r="A455" s="7" t="n">
        <x:v>452</x:v>
      </x:c>
      <x:c r="B455" s="8" t="n">
        <x:v>46046</x:v>
      </x:c>
      <x:c r="C455" s="7" t="str">
        <x:v>Breeze</x:v>
      </x:c>
      <x:c r="D455" s="7" t="str">
        <x:v>9th</x:v>
      </x:c>
      <x:c r="E455" s="7" t="str">
        <x:v>Neon</x:v>
      </x:c>
      <x:c r="F455" s="7" t="n">
        <x:v>11</x:v>
      </x:c>
      <x:c r="G455" s="7" t="n">
        <x:v>13</x:v>
      </x:c>
      <x:c r="H455" s="7" t="str">
        <x:f>IF(F455&gt;G455,"Win",IF(F455&lt;G455,"Loss","Draw"))</x:f>
        <x:v>Loss</x:v>
      </x:c>
      <x:c r="I455" s="7" t="n">
        <x:f>IF(H455="Win",1,0)</x:f>
        <x:v>0</x:v>
      </x:c>
      <x:c r="J455" s="7" t="n">
        <x:f>F455-G455</x:f>
        <x:v>-2</x:v>
      </x:c>
      <x:c r="K455" s="7" t="n">
        <x:f>F455+G455</x:f>
        <x:v>24</x:v>
      </x:c>
      <x:c r="L455" s="7" t="n">
        <x:v>13</x:v>
      </x:c>
      <x:c r="M455" s="7" t="n">
        <x:v>22</x:v>
      </x:c>
      <x:c r="N455" s="7" t="n">
        <x:v>7</x:v>
      </x:c>
      <x:c r="O455" s="9" t="n">
        <x:f>IF(M455=0,"n.a.",L455/M455)</x:f>
        <x:v>0.5909090909090909</x:v>
      </x:c>
      <x:c r="P455" s="9" t="n">
        <x:f>IF(K455=0,"n.a.",L455/K455)</x:f>
        <x:v>0.5416666666666666</x:v>
      </x:c>
      <x:c r="Q455" s="9" t="n">
        <x:f>IF(K455=0,"n.a.",M455/K455)</x:f>
        <x:v>0.9166666666666666</x:v>
      </x:c>
      <x:c r="R455" s="9" t="n">
        <x:f>IF(K455=0,"n.a.",N455/K455)</x:f>
        <x:v>0.2916666666666667</x:v>
      </x:c>
      <x:c r="S455" s="7" t="n">
        <x:v>-66</x:v>
      </x:c>
      <x:c r="T455" s="10" t="n">
        <x:v>0.13</x:v>
      </x:c>
      <x:c r="U455" s="7" t="n">
        <x:v>171</x:v>
      </x:c>
      <x:c r="V455" s="7" t="n">
        <x:v>260</x:v>
      </x:c>
    </x:row>
    <x:row r="456" ht="16" customHeight="1">
      <x:c r="A456" s="7" t="n">
        <x:v>453</x:v>
      </x:c>
      <x:c r="B456" s="8" t="n">
        <x:v>46046</x:v>
      </x:c>
      <x:c r="C456" s="7" t="str">
        <x:v>Breeze</x:v>
      </x:c>
      <x:c r="D456" s="7" t="str">
        <x:v>8th</x:v>
      </x:c>
      <x:c r="E456" s="7" t="str">
        <x:v>Neon</x:v>
      </x:c>
      <x:c r="F456" s="7" t="n">
        <x:v>5</x:v>
      </x:c>
      <x:c r="G456" s="7" t="n">
        <x:v>13</x:v>
      </x:c>
      <x:c r="H456" s="7" t="str">
        <x:f>IF(F456&gt;G456,"Win",IF(F456&lt;G456,"Loss","Draw"))</x:f>
        <x:v>Loss</x:v>
      </x:c>
      <x:c r="I456" s="7" t="n">
        <x:f>IF(H456="Win",1,0)</x:f>
        <x:v>0</x:v>
      </x:c>
      <x:c r="J456" s="7" t="n">
        <x:f>F456-G456</x:f>
        <x:v>-8</x:v>
      </x:c>
      <x:c r="K456" s="7" t="n">
        <x:f>F456+G456</x:f>
        <x:v>18</x:v>
      </x:c>
      <x:c r="L456" s="7" t="n">
        <x:v>8</x:v>
      </x:c>
      <x:c r="M456" s="7" t="n">
        <x:v>18</x:v>
      </x:c>
      <x:c r="N456" s="7" t="n">
        <x:v>2</x:v>
      </x:c>
      <x:c r="O456" s="9" t="n">
        <x:f>IF(M456=0,"n.a.",L456/M456)</x:f>
        <x:v>0.4444444444444444</x:v>
      </x:c>
      <x:c r="P456" s="9" t="n">
        <x:f>IF(K456=0,"n.a.",L456/K456)</x:f>
        <x:v>0.4444444444444444</x:v>
      </x:c>
      <x:c r="Q456" s="9" t="n">
        <x:f>IF(K456=0,"n.a.",M456/K456)</x:f>
        <x:v>1</x:v>
      </x:c>
      <x:c r="R456" s="9" t="n">
        <x:f>IF(K456=0,"n.a.",N456/K456)</x:f>
        <x:v>0.1111111111111111</x:v>
      </x:c>
      <x:c r="S456" s="7" t="n">
        <x:v>-71</x:v>
      </x:c>
      <x:c r="T456" s="10" t="n">
        <x:v>0.23</x:v>
      </x:c>
      <x:c r="U456" s="7" t="n">
        <x:v>145</x:v>
      </x:c>
      <x:c r="V456" s="7" t="n">
        <x:v>167</x:v>
      </x:c>
    </x:row>
    <x:row r="457" ht="16" customHeight="1">
      <x:c r="A457" s="7" t="n">
        <x:v>454</x:v>
      </x:c>
      <x:c r="B457" s="8" t="n">
        <x:v>46046</x:v>
      </x:c>
      <x:c r="C457" s="7" t="str">
        <x:v>Haven</x:v>
      </x:c>
      <x:c r="D457" s="7" t="str">
        <x:v>5th</x:v>
      </x:c>
      <x:c r="E457" s="7" t="str">
        <x:v>Neon</x:v>
      </x:c>
      <x:c r="F457" s="7" t="n">
        <x:v>13</x:v>
      </x:c>
      <x:c r="G457" s="7" t="n">
        <x:v>5</x:v>
      </x:c>
      <x:c r="H457" s="7" t="str">
        <x:f>IF(F457&gt;G457,"Win",IF(F457&lt;G457,"Loss","Draw"))</x:f>
        <x:v>Win</x:v>
      </x:c>
      <x:c r="I457" s="7" t="n">
        <x:f>IF(H457="Win",1,0)</x:f>
        <x:v>1</x:v>
      </x:c>
      <x:c r="J457" s="7" t="n">
        <x:f>F457-G457</x:f>
        <x:v>8</x:v>
      </x:c>
      <x:c r="K457" s="7" t="n">
        <x:f>F457+G457</x:f>
        <x:v>18</x:v>
      </x:c>
      <x:c r="L457" s="7" t="n">
        <x:v>15</x:v>
      </x:c>
      <x:c r="M457" s="7" t="n">
        <x:v>13</x:v>
      </x:c>
      <x:c r="N457" s="7" t="n">
        <x:v>4</x:v>
      </x:c>
      <x:c r="O457" s="9" t="n">
        <x:f>IF(M457=0,"n.a.",L457/M457)</x:f>
        <x:v>1.1538461538461537</x:v>
      </x:c>
      <x:c r="P457" s="9" t="n">
        <x:f>IF(K457=0,"n.a.",L457/K457)</x:f>
        <x:v>0.8333333333333334</x:v>
      </x:c>
      <x:c r="Q457" s="9" t="n">
        <x:f>IF(K457=0,"n.a.",M457/K457)</x:f>
        <x:v>0.7222222222222222</x:v>
      </x:c>
      <x:c r="R457" s="9" t="n">
        <x:f>IF(K457=0,"n.a.",N457/K457)</x:f>
        <x:v>0.2222222222222222</x:v>
      </x:c>
      <x:c r="S457" s="7" t="n">
        <x:v>29</x:v>
      </x:c>
      <x:c r="T457" s="10" t="n">
        <x:v>0.39</x:v>
      </x:c>
      <x:c r="U457" s="7" t="n">
        <x:v>240</x:v>
      </x:c>
      <x:c r="V457" s="7" t="n">
        <x:v>776</x:v>
      </x:c>
    </x:row>
    <x:row r="458" ht="16" customHeight="1">
      <x:c r="A458" s="7" t="n">
        <x:v>455</x:v>
      </x:c>
      <x:c r="B458" s="8" t="n">
        <x:v>46046</x:v>
      </x:c>
      <x:c r="C458" s="7" t="str">
        <x:v>Split</x:v>
      </x:c>
      <x:c r="D458" s="7" t="str">
        <x:v>4th</x:v>
      </x:c>
      <x:c r="E458" s="7" t="str">
        <x:v>Neon</x:v>
      </x:c>
      <x:c r="F458" s="7" t="n">
        <x:v>13</x:v>
      </x:c>
      <x:c r="G458" s="7" t="n">
        <x:v>10</x:v>
      </x:c>
      <x:c r="H458" s="7" t="str">
        <x:f>IF(F458&gt;G458,"Win",IF(F458&lt;G458,"Loss","Draw"))</x:f>
        <x:v>Win</x:v>
      </x:c>
      <x:c r="I458" s="7" t="n">
        <x:f>IF(H458="Win",1,0)</x:f>
        <x:v>1</x:v>
      </x:c>
      <x:c r="J458" s="7" t="n">
        <x:f>F458-G458</x:f>
        <x:v>3</x:v>
      </x:c>
      <x:c r="K458" s="7" t="n">
        <x:f>F458+G458</x:f>
        <x:v>23</x:v>
      </x:c>
      <x:c r="L458" s="7" t="n">
        <x:v>19</x:v>
      </x:c>
      <x:c r="M458" s="7" t="n">
        <x:v>19</x:v>
      </x:c>
      <x:c r="N458" s="7" t="n">
        <x:v>2</x:v>
      </x:c>
      <x:c r="O458" s="9" t="n">
        <x:f>IF(M458=0,"n.a.",L458/M458)</x:f>
        <x:v>1</x:v>
      </x:c>
      <x:c r="P458" s="9" t="n">
        <x:f>IF(K458=0,"n.a.",L458/K458)</x:f>
        <x:v>0.8260869565217391</x:v>
      </x:c>
      <x:c r="Q458" s="9" t="n">
        <x:f>IF(K458=0,"n.a.",M458/K458)</x:f>
        <x:v>0.8260869565217391</x:v>
      </x:c>
      <x:c r="R458" s="9" t="n">
        <x:f>IF(K458=0,"n.a.",N458/K458)</x:f>
        <x:v>0.08695652173913043</x:v>
      </x:c>
      <x:c r="S458" s="7" t="n">
        <x:v>5</x:v>
      </x:c>
      <x:c r="T458" s="10" t="n">
        <x:v>0.19</x:v>
      </x:c>
      <x:c r="U458" s="7" t="n">
        <x:v>236</x:v>
      </x:c>
      <x:c r="V458" s="7" t="n">
        <x:v>587</x:v>
      </x:c>
    </x:row>
    <x:row r="459" ht="16" customHeight="1">
      <x:c r="A459" s="7" t="n">
        <x:v>456</x:v>
      </x:c>
      <x:c r="B459" s="8" t="n">
        <x:v>46046</x:v>
      </x:c>
      <x:c r="C459" s="7" t="str">
        <x:v>Abyss</x:v>
      </x:c>
      <x:c r="D459" s="7" t="str">
        <x:v>2nd</x:v>
      </x:c>
      <x:c r="E459" s="7" t="str">
        <x:v>Neon</x:v>
      </x:c>
      <x:c r="F459" s="7" t="n">
        <x:v>13</x:v>
      </x:c>
      <x:c r="G459" s="7" t="n">
        <x:v>6</x:v>
      </x:c>
      <x:c r="H459" s="7" t="str">
        <x:f>IF(F459&gt;G459,"Win",IF(F459&lt;G459,"Loss","Draw"))</x:f>
        <x:v>Win</x:v>
      </x:c>
      <x:c r="I459" s="7" t="n">
        <x:f>IF(H459="Win",1,0)</x:f>
        <x:v>1</x:v>
      </x:c>
      <x:c r="J459" s="7" t="n">
        <x:f>F459-G459</x:f>
        <x:v>7</x:v>
      </x:c>
      <x:c r="K459" s="7" t="n">
        <x:f>F459+G459</x:f>
        <x:v>19</x:v>
      </x:c>
      <x:c r="L459" s="7" t="n">
        <x:v>24</x:v>
      </x:c>
      <x:c r="M459" s="7" t="n">
        <x:v>13</x:v>
      </x:c>
      <x:c r="N459" s="7" t="n">
        <x:v>2</x:v>
      </x:c>
      <x:c r="O459" s="9" t="n">
        <x:f>IF(M459=0,"n.a.",L459/M459)</x:f>
        <x:v>1.8461538461538463</x:v>
      </x:c>
      <x:c r="P459" s="9" t="n">
        <x:f>IF(K459=0,"n.a.",L459/K459)</x:f>
        <x:v>1.263157894736842</x:v>
      </x:c>
      <x:c r="Q459" s="9" t="n">
        <x:f>IF(K459=0,"n.a.",M459/K459)</x:f>
        <x:v>0.6842105263157895</x:v>
      </x:c>
      <x:c r="R459" s="9" t="n">
        <x:f>IF(K459=0,"n.a.",N459/K459)</x:f>
        <x:v>0.10526315789473684</x:v>
      </x:c>
      <x:c r="S459" s="7" t="n">
        <x:v>93</x:v>
      </x:c>
      <x:c r="T459" s="10" t="n">
        <x:v>0.29</x:v>
      </x:c>
      <x:c r="U459" s="7" t="n">
        <x:v>350</x:v>
      </x:c>
      <x:c r="V459" s="7" t="n">
        <x:v>966</x:v>
      </x:c>
    </x:row>
    <x:row r="460" ht="16" customHeight="1">
      <x:c r="A460" s="7" t="n">
        <x:v>457</x:v>
      </x:c>
      <x:c r="B460" s="8" t="n">
        <x:v>46047</x:v>
      </x:c>
      <x:c r="C460" s="7" t="str">
        <x:v>Bind</x:v>
      </x:c>
      <x:c r="D460" s="7" t="str">
        <x:v>8th</x:v>
      </x:c>
      <x:c r="E460" s="7" t="str">
        <x:v>Neon</x:v>
      </x:c>
      <x:c r="F460" s="7" t="n">
        <x:v>12</x:v>
      </x:c>
      <x:c r="G460" s="7" t="n">
        <x:v>14</x:v>
      </x:c>
      <x:c r="H460" s="7" t="str">
        <x:f>IF(F460&gt;G460,"Win",IF(F460&lt;G460,"Loss","Draw"))</x:f>
        <x:v>Loss</x:v>
      </x:c>
      <x:c r="I460" s="7" t="n">
        <x:f>IF(H460="Win",1,0)</x:f>
        <x:v>0</x:v>
      </x:c>
      <x:c r="J460" s="7" t="n">
        <x:f>F460-G460</x:f>
        <x:v>-2</x:v>
      </x:c>
      <x:c r="K460" s="7" t="n">
        <x:f>F460+G460</x:f>
        <x:v>26</x:v>
      </x:c>
      <x:c r="L460" s="7" t="n">
        <x:v>15</x:v>
      </x:c>
      <x:c r="M460" s="7" t="n">
        <x:v>22</x:v>
      </x:c>
      <x:c r="N460" s="7" t="n">
        <x:v>3</x:v>
      </x:c>
      <x:c r="O460" s="9" t="n">
        <x:f>IF(M460=0,"n.a.",L460/M460)</x:f>
        <x:v>0.6818181818181818</x:v>
      </x:c>
      <x:c r="P460" s="9" t="n">
        <x:f>IF(K460=0,"n.a.",L460/K460)</x:f>
        <x:v>0.5769230769230769</x:v>
      </x:c>
      <x:c r="Q460" s="9" t="n">
        <x:f>IF(K460=0,"n.a.",M460/K460)</x:f>
        <x:v>0.8461538461538461</x:v>
      </x:c>
      <x:c r="R460" s="9" t="n">
        <x:f>IF(K460=0,"n.a.",N460/K460)</x:f>
        <x:v>0.11538461538461539</x:v>
      </x:c>
      <x:c r="S460" s="7" t="n">
        <x:v>-44</x:v>
      </x:c>
      <x:c r="T460" s="10" t="n">
        <x:v>0.26</x:v>
      </x:c>
      <x:c r="U460" s="7" t="n">
        <x:v>162</x:v>
      </x:c>
      <x:c r="V460" s="7" t="n">
        <x:v>273</x:v>
      </x:c>
    </x:row>
    <x:row r="461" ht="16" customHeight="1">
      <x:c r="A461" s="7" t="n">
        <x:v>458</x:v>
      </x:c>
      <x:c r="B461" s="8" t="n">
        <x:v>46047</x:v>
      </x:c>
      <x:c r="C461" s="7" t="str">
        <x:v>Pearl</x:v>
      </x:c>
      <x:c r="D461" s="7" t="str">
        <x:v>9th</x:v>
      </x:c>
      <x:c r="E461" s="7" t="str">
        <x:v>Neon</x:v>
      </x:c>
      <x:c r="F461" s="7" t="n">
        <x:v>13</x:v>
      </x:c>
      <x:c r="G461" s="7" t="n">
        <x:v>7</x:v>
      </x:c>
      <x:c r="H461" s="7" t="str">
        <x:f>IF(F461&gt;G461,"Win",IF(F461&lt;G461,"Loss","Draw"))</x:f>
        <x:v>Win</x:v>
      </x:c>
      <x:c r="I461" s="7" t="n">
        <x:f>IF(H461="Win",1,0)</x:f>
        <x:v>1</x:v>
      </x:c>
      <x:c r="J461" s="7" t="n">
        <x:f>F461-G461</x:f>
        <x:v>6</x:v>
      </x:c>
      <x:c r="K461" s="7" t="n">
        <x:f>F461+G461</x:f>
        <x:v>20</x:v>
      </x:c>
      <x:c r="L461" s="7" t="n">
        <x:v>12</x:v>
      </x:c>
      <x:c r="M461" s="7" t="n">
        <x:v>13</x:v>
      </x:c>
      <x:c r="N461" s="7" t="n">
        <x:v>3</x:v>
      </x:c>
      <x:c r="O461" s="9" t="n">
        <x:f>IF(M461=0,"n.a.",L461/M461)</x:f>
        <x:v>0.9230769230769231</x:v>
      </x:c>
      <x:c r="P461" s="9" t="n">
        <x:f>IF(K461=0,"n.a.",L461/K461)</x:f>
        <x:v>0.6</x:v>
      </x:c>
      <x:c r="Q461" s="9" t="n">
        <x:f>IF(K461=0,"n.a.",M461/K461)</x:f>
        <x:v>0.65</x:v>
      </x:c>
      <x:c r="R461" s="9" t="n">
        <x:f>IF(K461=0,"n.a.",N461/K461)</x:f>
        <x:v>0.15</x:v>
      </x:c>
      <x:c r="S461" s="7" t="n">
        <x:v>-18</x:v>
      </x:c>
      <x:c r="T461" s="10" t="n">
        <x:v>0.16</x:v>
      </x:c>
      <x:c r="U461" s="7" t="n">
        <x:v>157</x:v>
      </x:c>
      <x:c r="V461" s="7" t="n">
        <x:v>466</x:v>
      </x:c>
    </x:row>
    <x:row r="462" ht="16" customHeight="1">
      <x:c r="A462" s="7" t="n">
        <x:v>459</x:v>
      </x:c>
      <x:c r="B462" s="8" t="n">
        <x:v>46047</x:v>
      </x:c>
      <x:c r="C462" s="7" t="str">
        <x:v>Breeze</x:v>
      </x:c>
      <x:c r="D462" s="7" t="str">
        <x:v>9th</x:v>
      </x:c>
      <x:c r="E462" s="7" t="str">
        <x:v>Phoenix</x:v>
      </x:c>
      <x:c r="F462" s="7" t="n">
        <x:v>5</x:v>
      </x:c>
      <x:c r="G462" s="7" t="n">
        <x:v>13</x:v>
      </x:c>
      <x:c r="H462" s="7" t="str">
        <x:f>IF(F462&gt;G462,"Win",IF(F462&lt;G462,"Loss","Draw"))</x:f>
        <x:v>Loss</x:v>
      </x:c>
      <x:c r="I462" s="7" t="n">
        <x:f>IF(H462="Win",1,0)</x:f>
        <x:v>0</x:v>
      </x:c>
      <x:c r="J462" s="7" t="n">
        <x:f>F462-G462</x:f>
        <x:v>-8</x:v>
      </x:c>
      <x:c r="K462" s="7" t="n">
        <x:f>F462+G462</x:f>
        <x:v>18</x:v>
      </x:c>
      <x:c r="L462" s="7" t="n">
        <x:v>8</x:v>
      </x:c>
      <x:c r="M462" s="7" t="n">
        <x:v>17</x:v>
      </x:c>
      <x:c r="N462" s="7" t="n">
        <x:v>5</x:v>
      </x:c>
      <x:c r="O462" s="9" t="n">
        <x:f>IF(M462=0,"n.a.",L462/M462)</x:f>
        <x:v>0.47058823529411764</x:v>
      </x:c>
      <x:c r="P462" s="9" t="n">
        <x:f>IF(K462=0,"n.a.",L462/K462)</x:f>
        <x:v>0.4444444444444444</x:v>
      </x:c>
      <x:c r="Q462" s="9" t="n">
        <x:f>IF(K462=0,"n.a.",M462/K462)</x:f>
        <x:v>0.9444444444444444</x:v>
      </x:c>
      <x:c r="R462" s="9" t="n">
        <x:f>IF(K462=0,"n.a.",N462/K462)</x:f>
        <x:v>0.2777777777777778</x:v>
      </x:c>
      <x:c r="S462" s="7" t="n">
        <x:v>-63</x:v>
      </x:c>
      <x:c r="T462" s="10" t="n">
        <x:v>0.18</x:v>
      </x:c>
      <x:c r="U462" s="7" t="n">
        <x:v>153</x:v>
      </x:c>
      <x:c r="V462" s="7" t="n">
        <x:v>184</x:v>
      </x:c>
    </x:row>
    <x:row r="463" ht="16" customHeight="1">
      <x:c r="A463" s="7" t="n">
        <x:v>460</x:v>
      </x:c>
      <x:c r="B463" s="8" t="n">
        <x:v>46047</x:v>
      </x:c>
      <x:c r="C463" s="7" t="str">
        <x:v>Haven</x:v>
      </x:c>
      <x:c r="D463" s="7" t="str">
        <x:v>7th</x:v>
      </x:c>
      <x:c r="E463" s="7" t="str">
        <x:v>Neon</x:v>
      </x:c>
      <x:c r="F463" s="7" t="n">
        <x:v>5</x:v>
      </x:c>
      <x:c r="G463" s="7" t="n">
        <x:v>13</x:v>
      </x:c>
      <x:c r="H463" s="7" t="str">
        <x:f>IF(F463&gt;G463,"Win",IF(F463&lt;G463,"Loss","Draw"))</x:f>
        <x:v>Loss</x:v>
      </x:c>
      <x:c r="I463" s="7" t="n">
        <x:f>IF(H463="Win",1,0)</x:f>
        <x:v>0</x:v>
      </x:c>
      <x:c r="J463" s="7" t="n">
        <x:f>F463-G463</x:f>
        <x:v>-8</x:v>
      </x:c>
      <x:c r="K463" s="7" t="n">
        <x:f>F463+G463</x:f>
        <x:v>18</x:v>
      </x:c>
      <x:c r="L463" s="7" t="n">
        <x:v>8</x:v>
      </x:c>
      <x:c r="M463" s="7" t="n">
        <x:v>18</x:v>
      </x:c>
      <x:c r="N463" s="7" t="n">
        <x:v>1</x:v>
      </x:c>
      <x:c r="O463" s="9" t="n">
        <x:f>IF(M463=0,"n.a.",L463/M463)</x:f>
        <x:v>0.4444444444444444</x:v>
      </x:c>
      <x:c r="P463" s="9" t="n">
        <x:f>IF(K463=0,"n.a.",L463/K463)</x:f>
        <x:v>0.4444444444444444</x:v>
      </x:c>
      <x:c r="Q463" s="9" t="n">
        <x:f>IF(K463=0,"n.a.",M463/K463)</x:f>
        <x:v>1</x:v>
      </x:c>
      <x:c r="R463" s="9" t="n">
        <x:f>IF(K463=0,"n.a.",N463/K463)</x:f>
        <x:v>0.05555555555555555</x:v>
      </x:c>
      <x:c r="S463" s="7" t="n">
        <x:v>-51</x:v>
      </x:c>
      <x:c r="T463" s="10" t="n">
        <x:v>0.09</x:v>
      </x:c>
      <x:c r="U463" s="7" t="n">
        <x:v>177</x:v>
      </x:c>
      <x:c r="V463" s="7" t="n">
        <x:v>191</x:v>
      </x:c>
    </x:row>
    <x:row r="464" ht="16" customHeight="1">
      <x:c r="A464" s="7" t="n">
        <x:v>461</x:v>
      </x:c>
      <x:c r="B464" s="8" t="n">
        <x:v>46047</x:v>
      </x:c>
      <x:c r="C464" s="7" t="str">
        <x:v>Split</x:v>
      </x:c>
      <x:c r="D464" s="7" t="str">
        <x:v>MVP</x:v>
      </x:c>
      <x:c r="E464" s="7" t="str">
        <x:v>Neon</x:v>
      </x:c>
      <x:c r="F464" s="7" t="n">
        <x:v>13</x:v>
      </x:c>
      <x:c r="G464" s="7" t="n">
        <x:v>5</x:v>
      </x:c>
      <x:c r="H464" s="7" t="str">
        <x:f>IF(F464&gt;G464,"Win",IF(F464&lt;G464,"Loss","Draw"))</x:f>
        <x:v>Win</x:v>
      </x:c>
      <x:c r="I464" s="7" t="n">
        <x:f>IF(H464="Win",1,0)</x:f>
        <x:v>1</x:v>
      </x:c>
      <x:c r="J464" s="7" t="n">
        <x:f>F464-G464</x:f>
        <x:v>8</x:v>
      </x:c>
      <x:c r="K464" s="7" t="n">
        <x:f>F464+G464</x:f>
        <x:v>18</x:v>
      </x:c>
      <x:c r="L464" s="7" t="n">
        <x:v>22</x:v>
      </x:c>
      <x:c r="M464" s="7" t="n">
        <x:v>13</x:v>
      </x:c>
      <x:c r="N464" s="7" t="n">
        <x:v>8</x:v>
      </x:c>
      <x:c r="O464" s="9" t="n">
        <x:f>IF(M464=0,"n.a.",L464/M464)</x:f>
        <x:v>1.6923076923076923</x:v>
      </x:c>
      <x:c r="P464" s="9" t="n">
        <x:f>IF(K464=0,"n.a.",L464/K464)</x:f>
        <x:v>1.2222222222222223</x:v>
      </x:c>
      <x:c r="Q464" s="9" t="n">
        <x:f>IF(K464=0,"n.a.",M464/K464)</x:f>
        <x:v>0.7222222222222222</x:v>
      </x:c>
      <x:c r="R464" s="9" t="n">
        <x:f>IF(K464=0,"n.a.",N464/K464)</x:f>
        <x:v>0.4444444444444444</x:v>
      </x:c>
      <x:c r="S464" s="7" t="n">
        <x:v>95</x:v>
      </x:c>
      <x:c r="T464" s="10" t="n">
        <x:v>0.27</x:v>
      </x:c>
      <x:c r="U464" s="7" t="n">
        <x:v>376</x:v>
      </x:c>
      <x:c r="V464" s="7" t="n">
        <x:v>918</x:v>
      </x:c>
    </x:row>
    <x:row r="465" ht="16" customHeight="1">
      <x:c r="A465" s="7" t="n">
        <x:v>462</x:v>
      </x:c>
      <x:c r="B465" s="8" t="n">
        <x:v>46047</x:v>
      </x:c>
      <x:c r="C465" s="7" t="str">
        <x:v>Bind</x:v>
      </x:c>
      <x:c r="D465" s="7" t="str">
        <x:v>6th</x:v>
      </x:c>
      <x:c r="E465" s="7" t="str">
        <x:v>Neon</x:v>
      </x:c>
      <x:c r="F465" s="7" t="n">
        <x:v>12</x:v>
      </x:c>
      <x:c r="G465" s="7" t="n">
        <x:v>14</x:v>
      </x:c>
      <x:c r="H465" s="7" t="str">
        <x:f>IF(F465&gt;G465,"Win",IF(F465&lt;G465,"Loss","Draw"))</x:f>
        <x:v>Loss</x:v>
      </x:c>
      <x:c r="I465" s="7" t="n">
        <x:f>IF(H465="Win",1,0)</x:f>
        <x:v>0</x:v>
      </x:c>
      <x:c r="J465" s="7" t="n">
        <x:f>F465-G465</x:f>
        <x:v>-2</x:v>
      </x:c>
      <x:c r="K465" s="7" t="n">
        <x:f>F465+G465</x:f>
        <x:v>26</x:v>
      </x:c>
      <x:c r="L465" s="7" t="n">
        <x:v>20</x:v>
      </x:c>
      <x:c r="M465" s="7" t="n">
        <x:v>24</x:v>
      </x:c>
      <x:c r="N465" s="7" t="n">
        <x:v>2</x:v>
      </x:c>
      <x:c r="O465" s="9" t="n">
        <x:f>IF(M465=0,"n.a.",L465/M465)</x:f>
        <x:v>0.8333333333333334</x:v>
      </x:c>
      <x:c r="P465" s="9" t="n">
        <x:f>IF(K465=0,"n.a.",L465/K465)</x:f>
        <x:v>0.7692307692307693</x:v>
      </x:c>
      <x:c r="Q465" s="9" t="n">
        <x:f>IF(K465=0,"n.a.",M465/K465)</x:f>
        <x:v>0.9230769230769231</x:v>
      </x:c>
      <x:c r="R465" s="9" t="n">
        <x:f>IF(K465=0,"n.a.",N465/K465)</x:f>
        <x:v>0.07692307692307693</x:v>
      </x:c>
      <x:c r="S465" s="7" t="n">
        <x:v>-21</x:v>
      </x:c>
      <x:c r="T465" s="10" t="n">
        <x:v>0.3</x:v>
      </x:c>
      <x:c r="U465" s="7" t="n">
        <x:v>222</x:v>
      </x:c>
      <x:c r="V465" s="7" t="n">
        <x:v>443</x:v>
      </x:c>
    </x:row>
    <x:row r="466" ht="16" customHeight="1">
      <x:c r="A466" s="7" t="n">
        <x:v>463</x:v>
      </x:c>
      <x:c r="B466" s="8" t="n">
        <x:v>46047</x:v>
      </x:c>
      <x:c r="C466" s="7" t="str">
        <x:v>Abyss</x:v>
      </x:c>
      <x:c r="D466" s="7" t="str">
        <x:v>8th</x:v>
      </x:c>
      <x:c r="E466" s="7" t="str">
        <x:v>Neon</x:v>
      </x:c>
      <x:c r="F466" s="7" t="n">
        <x:v>7</x:v>
      </x:c>
      <x:c r="G466" s="7" t="n">
        <x:v>13</x:v>
      </x:c>
      <x:c r="H466" s="7" t="str">
        <x:f>IF(F466&gt;G466,"Win",IF(F466&lt;G466,"Loss","Draw"))</x:f>
        <x:v>Loss</x:v>
      </x:c>
      <x:c r="I466" s="7" t="n">
        <x:f>IF(H466="Win",1,0)</x:f>
        <x:v>0</x:v>
      </x:c>
      <x:c r="J466" s="7" t="n">
        <x:f>F466-G466</x:f>
        <x:v>-6</x:v>
      </x:c>
      <x:c r="K466" s="7" t="n">
        <x:f>F466+G466</x:f>
        <x:v>20</x:v>
      </x:c>
      <x:c r="L466" s="7" t="n">
        <x:v>10</x:v>
      </x:c>
      <x:c r="M466" s="7" t="n">
        <x:v>19</x:v>
      </x:c>
      <x:c r="N466" s="7" t="n">
        <x:v>4</x:v>
      </x:c>
      <x:c r="O466" s="9" t="n">
        <x:f>IF(M466=0,"n.a.",L466/M466)</x:f>
        <x:v>0.5263157894736842</x:v>
      </x:c>
      <x:c r="P466" s="9" t="n">
        <x:f>IF(K466=0,"n.a.",L466/K466)</x:f>
        <x:v>0.5</x:v>
      </x:c>
      <x:c r="Q466" s="9" t="n">
        <x:f>IF(K466=0,"n.a.",M466/K466)</x:f>
        <x:v>0.95</x:v>
      </x:c>
      <x:c r="R466" s="9" t="n">
        <x:f>IF(K466=0,"n.a.",N466/K466)</x:f>
        <x:v>0.2</x:v>
      </x:c>
      <x:c r="S466" s="7" t="n">
        <x:v>-59</x:v>
      </x:c>
      <x:c r="T466" s="10" t="n">
        <x:v>0.23</x:v>
      </x:c>
      <x:c r="U466" s="7" t="n">
        <x:v>151</x:v>
      </x:c>
      <x:c r="V466" s="7" t="n">
        <x:v>202</x:v>
      </x:c>
    </x:row>
    <x:row r="467" ht="16" customHeight="1">
      <x:c r="A467" s="7" t="n">
        <x:v>464</x:v>
      </x:c>
      <x:c r="B467" s="8" t="n">
        <x:v>46048</x:v>
      </x:c>
      <x:c r="C467" s="7" t="str">
        <x:v>Haven</x:v>
      </x:c>
      <x:c r="D467" s="7" t="str">
        <x:v>7th</x:v>
      </x:c>
      <x:c r="E467" s="7" t="str">
        <x:v>Neon</x:v>
      </x:c>
      <x:c r="F467" s="7" t="n">
        <x:v>3</x:v>
      </x:c>
      <x:c r="G467" s="7" t="n">
        <x:v>5</x:v>
      </x:c>
      <x:c r="H467" s="7" t="str">
        <x:f>IF(F467&gt;G467,"Win",IF(F467&lt;G467,"Loss","Draw"))</x:f>
        <x:v>Loss</x:v>
      </x:c>
      <x:c r="I467" s="7" t="n">
        <x:f>IF(H467="Win",1,0)</x:f>
        <x:v>0</x:v>
      </x:c>
      <x:c r="J467" s="7" t="n">
        <x:f>F467-G467</x:f>
        <x:v>-2</x:v>
      </x:c>
      <x:c r="K467" s="7" t="n">
        <x:f>F467+G467</x:f>
        <x:v>8</x:v>
      </x:c>
      <x:c r="L467" s="7" t="n">
        <x:v>4</x:v>
      </x:c>
      <x:c r="M467" s="7" t="n">
        <x:v>7</x:v>
      </x:c>
      <x:c r="N467" s="7" t="n">
        <x:v>2</x:v>
      </x:c>
      <x:c r="O467" s="9" t="n">
        <x:f>IF(M467=0,"n.a.",L467/M467)</x:f>
        <x:v>0.5714285714285714</x:v>
      </x:c>
      <x:c r="P467" s="9" t="n">
        <x:f>IF(K467=0,"n.a.",L467/K467)</x:f>
        <x:v>0.5</x:v>
      </x:c>
      <x:c r="Q467" s="9" t="n">
        <x:f>IF(K467=0,"n.a.",M467/K467)</x:f>
        <x:v>0.875</x:v>
      </x:c>
      <x:c r="R467" s="9" t="n">
        <x:f>IF(K467=0,"n.a.",N467/K467)</x:f>
        <x:v>0.25</x:v>
      </x:c>
      <x:c r="S467" s="7" t="n">
        <x:v>-80</x:v>
      </x:c>
      <x:c r="T467" s="10" t="n">
        <x:v>0.35</x:v>
      </x:c>
      <x:c r="U467" s="7" t="n">
        <x:v>146</x:v>
      </x:c>
      <x:c r="V467" s="7" t="n">
        <x:v>145</x:v>
      </x:c>
    </x:row>
    <x:row r="468" ht="16" customHeight="1">
      <x:c r="A468" s="7" t="n">
        <x:v>465</x:v>
      </x:c>
      <x:c r="B468" s="8" t="n">
        <x:v>46048</x:v>
      </x:c>
      <x:c r="C468" s="7" t="str">
        <x:v>Pearl</x:v>
      </x:c>
      <x:c r="D468" s="7" t="str">
        <x:v>2nd</x:v>
      </x:c>
      <x:c r="E468" s="7" t="str">
        <x:v>Neon</x:v>
      </x:c>
      <x:c r="F468" s="7" t="n">
        <x:v>13</x:v>
      </x:c>
      <x:c r="G468" s="7" t="n">
        <x:v>8</x:v>
      </x:c>
      <x:c r="H468" s="7" t="str">
        <x:f>IF(F468&gt;G468,"Win",IF(F468&lt;G468,"Loss","Draw"))</x:f>
        <x:v>Win</x:v>
      </x:c>
      <x:c r="I468" s="7" t="n">
        <x:f>IF(H468="Win",1,0)</x:f>
        <x:v>1</x:v>
      </x:c>
      <x:c r="J468" s="7" t="n">
        <x:f>F468-G468</x:f>
        <x:v>5</x:v>
      </x:c>
      <x:c r="K468" s="7" t="n">
        <x:f>F468+G468</x:f>
        <x:v>21</x:v>
      </x:c>
      <x:c r="L468" s="7" t="n">
        <x:v>23</x:v>
      </x:c>
      <x:c r="M468" s="7" t="n">
        <x:v>15</x:v>
      </x:c>
      <x:c r="N468" s="7" t="n">
        <x:v>4</x:v>
      </x:c>
      <x:c r="O468" s="9" t="n">
        <x:f>IF(M468=0,"n.a.",L468/M468)</x:f>
        <x:v>1.5333333333333334</x:v>
      </x:c>
      <x:c r="P468" s="9" t="n">
        <x:f>IF(K468=0,"n.a.",L468/K468)</x:f>
        <x:v>1.0952380952380953</x:v>
      </x:c>
      <x:c r="Q468" s="9" t="n">
        <x:f>IF(K468=0,"n.a.",M468/K468)</x:f>
        <x:v>0.7142857142857143</x:v>
      </x:c>
      <x:c r="R468" s="9" t="n">
        <x:f>IF(K468=0,"n.a.",N468/K468)</x:f>
        <x:v>0.19047619047619047</x:v>
      </x:c>
      <x:c r="S468" s="7" t="n">
        <x:v>62</x:v>
      </x:c>
      <x:c r="T468" s="10" t="n">
        <x:v>0.29</x:v>
      </x:c>
      <x:c r="U468" s="7" t="n">
        <x:v>300</x:v>
      </x:c>
      <x:c r="V468" s="7" t="n">
        <x:v>901</x:v>
      </x:c>
    </x:row>
    <x:row r="469" ht="16" customHeight="1">
      <x:c r="A469" s="7" t="n">
        <x:v>466</x:v>
      </x:c>
      <x:c r="B469" s="8" t="n">
        <x:v>46048</x:v>
      </x:c>
      <x:c r="C469" s="7" t="str">
        <x:v>Corrode</x:v>
      </x:c>
      <x:c r="D469" s="7" t="str">
        <x:v>5th</x:v>
      </x:c>
      <x:c r="E469" s="7" t="str">
        <x:v>Neon</x:v>
      </x:c>
      <x:c r="F469" s="7" t="n">
        <x:v>9</x:v>
      </x:c>
      <x:c r="G469" s="7" t="n">
        <x:v>13</x:v>
      </x:c>
      <x:c r="H469" s="7" t="str">
        <x:f>IF(F469&gt;G469,"Win",IF(F469&lt;G469,"Loss","Draw"))</x:f>
        <x:v>Loss</x:v>
      </x:c>
      <x:c r="I469" s="7" t="n">
        <x:f>IF(H469="Win",1,0)</x:f>
        <x:v>0</x:v>
      </x:c>
      <x:c r="J469" s="7" t="n">
        <x:f>F469-G469</x:f>
        <x:v>-4</x:v>
      </x:c>
      <x:c r="K469" s="7" t="n">
        <x:f>F469+G469</x:f>
        <x:v>22</x:v>
      </x:c>
      <x:c r="L469" s="7" t="n">
        <x:v>18</x:v>
      </x:c>
      <x:c r="M469" s="7" t="n">
        <x:v>17</x:v>
      </x:c>
      <x:c r="N469" s="7" t="n">
        <x:v>2</x:v>
      </x:c>
      <x:c r="O469" s="9" t="n">
        <x:f>IF(M469=0,"n.a.",L469/M469)</x:f>
        <x:v>1.0588235294117647</x:v>
      </x:c>
      <x:c r="P469" s="9" t="n">
        <x:f>IF(K469=0,"n.a.",L469/K469)</x:f>
        <x:v>0.8181818181818182</x:v>
      </x:c>
      <x:c r="Q469" s="9" t="n">
        <x:f>IF(K469=0,"n.a.",M469/K469)</x:f>
        <x:v>0.7727272727272727</x:v>
      </x:c>
      <x:c r="R469" s="9" t="n">
        <x:f>IF(K469=0,"n.a.",N469/K469)</x:f>
        <x:v>0.09090909090909091</x:v>
      </x:c>
      <x:c r="S469" s="7" t="n">
        <x:v>-10</x:v>
      </x:c>
      <x:c r="T469" s="10" t="n">
        <x:v>0.29</x:v>
      </x:c>
      <x:c r="U469" s="7" t="n">
        <x:v>220</x:v>
      </x:c>
      <x:c r="V469" s="7" t="n">
        <x:v>402</x:v>
      </x:c>
    </x:row>
    <x:row r="470" ht="16" customHeight="1">
      <x:c r="A470" s="7" t="n">
        <x:v>467</x:v>
      </x:c>
      <x:c r="B470" s="8" t="n">
        <x:v>46048</x:v>
      </x:c>
      <x:c r="C470" s="7" t="str">
        <x:v>Corrode</x:v>
      </x:c>
      <x:c r="D470" s="7" t="str">
        <x:v>7th</x:v>
      </x:c>
      <x:c r="E470" s="7" t="str">
        <x:v>Neon</x:v>
      </x:c>
      <x:c r="F470" s="7" t="n">
        <x:v>5</x:v>
      </x:c>
      <x:c r="G470" s="7" t="n">
        <x:v>13</x:v>
      </x:c>
      <x:c r="H470" s="7" t="str">
        <x:f>IF(F470&gt;G470,"Win",IF(F470&lt;G470,"Loss","Draw"))</x:f>
        <x:v>Loss</x:v>
      </x:c>
      <x:c r="I470" s="7" t="n">
        <x:f>IF(H470="Win",1,0)</x:f>
        <x:v>0</x:v>
      </x:c>
      <x:c r="J470" s="7" t="n">
        <x:f>F470-G470</x:f>
        <x:v>-8</x:v>
      </x:c>
      <x:c r="K470" s="7" t="n">
        <x:f>F470+G470</x:f>
        <x:v>18</x:v>
      </x:c>
      <x:c r="L470" s="7" t="n">
        <x:v>12</x:v>
      </x:c>
      <x:c r="M470" s="7" t="n">
        <x:v>17</x:v>
      </x:c>
      <x:c r="N470" s="7" t="n">
        <x:v>3</x:v>
      </x:c>
      <x:c r="O470" s="9" t="n">
        <x:f>IF(M470=0,"n.a.",L470/M470)</x:f>
        <x:v>0.7058823529411765</x:v>
      </x:c>
      <x:c r="P470" s="9" t="n">
        <x:f>IF(K470=0,"n.a.",L470/K470)</x:f>
        <x:v>0.6666666666666666</x:v>
      </x:c>
      <x:c r="Q470" s="9" t="n">
        <x:f>IF(K470=0,"n.a.",M470/K470)</x:f>
        <x:v>0.9444444444444444</x:v>
      </x:c>
      <x:c r="R470" s="9" t="n">
        <x:f>IF(K470=0,"n.a.",N470/K470)</x:f>
        <x:v>0.16666666666666666</x:v>
      </x:c>
      <x:c r="S470" s="7" t="n">
        <x:v>-35</x:v>
      </x:c>
      <x:c r="T470" s="10" t="n">
        <x:v>0.13</x:v>
      </x:c>
      <x:c r="U470" s="7" t="n">
        <x:v>216</x:v>
      </x:c>
      <x:c r="V470" s="7" t="n">
        <x:v>373</x:v>
      </x:c>
    </x:row>
    <x:row r="471" ht="16" customHeight="1">
      <x:c r="A471" s="7" t="n">
        <x:v>468</x:v>
      </x:c>
      <x:c r="B471" s="8" t="n">
        <x:v>46049</x:v>
      </x:c>
      <x:c r="C471" s="7" t="str">
        <x:v>Abyss</x:v>
      </x:c>
      <x:c r="D471" s="7" t="str">
        <x:v>5th</x:v>
      </x:c>
      <x:c r="E471" s="7" t="str">
        <x:v>Neon</x:v>
      </x:c>
      <x:c r="F471" s="7" t="n">
        <x:v>7</x:v>
      </x:c>
      <x:c r="G471" s="7" t="n">
        <x:v>13</x:v>
      </x:c>
      <x:c r="H471" s="7" t="str">
        <x:f>IF(F471&gt;G471,"Win",IF(F471&lt;G471,"Loss","Draw"))</x:f>
        <x:v>Loss</x:v>
      </x:c>
      <x:c r="I471" s="7" t="n">
        <x:f>IF(H471="Win",1,0)</x:f>
        <x:v>0</x:v>
      </x:c>
      <x:c r="J471" s="7" t="n">
        <x:f>F471-G471</x:f>
        <x:v>-6</x:v>
      </x:c>
      <x:c r="K471" s="7" t="n">
        <x:f>F471+G471</x:f>
        <x:v>20</x:v>
      </x:c>
      <x:c r="L471" s="7" t="n">
        <x:v>15</x:v>
      </x:c>
      <x:c r="M471" s="7" t="n">
        <x:v>18</x:v>
      </x:c>
      <x:c r="N471" s="7" t="n">
        <x:v>0</x:v>
      </x:c>
      <x:c r="O471" s="9" t="n">
        <x:f>IF(M471=0,"n.a.",L471/M471)</x:f>
        <x:v>0.8333333333333334</x:v>
      </x:c>
      <x:c r="P471" s="9" t="n">
        <x:f>IF(K471=0,"n.a.",L471/K471)</x:f>
        <x:v>0.75</x:v>
      </x:c>
      <x:c r="Q471" s="9" t="n">
        <x:f>IF(K471=0,"n.a.",M471/K471)</x:f>
        <x:v>0.9</x:v>
      </x:c>
      <x:c r="R471" s="9" t="n">
        <x:f>IF(K471=0,"n.a.",N471/K471)</x:f>
        <x:v>0</x:v>
      </x:c>
      <x:c r="S471" s="7" t="n">
        <x:v>-60</x:v>
      </x:c>
      <x:c r="T471" s="10" t="n">
        <x:v>0.31</x:v>
      </x:c>
      <x:c r="U471" s="7" t="n">
        <x:v>213</x:v>
      </x:c>
      <x:c r="V471" s="7" t="n">
        <x:v>252</x:v>
      </x:c>
    </x:row>
    <x:row r="472" ht="16" customHeight="1">
      <x:c r="A472" s="7" t="n">
        <x:v>469</x:v>
      </x:c>
      <x:c r="B472" s="8" t="n">
        <x:v>46049</x:v>
      </x:c>
      <x:c r="C472" s="7" t="str">
        <x:v>Bind</x:v>
      </x:c>
      <x:c r="D472" s="7" t="str">
        <x:v>3rd</x:v>
      </x:c>
      <x:c r="E472" s="7" t="str">
        <x:v>Neon</x:v>
      </x:c>
      <x:c r="F472" s="7" t="n">
        <x:v>13</x:v>
      </x:c>
      <x:c r="G472" s="7" t="n">
        <x:v>0</x:v>
      </x:c>
      <x:c r="H472" s="7" t="str">
        <x:f>IF(F472&gt;G472,"Win",IF(F472&lt;G472,"Loss","Draw"))</x:f>
        <x:v>Win</x:v>
      </x:c>
      <x:c r="I472" s="7" t="n">
        <x:f>IF(H472="Win",1,0)</x:f>
        <x:v>1</x:v>
      </x:c>
      <x:c r="J472" s="7" t="n">
        <x:f>F472-G472</x:f>
        <x:v>13</x:v>
      </x:c>
      <x:c r="K472" s="7" t="n">
        <x:f>F472+G472</x:f>
        <x:v>13</x:v>
      </x:c>
      <x:c r="L472" s="7" t="n">
        <x:v>15</x:v>
      </x:c>
      <x:c r="M472" s="7" t="n">
        <x:v>9</x:v>
      </x:c>
      <x:c r="N472" s="7" t="n">
        <x:v>2</x:v>
      </x:c>
      <x:c r="O472" s="9" t="n">
        <x:f>IF(M472=0,"n.a.",L472/M472)</x:f>
        <x:v>1.6666666666666667</x:v>
      </x:c>
      <x:c r="P472" s="9" t="n">
        <x:f>IF(K472=0,"n.a.",L472/K472)</x:f>
        <x:v>1.1538461538461537</x:v>
      </x:c>
      <x:c r="Q472" s="9" t="n">
        <x:f>IF(K472=0,"n.a.",M472/K472)</x:f>
        <x:v>0.6923076923076923</x:v>
      </x:c>
      <x:c r="R472" s="9" t="n">
        <x:f>IF(K472=0,"n.a.",N472/K472)</x:f>
        <x:v>0.15384615384615385</x:v>
      </x:c>
      <x:c r="S472" s="7" t="n">
        <x:v>27</x:v>
      </x:c>
      <x:c r="T472" s="10" t="n">
        <x:v>0.3</x:v>
      </x:c>
      <x:c r="U472" s="7" t="n">
        <x:v>295</x:v>
      </x:c>
      <x:c r="V472" s="7" t="n">
        <x:v>881</x:v>
      </x:c>
    </x:row>
    <x:row r="473" ht="16" customHeight="1">
      <x:c r="A473" s="7" t="n">
        <x:v>470</x:v>
      </x:c>
      <x:c r="B473" s="8" t="n">
        <x:v>46049</x:v>
      </x:c>
      <x:c r="C473" s="7" t="str">
        <x:v>Breeze</x:v>
      </x:c>
      <x:c r="D473" s="7" t="str">
        <x:v>3rd</x:v>
      </x:c>
      <x:c r="E473" s="7" t="str">
        <x:v>Neon</x:v>
      </x:c>
      <x:c r="F473" s="7" t="n">
        <x:v>13</x:v>
      </x:c>
      <x:c r="G473" s="7" t="n">
        <x:v>6</x:v>
      </x:c>
      <x:c r="H473" s="7" t="str">
        <x:f>IF(F473&gt;G473,"Win",IF(F473&lt;G473,"Loss","Draw"))</x:f>
        <x:v>Win</x:v>
      </x:c>
      <x:c r="I473" s="7" t="n">
        <x:f>IF(H473="Win",1,0)</x:f>
        <x:v>1</x:v>
      </x:c>
      <x:c r="J473" s="7" t="n">
        <x:f>F473-G473</x:f>
        <x:v>7</x:v>
      </x:c>
      <x:c r="K473" s="7" t="n">
        <x:f>F473+G473</x:f>
        <x:v>19</x:v>
      </x:c>
      <x:c r="L473" s="7" t="n">
        <x:v>17</x:v>
      </x:c>
      <x:c r="M473" s="7" t="n">
        <x:v>14</x:v>
      </x:c>
      <x:c r="N473" s="7" t="n">
        <x:v>6</x:v>
      </x:c>
      <x:c r="O473" s="9" t="n">
        <x:f>IF(M473=0,"n.a.",L473/M473)</x:f>
        <x:v>1.2142857142857142</x:v>
      </x:c>
      <x:c r="P473" s="9" t="n">
        <x:f>IF(K473=0,"n.a.",L473/K473)</x:f>
        <x:v>0.8947368421052632</x:v>
      </x:c>
      <x:c r="Q473" s="9" t="n">
        <x:f>IF(K473=0,"n.a.",M473/K473)</x:f>
        <x:v>0.7368421052631579</x:v>
      </x:c>
      <x:c r="R473" s="9" t="n">
        <x:f>IF(K473=0,"n.a.",N473/K473)</x:f>
        <x:v>0.3157894736842105</x:v>
      </x:c>
      <x:c r="S473" s="7" t="n">
        <x:v>37</x:v>
      </x:c>
      <x:c r="T473" s="10" t="n">
        <x:v>0.25</x:v>
      </x:c>
      <x:c r="U473" s="7" t="n">
        <x:v>261</x:v>
      </x:c>
      <x:c r="V473" s="7" t="n">
        <x:v>821</x:v>
      </x:c>
    </x:row>
    <x:row r="474" ht="16" customHeight="1">
      <x:c r="A474" s="7" t="n">
        <x:v>471</x:v>
      </x:c>
      <x:c r="B474" s="8" t="n">
        <x:v>46049</x:v>
      </x:c>
      <x:c r="C474" s="7" t="str">
        <x:v>Corrode</x:v>
      </x:c>
      <x:c r="D474" s="7" t="str">
        <x:v>9th</x:v>
      </x:c>
      <x:c r="E474" s="7" t="str">
        <x:v>Neon</x:v>
      </x:c>
      <x:c r="F474" s="7" t="n">
        <x:v>4</x:v>
      </x:c>
      <x:c r="G474" s="7" t="n">
        <x:v>13</x:v>
      </x:c>
      <x:c r="H474" s="7" t="str">
        <x:f>IF(F474&gt;G474,"Win",IF(F474&lt;G474,"Loss","Draw"))</x:f>
        <x:v>Loss</x:v>
      </x:c>
      <x:c r="I474" s="7" t="n">
        <x:f>IF(H474="Win",1,0)</x:f>
        <x:v>0</x:v>
      </x:c>
      <x:c r="J474" s="7" t="n">
        <x:f>F474-G474</x:f>
        <x:v>-9</x:v>
      </x:c>
      <x:c r="K474" s="7" t="n">
        <x:f>F474+G474</x:f>
        <x:v>17</x:v>
      </x:c>
      <x:c r="L474" s="7" t="n">
        <x:v>7</x:v>
      </x:c>
      <x:c r="M474" s="7" t="n">
        <x:v>15</x:v>
      </x:c>
      <x:c r="N474" s="7" t="n">
        <x:v>4</x:v>
      </x:c>
      <x:c r="O474" s="9" t="n">
        <x:f>IF(M474=0,"n.a.",L474/M474)</x:f>
        <x:v>0.4666666666666667</x:v>
      </x:c>
      <x:c r="P474" s="9" t="n">
        <x:f>IF(K474=0,"n.a.",L474/K474)</x:f>
        <x:v>0.4117647058823529</x:v>
      </x:c>
      <x:c r="Q474" s="9" t="n">
        <x:f>IF(K474=0,"n.a.",M474/K474)</x:f>
        <x:v>0.8823529411764706</x:v>
      </x:c>
      <x:c r="R474" s="9" t="n">
        <x:f>IF(K474=0,"n.a.",N474/K474)</x:f>
        <x:v>0.23529411764705882</x:v>
      </x:c>
      <x:c r="S474" s="7" t="n">
        <x:v>-49</x:v>
      </x:c>
      <x:c r="T474" s="10" t="n">
        <x:v>0.15</x:v>
      </x:c>
      <x:c r="U474" s="7" t="n">
        <x:v>137</x:v>
      </x:c>
      <x:c r="V474" s="7" t="n">
        <x:v>136</x:v>
      </x:c>
    </x:row>
    <x:row r="475" ht="16" customHeight="1">
      <x:c r="A475" s="7" t="n">
        <x:v>472</x:v>
      </x:c>
      <x:c r="B475" s="8" t="n">
        <x:v>46049</x:v>
      </x:c>
      <x:c r="C475" s="7" t="str">
        <x:v>Bind</x:v>
      </x:c>
      <x:c r="D475" s="7" t="str">
        <x:v>MVP</x:v>
      </x:c>
      <x:c r="E475" s="7" t="str">
        <x:v>Neon</x:v>
      </x:c>
      <x:c r="F475" s="7" t="n">
        <x:v>13</x:v>
      </x:c>
      <x:c r="G475" s="7" t="n">
        <x:v>10</x:v>
      </x:c>
      <x:c r="H475" s="7" t="str">
        <x:f>IF(F475&gt;G475,"Win",IF(F475&lt;G475,"Loss","Draw"))</x:f>
        <x:v>Win</x:v>
      </x:c>
      <x:c r="I475" s="7" t="n">
        <x:f>IF(H475="Win",1,0)</x:f>
        <x:v>1</x:v>
      </x:c>
      <x:c r="J475" s="7" t="n">
        <x:f>F475-G475</x:f>
        <x:v>3</x:v>
      </x:c>
      <x:c r="K475" s="7" t="n">
        <x:f>F475+G475</x:f>
        <x:v>23</x:v>
      </x:c>
      <x:c r="L475" s="7" t="n">
        <x:v>28</x:v>
      </x:c>
      <x:c r="M475" s="7" t="n">
        <x:v>20</x:v>
      </x:c>
      <x:c r="N475" s="7" t="n">
        <x:v>0</x:v>
      </x:c>
      <x:c r="O475" s="9" t="n">
        <x:f>IF(M475=0,"n.a.",L475/M475)</x:f>
        <x:v>1.4</x:v>
      </x:c>
      <x:c r="P475" s="9" t="n">
        <x:f>IF(K475=0,"n.a.",L475/K475)</x:f>
        <x:v>1.2173913043478262</x:v>
      </x:c>
      <x:c r="Q475" s="9" t="n">
        <x:f>IF(K475=0,"n.a.",M475/K475)</x:f>
        <x:v>0.8695652173913043</x:v>
      </x:c>
      <x:c r="R475" s="9" t="n">
        <x:f>IF(K475=0,"n.a.",N475/K475)</x:f>
        <x:v>0</x:v>
      </x:c>
      <x:c r="S475" s="7" t="n">
        <x:v>33</x:v>
      </x:c>
      <x:c r="T475" s="10" t="n">
        <x:v>0.23</x:v>
      </x:c>
      <x:c r="U475" s="7" t="n">
        <x:v>338</x:v>
      </x:c>
      <x:c r="V475" s="7" t="n">
        <x:v>892</x:v>
      </x:c>
    </x:row>
    <x:row r="476" ht="16" customHeight="1">
      <x:c r="A476" s="7" t="n">
        <x:v>473</x:v>
      </x:c>
      <x:c r="B476" s="8" t="n">
        <x:v>46049</x:v>
      </x:c>
      <x:c r="C476" s="7" t="str">
        <x:v>Corrode</x:v>
      </x:c>
      <x:c r="D476" s="7" t="str">
        <x:v>8th</x:v>
      </x:c>
      <x:c r="E476" s="7" t="str">
        <x:v>Neon</x:v>
      </x:c>
      <x:c r="F476" s="7" t="n">
        <x:v>13</x:v>
      </x:c>
      <x:c r="G476" s="7" t="n">
        <x:v>8</x:v>
      </x:c>
      <x:c r="H476" s="7" t="str">
        <x:f>IF(F476&gt;G476,"Win",IF(F476&lt;G476,"Loss","Draw"))</x:f>
        <x:v>Win</x:v>
      </x:c>
      <x:c r="I476" s="7" t="n">
        <x:f>IF(H476="Win",1,0)</x:f>
        <x:v>1</x:v>
      </x:c>
      <x:c r="J476" s="7" t="n">
        <x:f>F476-G476</x:f>
        <x:v>5</x:v>
      </x:c>
      <x:c r="K476" s="7" t="n">
        <x:f>F476+G476</x:f>
        <x:v>21</x:v>
      </x:c>
      <x:c r="L476" s="7" t="n">
        <x:v>13</x:v>
      </x:c>
      <x:c r="M476" s="7" t="n">
        <x:v>15</x:v>
      </x:c>
      <x:c r="N476" s="7" t="n">
        <x:v>3</x:v>
      </x:c>
      <x:c r="O476" s="9" t="n">
        <x:f>IF(M476=0,"n.a.",L476/M476)</x:f>
        <x:v>0.8666666666666667</x:v>
      </x:c>
      <x:c r="P476" s="9" t="n">
        <x:f>IF(K476=0,"n.a.",L476/K476)</x:f>
        <x:v>0.6190476190476191</x:v>
      </x:c>
      <x:c r="Q476" s="9" t="n">
        <x:f>IF(K476=0,"n.a.",M476/K476)</x:f>
        <x:v>0.7142857142857143</x:v>
      </x:c>
      <x:c r="R476" s="9" t="n">
        <x:f>IF(K476=0,"n.a.",N476/K476)</x:f>
        <x:v>0.14285714285714285</x:v>
      </x:c>
      <x:c r="S476" s="7" t="n">
        <x:v>-6</x:v>
      </x:c>
      <x:c r="T476" s="10" t="n">
        <x:v>0.36</x:v>
      </x:c>
      <x:c r="U476" s="7" t="n">
        <x:v>180</x:v>
      </x:c>
      <x:c r="V476" s="7" t="n">
        <x:v>433</x:v>
      </x:c>
    </x:row>
    <x:row r="477" ht="16" customHeight="1">
      <x:c r="A477" s="7" t="n">
        <x:v>474</x:v>
      </x:c>
      <x:c r="B477" s="8" t="n">
        <x:v>46049</x:v>
      </x:c>
      <x:c r="C477" s="7" t="str">
        <x:v>Haven</x:v>
      </x:c>
      <x:c r="D477" s="7" t="str">
        <x:v>10th</x:v>
      </x:c>
      <x:c r="E477" s="7" t="str">
        <x:v>Neon</x:v>
      </x:c>
      <x:c r="F477" s="7" t="n">
        <x:v>4</x:v>
      </x:c>
      <x:c r="G477" s="7" t="n">
        <x:v>13</x:v>
      </x:c>
      <x:c r="H477" s="7" t="str">
        <x:f>IF(F477&gt;G477,"Win",IF(F477&lt;G477,"Loss","Draw"))</x:f>
        <x:v>Loss</x:v>
      </x:c>
      <x:c r="I477" s="7" t="n">
        <x:f>IF(H477="Win",1,0)</x:f>
        <x:v>0</x:v>
      </x:c>
      <x:c r="J477" s="7" t="n">
        <x:f>F477-G477</x:f>
        <x:v>-9</x:v>
      </x:c>
      <x:c r="K477" s="7" t="n">
        <x:f>F477+G477</x:f>
        <x:v>17</x:v>
      </x:c>
      <x:c r="L477" s="7" t="n">
        <x:v>3</x:v>
      </x:c>
      <x:c r="M477" s="7" t="n">
        <x:v>15</x:v>
      </x:c>
      <x:c r="N477" s="7" t="n">
        <x:v>3</x:v>
      </x:c>
      <x:c r="O477" s="9" t="n">
        <x:f>IF(M477=0,"n.a.",L477/M477)</x:f>
        <x:v>0.2</x:v>
      </x:c>
      <x:c r="P477" s="9" t="n">
        <x:f>IF(K477=0,"n.a.",L477/K477)</x:f>
        <x:v>0.17647058823529413</x:v>
      </x:c>
      <x:c r="Q477" s="9" t="n">
        <x:f>IF(K477=0,"n.a.",M477/K477)</x:f>
        <x:v>0.8823529411764706</x:v>
      </x:c>
      <x:c r="R477" s="9" t="n">
        <x:f>IF(K477=0,"n.a.",N477/K477)</x:f>
        <x:v>0.17647058823529413</x:v>
      </x:c>
      <x:c r="S477" s="7" t="n">
        <x:v>-116</x:v>
      </x:c>
      <x:c r="T477" s="10" t="n">
        <x:v>0.23</x:v>
      </x:c>
      <x:c r="U477" s="7" t="n">
        <x:v>58</x:v>
      </x:c>
      <x:c r="V477" s="7" t="n">
        <x:v>100</x:v>
      </x:c>
    </x:row>
    <x:row r="478" ht="16" customHeight="1">
      <x:c r="A478" s="7" t="n">
        <x:v>475</x:v>
      </x:c>
      <x:c r="B478" s="8" t="n">
        <x:v>46049</x:v>
      </x:c>
      <x:c r="C478" s="7" t="str">
        <x:v>Breeze</x:v>
      </x:c>
      <x:c r="D478" s="7" t="str">
        <x:v>5th</x:v>
      </x:c>
      <x:c r="E478" s="7" t="str">
        <x:v>Neon</x:v>
      </x:c>
      <x:c r="F478" s="7" t="n">
        <x:v>7</x:v>
      </x:c>
      <x:c r="G478" s="7" t="n">
        <x:v>13</x:v>
      </x:c>
      <x:c r="H478" s="7" t="str">
        <x:f>IF(F478&gt;G478,"Win",IF(F478&lt;G478,"Loss","Draw"))</x:f>
        <x:v>Loss</x:v>
      </x:c>
      <x:c r="I478" s="7" t="n">
        <x:f>IF(H478="Win",1,0)</x:f>
        <x:v>0</x:v>
      </x:c>
      <x:c r="J478" s="7" t="n">
        <x:f>F478-G478</x:f>
        <x:v>-6</x:v>
      </x:c>
      <x:c r="K478" s="7" t="n">
        <x:f>F478+G478</x:f>
        <x:v>20</x:v>
      </x:c>
      <x:c r="L478" s="7" t="n">
        <x:v>15</x:v>
      </x:c>
      <x:c r="M478" s="7" t="n">
        <x:v>20</x:v>
      </x:c>
      <x:c r="N478" s="7" t="n">
        <x:v>2</x:v>
      </x:c>
      <x:c r="O478" s="9" t="n">
        <x:f>IF(M478=0,"n.a.",L478/M478)</x:f>
        <x:v>0.75</x:v>
      </x:c>
      <x:c r="P478" s="9" t="n">
        <x:f>IF(K478=0,"n.a.",L478/K478)</x:f>
        <x:v>0.75</x:v>
      </x:c>
      <x:c r="Q478" s="9" t="n">
        <x:f>IF(K478=0,"n.a.",M478/K478)</x:f>
        <x:v>1</x:v>
      </x:c>
      <x:c r="R478" s="9" t="n">
        <x:f>IF(K478=0,"n.a.",N478/K478)</x:f>
        <x:v>0.1</x:v>
      </x:c>
      <x:c r="S478" s="7" t="n">
        <x:v>-63</x:v>
      </x:c>
      <x:c r="T478" s="10" t="n">
        <x:v>0.17</x:v>
      </x:c>
      <x:c r="U478" s="7" t="n">
        <x:v>212</x:v>
      </x:c>
      <x:c r="V478" s="7" t="n">
        <x:v>375</x:v>
      </x:c>
    </x:row>
    <x:row r="479" ht="16" customHeight="1">
      <x:c r="A479" s="7" t="n">
        <x:v>476</x:v>
      </x:c>
      <x:c r="B479" s="8" t="n">
        <x:v>46049</x:v>
      </x:c>
      <x:c r="C479" s="7" t="str">
        <x:v>Bind</x:v>
      </x:c>
      <x:c r="D479" s="7" t="str">
        <x:v>9th</x:v>
      </x:c>
      <x:c r="E479" s="7" t="str">
        <x:v>Gekko</x:v>
      </x:c>
      <x:c r="F479" s="7" t="n">
        <x:v>5</x:v>
      </x:c>
      <x:c r="G479" s="7" t="n">
        <x:v>13</x:v>
      </x:c>
      <x:c r="H479" s="7" t="str">
        <x:f>IF(F479&gt;G479,"Win",IF(F479&lt;G479,"Loss","Draw"))</x:f>
        <x:v>Loss</x:v>
      </x:c>
      <x:c r="I479" s="7" t="n">
        <x:f>IF(H479="Win",1,0)</x:f>
        <x:v>0</x:v>
      </x:c>
      <x:c r="J479" s="7" t="n">
        <x:f>F479-G479</x:f>
        <x:v>-8</x:v>
      </x:c>
      <x:c r="K479" s="7" t="n">
        <x:f>F479+G479</x:f>
        <x:v>18</x:v>
      </x:c>
      <x:c r="L479" s="7" t="n">
        <x:v>9</x:v>
      </x:c>
      <x:c r="M479" s="7" t="n">
        <x:v>15</x:v>
      </x:c>
      <x:c r="N479" s="7" t="n">
        <x:v>3</x:v>
      </x:c>
      <x:c r="O479" s="9" t="n">
        <x:f>IF(M479=0,"n.a.",L479/M479)</x:f>
        <x:v>0.6</x:v>
      </x:c>
      <x:c r="P479" s="9" t="n">
        <x:f>IF(K479=0,"n.a.",L479/K479)</x:f>
        <x:v>0.5</x:v>
      </x:c>
      <x:c r="Q479" s="9" t="n">
        <x:f>IF(K479=0,"n.a.",M479/K479)</x:f>
        <x:v>0.8333333333333334</x:v>
      </x:c>
      <x:c r="R479" s="9" t="n">
        <x:f>IF(K479=0,"n.a.",N479/K479)</x:f>
        <x:v>0.16666666666666666</x:v>
      </x:c>
      <x:c r="S479" s="7" t="n">
        <x:v>-58</x:v>
      </x:c>
      <x:c r="T479" s="10" t="n">
        <x:v>0.21</x:v>
      </x:c>
      <x:c r="U479" s="7" t="n">
        <x:v>149</x:v>
      </x:c>
      <x:c r="V479" s="7" t="n">
        <x:v>158</x:v>
      </x:c>
    </x:row>
    <x:row r="480" ht="16" customHeight="1">
      <x:c r="A480" s="7" t="n">
        <x:v>477</x:v>
      </x:c>
      <x:c r="B480" s="8" t="n">
        <x:v>46050</x:v>
      </x:c>
      <x:c r="C480" s="7" t="str">
        <x:v>Split</x:v>
      </x:c>
      <x:c r="D480" s="7" t="str">
        <x:v>10th</x:v>
      </x:c>
      <x:c r="E480" s="7" t="str">
        <x:v>Breach</x:v>
      </x:c>
      <x:c r="F480" s="7" t="n">
        <x:v>5</x:v>
      </x:c>
      <x:c r="G480" s="7" t="n">
        <x:v>13</x:v>
      </x:c>
      <x:c r="H480" s="7" t="str">
        <x:f>IF(F480&gt;G480,"Win",IF(F480&lt;G480,"Loss","Draw"))</x:f>
        <x:v>Loss</x:v>
      </x:c>
      <x:c r="I480" s="7" t="n">
        <x:f>IF(H480="Win",1,0)</x:f>
        <x:v>0</x:v>
      </x:c>
      <x:c r="J480" s="7" t="n">
        <x:f>F480-G480</x:f>
        <x:v>-8</x:v>
      </x:c>
      <x:c r="K480" s="7" t="n">
        <x:f>F480+G480</x:f>
        <x:v>18</x:v>
      </x:c>
      <x:c r="L480" s="7" t="n">
        <x:v>5</x:v>
      </x:c>
      <x:c r="M480" s="7" t="n">
        <x:v>17</x:v>
      </x:c>
      <x:c r="N480" s="7" t="n">
        <x:v>4</x:v>
      </x:c>
      <x:c r="O480" s="9" t="n">
        <x:f>IF(M480=0,"n.a.",L480/M480)</x:f>
        <x:v>0.29411764705882354</x:v>
      </x:c>
      <x:c r="P480" s="9" t="n">
        <x:f>IF(K480=0,"n.a.",L480/K480)</x:f>
        <x:v>0.2777777777777778</x:v>
      </x:c>
      <x:c r="Q480" s="9" t="n">
        <x:f>IF(K480=0,"n.a.",M480/K480)</x:f>
        <x:v>0.9444444444444444</x:v>
      </x:c>
      <x:c r="R480" s="9" t="n">
        <x:f>IF(K480=0,"n.a.",N480/K480)</x:f>
        <x:v>0.2222222222222222</x:v>
      </x:c>
      <x:c r="S480" s="7" t="n">
        <x:v>-94</x:v>
      </x:c>
      <x:c r="T480" s="10" t="n">
        <x:v>0.09</x:v>
      </x:c>
      <x:c r="U480" s="7" t="n">
        <x:v>90</x:v>
      </x:c>
      <x:c r="V480" s="7" t="n">
        <x:v>100</x:v>
      </x:c>
    </x:row>
    <x:row r="481" ht="16" customHeight="1">
      <x:c r="A481" s="7" t="n">
        <x:v>478</x:v>
      </x:c>
      <x:c r="B481" s="8" t="n">
        <x:v>46050</x:v>
      </x:c>
      <x:c r="C481" s="7" t="str">
        <x:v>Pearl</x:v>
      </x:c>
      <x:c r="D481" s="7" t="str">
        <x:v>7th</x:v>
      </x:c>
      <x:c r="E481" s="7" t="str">
        <x:v>Neon</x:v>
      </x:c>
      <x:c r="F481" s="7" t="n">
        <x:v>13</x:v>
      </x:c>
      <x:c r="G481" s="7" t="n">
        <x:v>8</x:v>
      </x:c>
      <x:c r="H481" s="7" t="str">
        <x:f>IF(F481&gt;G481,"Win",IF(F481&lt;G481,"Loss","Draw"))</x:f>
        <x:v>Win</x:v>
      </x:c>
      <x:c r="I481" s="7" t="n">
        <x:f>IF(H481="Win",1,0)</x:f>
        <x:v>1</x:v>
      </x:c>
      <x:c r="J481" s="7" t="n">
        <x:f>F481-G481</x:f>
        <x:v>5</x:v>
      </x:c>
      <x:c r="K481" s="7" t="n">
        <x:f>F481+G481</x:f>
        <x:v>21</x:v>
      </x:c>
      <x:c r="L481" s="7" t="n">
        <x:v>15</x:v>
      </x:c>
      <x:c r="M481" s="7" t="n">
        <x:v>16</x:v>
      </x:c>
      <x:c r="N481" s="7" t="n">
        <x:v>3</x:v>
      </x:c>
      <x:c r="O481" s="9" t="n">
        <x:f>IF(M481=0,"n.a.",L481/M481)</x:f>
        <x:v>0.9375</x:v>
      </x:c>
      <x:c r="P481" s="9" t="n">
        <x:f>IF(K481=0,"n.a.",L481/K481)</x:f>
        <x:v>0.7142857142857143</x:v>
      </x:c>
      <x:c r="Q481" s="9" t="n">
        <x:f>IF(K481=0,"n.a.",M481/K481)</x:f>
        <x:v>0.7619047619047619</x:v>
      </x:c>
      <x:c r="R481" s="9" t="n">
        <x:f>IF(K481=0,"n.a.",N481/K481)</x:f>
        <x:v>0.14285714285714285</x:v>
      </x:c>
      <x:c r="S481" s="7" t="n">
        <x:v>-14</x:v>
      </x:c>
      <x:c r="T481" s="10" t="n">
        <x:v>0.23</x:v>
      </x:c>
      <x:c r="U481" s="7" t="n">
        <x:v>191</x:v>
      </x:c>
      <x:c r="V481" s="7" t="n">
        <x:v>540</x:v>
      </x:c>
    </x:row>
    <x:row r="482" ht="16" customHeight="1">
      <x:c r="A482" s="7" t="n">
        <x:v>479</x:v>
      </x:c>
      <x:c r="B482" s="8" t="n">
        <x:v>46050</x:v>
      </x:c>
      <x:c r="C482" s="7" t="str">
        <x:v>Split</x:v>
      </x:c>
      <x:c r="D482" s="7" t="str">
        <x:v>4th</x:v>
      </x:c>
      <x:c r="E482" s="7" t="str">
        <x:v>Breach</x:v>
      </x:c>
      <x:c r="F482" s="7" t="n">
        <x:v>13</x:v>
      </x:c>
      <x:c r="G482" s="7" t="n">
        <x:v>5</x:v>
      </x:c>
      <x:c r="H482" s="7" t="str">
        <x:f>IF(F482&gt;G482,"Win",IF(F482&lt;G482,"Loss","Draw"))</x:f>
        <x:v>Win</x:v>
      </x:c>
      <x:c r="I482" s="7" t="n">
        <x:f>IF(H482="Win",1,0)</x:f>
        <x:v>1</x:v>
      </x:c>
      <x:c r="J482" s="7" t="n">
        <x:f>F482-G482</x:f>
        <x:v>8</x:v>
      </x:c>
      <x:c r="K482" s="7" t="n">
        <x:f>F482+G482</x:f>
        <x:v>18</x:v>
      </x:c>
      <x:c r="L482" s="7" t="n">
        <x:v>16</x:v>
      </x:c>
      <x:c r="M482" s="7" t="n">
        <x:v>13</x:v>
      </x:c>
      <x:c r="N482" s="7" t="n">
        <x:v>7</x:v>
      </x:c>
      <x:c r="O482" s="9" t="n">
        <x:f>IF(M482=0,"n.a.",L482/M482)</x:f>
        <x:v>1.2307692307692308</x:v>
      </x:c>
      <x:c r="P482" s="9" t="n">
        <x:f>IF(K482=0,"n.a.",L482/K482)</x:f>
        <x:v>0.8888888888888888</x:v>
      </x:c>
      <x:c r="Q482" s="9" t="n">
        <x:f>IF(K482=0,"n.a.",M482/K482)</x:f>
        <x:v>0.7222222222222222</x:v>
      </x:c>
      <x:c r="R482" s="9" t="n">
        <x:f>IF(K482=0,"n.a.",N482/K482)</x:f>
        <x:v>0.3888888888888889</x:v>
      </x:c>
      <x:c r="S482" s="7" t="n">
        <x:v>34</x:v>
      </x:c>
      <x:c r="T482" s="10" t="n">
        <x:v>0.2</x:v>
      </x:c>
      <x:c r="U482" s="7" t="n">
        <x:v>255</x:v>
      </x:c>
      <x:c r="V482" s="7" t="n">
        <x:v>875</x:v>
      </x:c>
    </x:row>
    <x:row r="483" ht="16" customHeight="1">
      <x:c r="A483" s="7" t="n">
        <x:v>480</x:v>
      </x:c>
      <x:c r="B483" s="8" t="n">
        <x:v>46050</x:v>
      </x:c>
      <x:c r="C483" s="7" t="str">
        <x:v>Haven</x:v>
      </x:c>
      <x:c r="D483" s="7" t="str">
        <x:v>7th</x:v>
      </x:c>
      <x:c r="E483" s="7" t="str">
        <x:v>Neon</x:v>
      </x:c>
      <x:c r="F483" s="7" t="n">
        <x:v>9</x:v>
      </x:c>
      <x:c r="G483" s="7" t="n">
        <x:v>13</x:v>
      </x:c>
      <x:c r="H483" s="7" t="str">
        <x:f>IF(F483&gt;G483,"Win",IF(F483&lt;G483,"Loss","Draw"))</x:f>
        <x:v>Loss</x:v>
      </x:c>
      <x:c r="I483" s="7" t="n">
        <x:f>IF(H483="Win",1,0)</x:f>
        <x:v>0</x:v>
      </x:c>
      <x:c r="J483" s="7" t="n">
        <x:f>F483-G483</x:f>
        <x:v>-4</x:v>
      </x:c>
      <x:c r="K483" s="7" t="n">
        <x:f>F483+G483</x:f>
        <x:v>22</x:v>
      </x:c>
      <x:c r="L483" s="7" t="n">
        <x:v>14</x:v>
      </x:c>
      <x:c r="M483" s="7" t="n">
        <x:v>16</x:v>
      </x:c>
      <x:c r="N483" s="7" t="n">
        <x:v>5</x:v>
      </x:c>
      <x:c r="O483" s="9" t="n">
        <x:f>IF(M483=0,"n.a.",L483/M483)</x:f>
        <x:v>0.875</x:v>
      </x:c>
      <x:c r="P483" s="9" t="n">
        <x:f>IF(K483=0,"n.a.",L483/K483)</x:f>
        <x:v>0.6363636363636364</x:v>
      </x:c>
      <x:c r="Q483" s="9" t="n">
        <x:f>IF(K483=0,"n.a.",M483/K483)</x:f>
        <x:v>0.7272727272727273</x:v>
      </x:c>
      <x:c r="R483" s="9" t="n">
        <x:f>IF(K483=0,"n.a.",N483/K483)</x:f>
        <x:v>0.22727272727272727</x:v>
      </x:c>
      <x:c r="S483" s="7" t="n">
        <x:v>-10</x:v>
      </x:c>
      <x:c r="T483" s="10" t="n">
        <x:v>0.11</x:v>
      </x:c>
      <x:c r="U483" s="7" t="n">
        <x:v>194</x:v>
      </x:c>
      <x:c r="V483" s="7" t="n">
        <x:v>436</x:v>
      </x:c>
    </x:row>
    <x:row r="484" ht="16" customHeight="1">
      <x:c r="A484" s="7" t="n">
        <x:v>481</x:v>
      </x:c>
      <x:c r="B484" s="8" t="n">
        <x:v>46051</x:v>
      </x:c>
      <x:c r="C484" s="7" t="str">
        <x:v>Pearl</x:v>
      </x:c>
      <x:c r="D484" s="7" t="str">
        <x:v>9th</x:v>
      </x:c>
      <x:c r="E484" s="7" t="str">
        <x:v>Neon</x:v>
      </x:c>
      <x:c r="F484" s="7" t="n">
        <x:v>12</x:v>
      </x:c>
      <x:c r="G484" s="7" t="n">
        <x:v>14</x:v>
      </x:c>
      <x:c r="H484" s="7" t="str">
        <x:f>IF(F484&gt;G484,"Win",IF(F484&lt;G484,"Loss","Draw"))</x:f>
        <x:v>Loss</x:v>
      </x:c>
      <x:c r="I484" s="7" t="n">
        <x:f>IF(H484="Win",1,0)</x:f>
        <x:v>0</x:v>
      </x:c>
      <x:c r="J484" s="7" t="n">
        <x:f>F484-G484</x:f>
        <x:v>-2</x:v>
      </x:c>
      <x:c r="K484" s="7" t="n">
        <x:f>F484+G484</x:f>
        <x:v>26</x:v>
      </x:c>
      <x:c r="L484" s="7" t="n">
        <x:v>15</x:v>
      </x:c>
      <x:c r="M484" s="7" t="n">
        <x:v>24</x:v>
      </x:c>
      <x:c r="N484" s="7" t="n">
        <x:v>7</x:v>
      </x:c>
      <x:c r="O484" s="9" t="n">
        <x:f>IF(M484=0,"n.a.",L484/M484)</x:f>
        <x:v>0.625</x:v>
      </x:c>
      <x:c r="P484" s="9" t="n">
        <x:f>IF(K484=0,"n.a.",L484/K484)</x:f>
        <x:v>0.5769230769230769</x:v>
      </x:c>
      <x:c r="Q484" s="9" t="n">
        <x:f>IF(K484=0,"n.a.",M484/K484)</x:f>
        <x:v>0.9230769230769231</x:v>
      </x:c>
      <x:c r="R484" s="9" t="n">
        <x:f>IF(K484=0,"n.a.",N484/K484)</x:f>
        <x:v>0.2692307692307692</x:v>
      </x:c>
      <x:c r="S484" s="7" t="n">
        <x:v>-38</x:v>
      </x:c>
      <x:c r="T484" s="10" t="n">
        <x:v>0.15</x:v>
      </x:c>
      <x:c r="U484" s="7" t="n">
        <x:v>171</x:v>
      </x:c>
      <x:c r="V484" s="7" t="n">
        <x:v>297</x:v>
      </x:c>
    </x:row>
    <x:row r="485" ht="16" customHeight="1">
      <x:c r="A485" s="7" t="n">
        <x:v>482</x:v>
      </x:c>
      <x:c r="B485" s="8" t="n">
        <x:v>46052</x:v>
      </x:c>
      <x:c r="C485" s="7" t="str">
        <x:v>Haven</x:v>
      </x:c>
      <x:c r="D485" s="7" t="str">
        <x:v>2nd</x:v>
      </x:c>
      <x:c r="E485" s="7" t="str">
        <x:v>Breach</x:v>
      </x:c>
      <x:c r="F485" s="7" t="n">
        <x:v>13</x:v>
      </x:c>
      <x:c r="G485" s="7" t="n">
        <x:v>9</x:v>
      </x:c>
      <x:c r="H485" s="7" t="str">
        <x:f>IF(F485&gt;G485,"Win",IF(F485&lt;G485,"Loss","Draw"))</x:f>
        <x:v>Win</x:v>
      </x:c>
      <x:c r="I485" s="7" t="n">
        <x:f>IF(H485="Win",1,0)</x:f>
        <x:v>1</x:v>
      </x:c>
      <x:c r="J485" s="7" t="n">
        <x:f>F485-G485</x:f>
        <x:v>4</x:v>
      </x:c>
      <x:c r="K485" s="7" t="n">
        <x:f>F485+G485</x:f>
        <x:v>22</x:v>
      </x:c>
      <x:c r="L485" s="7" t="n">
        <x:v>22</x:v>
      </x:c>
      <x:c r="M485" s="7" t="n">
        <x:v>15</x:v>
      </x:c>
      <x:c r="N485" s="7" t="n">
        <x:v>6</x:v>
      </x:c>
      <x:c r="O485" s="9" t="n">
        <x:f>IF(M485=0,"n.a.",L485/M485)</x:f>
        <x:v>1.4666666666666666</x:v>
      </x:c>
      <x:c r="P485" s="9" t="n">
        <x:f>IF(K485=0,"n.a.",L485/K485)</x:f>
        <x:v>1</x:v>
      </x:c>
      <x:c r="Q485" s="9" t="n">
        <x:f>IF(K485=0,"n.a.",M485/K485)</x:f>
        <x:v>0.6818181818181818</x:v>
      </x:c>
      <x:c r="R485" s="9" t="n">
        <x:f>IF(K485=0,"n.a.",N485/K485)</x:f>
        <x:v>0.2727272727272727</x:v>
      </x:c>
      <x:c r="S485" s="7" t="n">
        <x:v>76</x:v>
      </x:c>
      <x:c r="T485" s="10" t="n">
        <x:v>0.37</x:v>
      </x:c>
      <x:c r="U485" s="7" t="n">
        <x:v>282</x:v>
      </x:c>
      <x:c r="V485" s="7" t="n">
        <x:v>739</x:v>
      </x:c>
    </x:row>
    <x:row r="486" ht="16" customHeight="1">
      <x:c r="A486" s="7" t="n">
        <x:v>483</x:v>
      </x:c>
      <x:c r="B486" s="8" t="n">
        <x:v>46052</x:v>
      </x:c>
      <x:c r="C486" s="7" t="str">
        <x:v>Abyss</x:v>
      </x:c>
      <x:c r="D486" s="7" t="str">
        <x:v>4th</x:v>
      </x:c>
      <x:c r="E486" s="7" t="str">
        <x:v>Neon</x:v>
      </x:c>
      <x:c r="F486" s="7" t="n">
        <x:v>13</x:v>
      </x:c>
      <x:c r="G486" s="7" t="n">
        <x:v>9</x:v>
      </x:c>
      <x:c r="H486" s="7" t="str">
        <x:f>IF(F486&gt;G486,"Win",IF(F486&lt;G486,"Loss","Draw"))</x:f>
        <x:v>Win</x:v>
      </x:c>
      <x:c r="I486" s="7" t="n">
        <x:f>IF(H486="Win",1,0)</x:f>
        <x:v>1</x:v>
      </x:c>
      <x:c r="J486" s="7" t="n">
        <x:f>F486-G486</x:f>
        <x:v>4</x:v>
      </x:c>
      <x:c r="K486" s="7" t="n">
        <x:f>F486+G486</x:f>
        <x:v>22</x:v>
      </x:c>
      <x:c r="L486" s="7" t="n">
        <x:v>18</x:v>
      </x:c>
      <x:c r="M486" s="7" t="n">
        <x:v>14</x:v>
      </x:c>
      <x:c r="N486" s="7" t="n">
        <x:v>3</x:v>
      </x:c>
      <x:c r="O486" s="9" t="n">
        <x:f>IF(M486=0,"n.a.",L486/M486)</x:f>
        <x:v>1.2857142857142858</x:v>
      </x:c>
      <x:c r="P486" s="9" t="n">
        <x:f>IF(K486=0,"n.a.",L486/K486)</x:f>
        <x:v>0.8181818181818182</x:v>
      </x:c>
      <x:c r="Q486" s="9" t="n">
        <x:f>IF(K486=0,"n.a.",M486/K486)</x:f>
        <x:v>0.6363636363636364</x:v>
      </x:c>
      <x:c r="R486" s="9" t="n">
        <x:f>IF(K486=0,"n.a.",N486/K486)</x:f>
        <x:v>0.13636363636363635</x:v>
      </x:c>
      <x:c r="S486" s="7" t="n">
        <x:v>26</x:v>
      </x:c>
      <x:c r="T486" s="10" t="n">
        <x:v>0.4</x:v>
      </x:c>
      <x:c r="U486" s="7" t="n">
        <x:v>224</x:v>
      </x:c>
      <x:c r="V486" s="7" t="n">
        <x:v>803</x:v>
      </x:c>
    </x:row>
    <x:row r="487" ht="16" customHeight="1">
      <x:c r="A487" s="7" t="n">
        <x:v>484</x:v>
      </x:c>
      <x:c r="B487" s="8" t="n">
        <x:v>46052</x:v>
      </x:c>
      <x:c r="C487" s="7" t="str">
        <x:v>Breeze</x:v>
      </x:c>
      <x:c r="D487" s="7" t="str">
        <x:v>6th</x:v>
      </x:c>
      <x:c r="E487" s="7" t="str">
        <x:v>Neon</x:v>
      </x:c>
      <x:c r="F487" s="7" t="n">
        <x:v>11</x:v>
      </x:c>
      <x:c r="G487" s="7" t="n">
        <x:v>13</x:v>
      </x:c>
      <x:c r="H487" s="7" t="str">
        <x:f>IF(F487&gt;G487,"Win",IF(F487&lt;G487,"Loss","Draw"))</x:f>
        <x:v>Loss</x:v>
      </x:c>
      <x:c r="I487" s="7" t="n">
        <x:f>IF(H487="Win",1,0)</x:f>
        <x:v>0</x:v>
      </x:c>
      <x:c r="J487" s="7" t="n">
        <x:f>F487-G487</x:f>
        <x:v>-2</x:v>
      </x:c>
      <x:c r="K487" s="7" t="n">
        <x:f>F487+G487</x:f>
        <x:v>24</x:v>
      </x:c>
      <x:c r="L487" s="7" t="n">
        <x:v>16</x:v>
      </x:c>
      <x:c r="M487" s="7" t="n">
        <x:v>20</x:v>
      </x:c>
      <x:c r="N487" s="7" t="n">
        <x:v>3</x:v>
      </x:c>
      <x:c r="O487" s="9" t="n">
        <x:f>IF(M487=0,"n.a.",L487/M487)</x:f>
        <x:v>0.8</x:v>
      </x:c>
      <x:c r="P487" s="9" t="n">
        <x:f>IF(K487=0,"n.a.",L487/K487)</x:f>
        <x:v>0.6666666666666666</x:v>
      </x:c>
      <x:c r="Q487" s="9" t="n">
        <x:f>IF(K487=0,"n.a.",M487/K487)</x:f>
        <x:v>0.8333333333333334</x:v>
      </x:c>
      <x:c r="R487" s="9" t="n">
        <x:f>IF(K487=0,"n.a.",N487/K487)</x:f>
        <x:v>0.125</x:v>
      </x:c>
      <x:c r="S487" s="7" t="n">
        <x:v>-32</x:v>
      </x:c>
      <x:c r="T487" s="10" t="n">
        <x:v>0.22</x:v>
      </x:c>
      <x:c r="U487" s="7" t="n">
        <x:v>188</x:v>
      </x:c>
      <x:c r="V487" s="7" t="n">
        <x:v>341</x:v>
      </x:c>
    </x:row>
    <x:row r="488" ht="16" customHeight="1">
      <x:c r="A488" s="7" t="n">
        <x:v>485</x:v>
      </x:c>
      <x:c r="B488" s="8" t="n">
        <x:v>46052</x:v>
      </x:c>
      <x:c r="C488" s="7" t="str">
        <x:v>Bind</x:v>
      </x:c>
      <x:c r="D488" s="7" t="str">
        <x:v>5th</x:v>
      </x:c>
      <x:c r="E488" s="7" t="str">
        <x:v>Neon</x:v>
      </x:c>
      <x:c r="F488" s="7" t="n">
        <x:v>13</x:v>
      </x:c>
      <x:c r="G488" s="7" t="n">
        <x:v>10</x:v>
      </x:c>
      <x:c r="H488" s="7" t="str">
        <x:f>IF(F488&gt;G488,"Win",IF(F488&lt;G488,"Loss","Draw"))</x:f>
        <x:v>Win</x:v>
      </x:c>
      <x:c r="I488" s="7" t="n">
        <x:f>IF(H488="Win",1,0)</x:f>
        <x:v>1</x:v>
      </x:c>
      <x:c r="J488" s="7" t="n">
        <x:f>F488-G488</x:f>
        <x:v>3</x:v>
      </x:c>
      <x:c r="K488" s="7" t="n">
        <x:f>F488+G488</x:f>
        <x:v>23</x:v>
      </x:c>
      <x:c r="L488" s="7" t="n">
        <x:v>18</x:v>
      </x:c>
      <x:c r="M488" s="7" t="n">
        <x:v>19</x:v>
      </x:c>
      <x:c r="N488" s="7" t="n">
        <x:v>2</x:v>
      </x:c>
      <x:c r="O488" s="9" t="n">
        <x:f>IF(M488=0,"n.a.",L488/M488)</x:f>
        <x:v>0.9473684210526315</x:v>
      </x:c>
      <x:c r="P488" s="9" t="n">
        <x:f>IF(K488=0,"n.a.",L488/K488)</x:f>
        <x:v>0.782608695652174</x:v>
      </x:c>
      <x:c r="Q488" s="9" t="n">
        <x:f>IF(K488=0,"n.a.",M488/K488)</x:f>
        <x:v>0.8260869565217391</x:v>
      </x:c>
      <x:c r="R488" s="9" t="n">
        <x:f>IF(K488=0,"n.a.",N488/K488)</x:f>
        <x:v>0.08695652173913043</x:v>
      </x:c>
      <x:c r="S488" s="7" t="n">
        <x:v>-21</x:v>
      </x:c>
      <x:c r="T488" s="10" t="n">
        <x:v>0.35</x:v>
      </x:c>
      <x:c r="U488" s="7" t="n">
        <x:v>219</x:v>
      </x:c>
      <x:c r="V488" s="7" t="n">
        <x:v>593</x:v>
      </x:c>
    </x:row>
    <x:row r="489" ht="16" customHeight="1">
      <x:c r="A489" s="7" t="n">
        <x:v>486</x:v>
      </x:c>
      <x:c r="B489" s="8" t="n">
        <x:v>46052</x:v>
      </x:c>
      <x:c r="C489" s="7" t="str">
        <x:v>Bind</x:v>
      </x:c>
      <x:c r="D489" s="7" t="str">
        <x:v>3rd</x:v>
      </x:c>
      <x:c r="E489" s="7" t="str">
        <x:v>Neon</x:v>
      </x:c>
      <x:c r="F489" s="7" t="n">
        <x:v>13</x:v>
      </x:c>
      <x:c r="G489" s="7" t="n">
        <x:v>4</x:v>
      </x:c>
      <x:c r="H489" s="7" t="str">
        <x:f>IF(F489&gt;G489,"Win",IF(F489&lt;G489,"Loss","Draw"))</x:f>
        <x:v>Win</x:v>
      </x:c>
      <x:c r="I489" s="7" t="n">
        <x:f>IF(H489="Win",1,0)</x:f>
        <x:v>1</x:v>
      </x:c>
      <x:c r="J489" s="7" t="n">
        <x:f>F489-G489</x:f>
        <x:v>9</x:v>
      </x:c>
      <x:c r="K489" s="7" t="n">
        <x:f>F489+G489</x:f>
        <x:v>17</x:v>
      </x:c>
      <x:c r="L489" s="7" t="n">
        <x:v>17</x:v>
      </x:c>
      <x:c r="M489" s="7" t="n">
        <x:v>12</x:v>
      </x:c>
      <x:c r="N489" s="7" t="n">
        <x:v>1</x:v>
      </x:c>
      <x:c r="O489" s="9" t="n">
        <x:f>IF(M489=0,"n.a.",L489/M489)</x:f>
        <x:v>1.4166666666666667</x:v>
      </x:c>
      <x:c r="P489" s="9" t="n">
        <x:f>IF(K489=0,"n.a.",L489/K489)</x:f>
        <x:v>1</x:v>
      </x:c>
      <x:c r="Q489" s="9" t="n">
        <x:f>IF(K489=0,"n.a.",M489/K489)</x:f>
        <x:v>0.7058823529411765</x:v>
      </x:c>
      <x:c r="R489" s="9" t="n">
        <x:f>IF(K489=0,"n.a.",N489/K489)</x:f>
        <x:v>0.058823529411764705</x:v>
      </x:c>
      <x:c r="S489" s="7" t="n">
        <x:v>19</x:v>
      </x:c>
      <x:c r="T489" s="10" t="n">
        <x:v>0.18</x:v>
      </x:c>
      <x:c r="U489" s="7" t="n">
        <x:v>261</x:v>
      </x:c>
      <x:c r="V489" s="7" t="n">
        <x:v>714</x:v>
      </x:c>
    </x:row>
    <x:row r="490" ht="16" customHeight="1">
      <x:c r="A490" s="7" t="n">
        <x:v>487</x:v>
      </x:c>
      <x:c r="B490" s="8" t="n">
        <x:v>46053</x:v>
      </x:c>
      <x:c r="C490" s="7" t="str">
        <x:v>Split</x:v>
      </x:c>
      <x:c r="D490" s="7" t="str">
        <x:v>8th</x:v>
      </x:c>
      <x:c r="E490" s="7" t="str">
        <x:v>Neon</x:v>
      </x:c>
      <x:c r="F490" s="7" t="n">
        <x:v>10</x:v>
      </x:c>
      <x:c r="G490" s="7" t="n">
        <x:v>13</x:v>
      </x:c>
      <x:c r="H490" s="7" t="str">
        <x:f>IF(F490&gt;G490,"Win",IF(F490&lt;G490,"Loss","Draw"))</x:f>
        <x:v>Loss</x:v>
      </x:c>
      <x:c r="I490" s="7" t="n">
        <x:f>IF(H490="Win",1,0)</x:f>
        <x:v>0</x:v>
      </x:c>
      <x:c r="J490" s="7" t="n">
        <x:f>F490-G490</x:f>
        <x:v>-3</x:v>
      </x:c>
      <x:c r="K490" s="7" t="n">
        <x:f>F490+G490</x:f>
        <x:v>23</x:v>
      </x:c>
      <x:c r="L490" s="7" t="n">
        <x:v>14</x:v>
      </x:c>
      <x:c r="M490" s="7" t="n">
        <x:v>18</x:v>
      </x:c>
      <x:c r="N490" s="7" t="n">
        <x:v>0</x:v>
      </x:c>
      <x:c r="O490" s="9" t="n">
        <x:f>IF(M490=0,"n.a.",L490/M490)</x:f>
        <x:v>0.7777777777777778</x:v>
      </x:c>
      <x:c r="P490" s="9" t="n">
        <x:f>IF(K490=0,"n.a.",L490/K490)</x:f>
        <x:v>0.6086956521739131</x:v>
      </x:c>
      <x:c r="Q490" s="9" t="n">
        <x:f>IF(K490=0,"n.a.",M490/K490)</x:f>
        <x:v>0.782608695652174</x:v>
      </x:c>
      <x:c r="R490" s="9" t="n">
        <x:f>IF(K490=0,"n.a.",N490/K490)</x:f>
        <x:v>0</x:v>
      </x:c>
      <x:c r="S490" s="7" t="n">
        <x:v>-36</x:v>
      </x:c>
      <x:c r="T490" s="10" t="n">
        <x:v>0.14</x:v>
      </x:c>
      <x:c r="U490" s="7" t="n">
        <x:v>158</x:v>
      </x:c>
      <x:c r="V490" s="7" t="n">
        <x:v>284</x:v>
      </x:c>
    </x:row>
    <x:row r="491" ht="16" customHeight="1">
      <x:c r="A491" s="7" t="n">
        <x:v>488</x:v>
      </x:c>
      <x:c r="B491" s="8" t="n">
        <x:v>46053</x:v>
      </x:c>
      <x:c r="C491" s="7" t="str">
        <x:v>Haven</x:v>
      </x:c>
      <x:c r="D491" s="7" t="str">
        <x:v>4th</x:v>
      </x:c>
      <x:c r="E491" s="7" t="str">
        <x:v>Iso</x:v>
      </x:c>
      <x:c r="F491" s="7" t="n">
        <x:v>10</x:v>
      </x:c>
      <x:c r="G491" s="7" t="n">
        <x:v>13</x:v>
      </x:c>
      <x:c r="H491" s="7" t="str">
        <x:f>IF(F491&gt;G491,"Win",IF(F491&lt;G491,"Loss","Draw"))</x:f>
        <x:v>Loss</x:v>
      </x:c>
      <x:c r="I491" s="7" t="n">
        <x:f>IF(H491="Win",1,0)</x:f>
        <x:v>0</x:v>
      </x:c>
      <x:c r="J491" s="7" t="n">
        <x:f>F491-G491</x:f>
        <x:v>-3</x:v>
      </x:c>
      <x:c r="K491" s="7" t="n">
        <x:f>F491+G491</x:f>
        <x:v>23</x:v>
      </x:c>
      <x:c r="L491" s="7" t="n">
        <x:v>21</x:v>
      </x:c>
      <x:c r="M491" s="7" t="n">
        <x:v>22</x:v>
      </x:c>
      <x:c r="N491" s="7" t="n">
        <x:v>0</x:v>
      </x:c>
      <x:c r="O491" s="9" t="n">
        <x:f>IF(M491=0,"n.a.",L491/M491)</x:f>
        <x:v>0.9545454545454546</x:v>
      </x:c>
      <x:c r="P491" s="9" t="n">
        <x:f>IF(K491=0,"n.a.",L491/K491)</x:f>
        <x:v>0.9130434782608695</x:v>
      </x:c>
      <x:c r="Q491" s="9" t="n">
        <x:f>IF(K491=0,"n.a.",M491/K491)</x:f>
        <x:v>0.9565217391304348</x:v>
      </x:c>
      <x:c r="R491" s="9" t="n">
        <x:f>IF(K491=0,"n.a.",N491/K491)</x:f>
        <x:v>0</x:v>
      </x:c>
      <x:c r="S491" s="7" t="n">
        <x:v>-9</x:v>
      </x:c>
      <x:c r="T491" s="10" t="n">
        <x:v>0.27</x:v>
      </x:c>
      <x:c r="U491" s="7" t="n">
        <x:v>255</x:v>
      </x:c>
      <x:c r="V491" s="7" t="n">
        <x:v>611</x:v>
      </x:c>
    </x:row>
    <x:row r="492" ht="16" customHeight="1">
      <x:c r="A492" s="7" t="n">
        <x:v>489</x:v>
      </x:c>
      <x:c r="B492" s="8" t="n">
        <x:v>46053</x:v>
      </x:c>
      <x:c r="C492" s="7" t="str">
        <x:v>Bind</x:v>
      </x:c>
      <x:c r="D492" s="7" t="str">
        <x:v>2nd</x:v>
      </x:c>
      <x:c r="E492" s="7" t="str">
        <x:v>Neon</x:v>
      </x:c>
      <x:c r="F492" s="7" t="n">
        <x:v>11</x:v>
      </x:c>
      <x:c r="G492" s="7" t="n">
        <x:v>13</x:v>
      </x:c>
      <x:c r="H492" s="7" t="str">
        <x:f>IF(F492&gt;G492,"Win",IF(F492&lt;G492,"Loss","Draw"))</x:f>
        <x:v>Loss</x:v>
      </x:c>
      <x:c r="I492" s="7" t="n">
        <x:f>IF(H492="Win",1,0)</x:f>
        <x:v>0</x:v>
      </x:c>
      <x:c r="J492" s="7" t="n">
        <x:f>F492-G492</x:f>
        <x:v>-2</x:v>
      </x:c>
      <x:c r="K492" s="7" t="n">
        <x:f>F492+G492</x:f>
        <x:v>24</x:v>
      </x:c>
      <x:c r="L492" s="7" t="n">
        <x:v>25</x:v>
      </x:c>
      <x:c r="M492" s="7" t="n">
        <x:v>21</x:v>
      </x:c>
      <x:c r="N492" s="7" t="n">
        <x:v>2</x:v>
      </x:c>
      <x:c r="O492" s="9" t="n">
        <x:f>IF(M492=0,"n.a.",L492/M492)</x:f>
        <x:v>1.1904761904761905</x:v>
      </x:c>
      <x:c r="P492" s="9" t="n">
        <x:f>IF(K492=0,"n.a.",L492/K492)</x:f>
        <x:v>1.0416666666666667</x:v>
      </x:c>
      <x:c r="Q492" s="9" t="n">
        <x:f>IF(K492=0,"n.a.",M492/K492)</x:f>
        <x:v>0.875</x:v>
      </x:c>
      <x:c r="R492" s="9" t="n">
        <x:f>IF(K492=0,"n.a.",N492/K492)</x:f>
        <x:v>0.08333333333333333</x:v>
      </x:c>
      <x:c r="S492" s="7" t="n">
        <x:v>18</x:v>
      </x:c>
      <x:c r="T492" s="10" t="n">
        <x:v>0.29</x:v>
      </x:c>
      <x:c r="U492" s="7" t="n">
        <x:v>288</x:v>
      </x:c>
      <x:c r="V492" s="7" t="n">
        <x:v>603</x:v>
      </x:c>
    </x:row>
    <x:row r="493" ht="16" customHeight="1">
      <x:c r="A493" s="7" t="n">
        <x:v>490</x:v>
      </x:c>
      <x:c r="B493" s="8" t="n">
        <x:v>46053</x:v>
      </x:c>
      <x:c r="C493" s="7" t="str">
        <x:v>Pearl</x:v>
      </x:c>
      <x:c r="D493" s="7" t="str">
        <x:v>2nd</x:v>
      </x:c>
      <x:c r="E493" s="7" t="str">
        <x:v>Sage</x:v>
      </x:c>
      <x:c r="F493" s="7" t="n">
        <x:v>13</x:v>
      </x:c>
      <x:c r="G493" s="7" t="n">
        <x:v>8</x:v>
      </x:c>
      <x:c r="H493" s="7" t="str">
        <x:f>IF(F493&gt;G493,"Win",IF(F493&lt;G493,"Loss","Draw"))</x:f>
        <x:v>Win</x:v>
      </x:c>
      <x:c r="I493" s="7" t="n">
        <x:f>IF(H493="Win",1,0)</x:f>
        <x:v>1</x:v>
      </x:c>
      <x:c r="J493" s="7" t="n">
        <x:f>F493-G493</x:f>
        <x:v>5</x:v>
      </x:c>
      <x:c r="K493" s="7" t="n">
        <x:f>F493+G493</x:f>
        <x:v>21</x:v>
      </x:c>
      <x:c r="L493" s="7" t="n">
        <x:v>20</x:v>
      </x:c>
      <x:c r="M493" s="7" t="n">
        <x:v>10</x:v>
      </x:c>
      <x:c r="N493" s="7" t="n">
        <x:v>8</x:v>
      </x:c>
      <x:c r="O493" s="9" t="n">
        <x:f>IF(M493=0,"n.a.",L493/M493)</x:f>
        <x:v>2</x:v>
      </x:c>
      <x:c r="P493" s="9" t="n">
        <x:f>IF(K493=0,"n.a.",L493/K493)</x:f>
        <x:v>0.9523809523809523</x:v>
      </x:c>
      <x:c r="Q493" s="9" t="n">
        <x:f>IF(K493=0,"n.a.",M493/K493)</x:f>
        <x:v>0.47619047619047616</x:v>
      </x:c>
      <x:c r="R493" s="9" t="n">
        <x:f>IF(K493=0,"n.a.",N493/K493)</x:f>
        <x:v>0.38095238095238093</x:v>
      </x:c>
      <x:c r="S493" s="7" t="n">
        <x:v>74</x:v>
      </x:c>
      <x:c r="T493" s="10" t="n">
        <x:v>0.38</x:v>
      </x:c>
      <x:c r="U493" s="7" t="n">
        <x:v>260</x:v>
      </x:c>
      <x:c r="V493" s="7" t="n">
        <x:v>833</x:v>
      </x:c>
    </x:row>
    <x:row r="494" ht="16" customHeight="1">
      <x:c r="A494" s="7" t="n">
        <x:v>491</x:v>
      </x:c>
      <x:c r="B494" s="8" t="n">
        <x:v>46053</x:v>
      </x:c>
      <x:c r="C494" s="7" t="str">
        <x:v>Split</x:v>
      </x:c>
      <x:c r="D494" s="7" t="str">
        <x:v>6th</x:v>
      </x:c>
      <x:c r="E494" s="7" t="str">
        <x:v>Neon</x:v>
      </x:c>
      <x:c r="F494" s="7" t="n">
        <x:v>4</x:v>
      </x:c>
      <x:c r="G494" s="7" t="n">
        <x:v>13</x:v>
      </x:c>
      <x:c r="H494" s="7" t="str">
        <x:f>IF(F494&gt;G494,"Win",IF(F494&lt;G494,"Loss","Draw"))</x:f>
        <x:v>Loss</x:v>
      </x:c>
      <x:c r="I494" s="7" t="n">
        <x:f>IF(H494="Win",1,0)</x:f>
        <x:v>0</x:v>
      </x:c>
      <x:c r="J494" s="7" t="n">
        <x:f>F494-G494</x:f>
        <x:v>-9</x:v>
      </x:c>
      <x:c r="K494" s="7" t="n">
        <x:f>F494+G494</x:f>
        <x:v>17</x:v>
      </x:c>
      <x:c r="L494" s="7" t="n">
        <x:v>10</x:v>
      </x:c>
      <x:c r="M494" s="7" t="n">
        <x:v>16</x:v>
      </x:c>
      <x:c r="N494" s="7" t="n">
        <x:v>3</x:v>
      </x:c>
      <x:c r="O494" s="9" t="n">
        <x:f>IF(M494=0,"n.a.",L494/M494)</x:f>
        <x:v>0.625</x:v>
      </x:c>
      <x:c r="P494" s="9" t="n">
        <x:f>IF(K494=0,"n.a.",L494/K494)</x:f>
        <x:v>0.5882352941176471</x:v>
      </x:c>
      <x:c r="Q494" s="9" t="n">
        <x:f>IF(K494=0,"n.a.",M494/K494)</x:f>
        <x:v>0.9411764705882353</x:v>
      </x:c>
      <x:c r="R494" s="9" t="n">
        <x:f>IF(K494=0,"n.a.",N494/K494)</x:f>
        <x:v>0.17647058823529413</x:v>
      </x:c>
      <x:c r="S494" s="7" t="n">
        <x:v>-35</x:v>
      </x:c>
      <x:c r="T494" s="10" t="n">
        <x:v>0.25</x:v>
      </x:c>
      <x:c r="U494" s="7" t="n">
        <x:v>179</x:v>
      </x:c>
      <x:c r="V494" s="7" t="n">
        <x:v>251</x:v>
      </x:c>
    </x:row>
    <x:row r="495" ht="16" customHeight="1">
      <x:c r="A495" s="7" t="n">
        <x:v>492</x:v>
      </x:c>
      <x:c r="B495" s="8" t="n">
        <x:v>46053</x:v>
      </x:c>
      <x:c r="C495" s="7" t="str">
        <x:v>Breeze</x:v>
      </x:c>
      <x:c r="D495" s="7" t="str">
        <x:v>5th</x:v>
      </x:c>
      <x:c r="E495" s="7" t="str">
        <x:v>Neon</x:v>
      </x:c>
      <x:c r="F495" s="7" t="n">
        <x:v>13</x:v>
      </x:c>
      <x:c r="G495" s="7" t="n">
        <x:v>9</x:v>
      </x:c>
      <x:c r="H495" s="7" t="str">
        <x:f>IF(F495&gt;G495,"Win",IF(F495&lt;G495,"Loss","Draw"))</x:f>
        <x:v>Win</x:v>
      </x:c>
      <x:c r="I495" s="7" t="n">
        <x:f>IF(H495="Win",1,0)</x:f>
        <x:v>1</x:v>
      </x:c>
      <x:c r="J495" s="7" t="n">
        <x:f>F495-G495</x:f>
        <x:v>4</x:v>
      </x:c>
      <x:c r="K495" s="7" t="n">
        <x:f>F495+G495</x:f>
        <x:v>22</x:v>
      </x:c>
      <x:c r="L495" s="7" t="n">
        <x:v>16</x:v>
      </x:c>
      <x:c r="M495" s="7" t="n">
        <x:v>16</x:v>
      </x:c>
      <x:c r="N495" s="7" t="n">
        <x:v>1</x:v>
      </x:c>
      <x:c r="O495" s="9" t="n">
        <x:f>IF(M495=0,"n.a.",L495/M495)</x:f>
        <x:v>1</x:v>
      </x:c>
      <x:c r="P495" s="9" t="n">
        <x:f>IF(K495=0,"n.a.",L495/K495)</x:f>
        <x:v>0.7272727272727273</x:v>
      </x:c>
      <x:c r="Q495" s="9" t="n">
        <x:f>IF(K495=0,"n.a.",M495/K495)</x:f>
        <x:v>0.7272727272727273</x:v>
      </x:c>
      <x:c r="R495" s="9" t="n">
        <x:f>IF(K495=0,"n.a.",N495/K495)</x:f>
        <x:v>0.045454545454545456</x:v>
      </x:c>
      <x:c r="S495" s="7" t="n">
        <x:v>-16</x:v>
      </x:c>
      <x:c r="T495" s="10" t="n">
        <x:v>0.18</x:v>
      </x:c>
      <x:c r="U495" s="7" t="n">
        <x:v>200</x:v>
      </x:c>
      <x:c r="V495" s="7" t="n">
        <x:v>440</x:v>
      </x:c>
    </x:row>
    <x:row r="496" ht="16" customHeight="1">
      <x:c r="A496" s="7" t="n">
        <x:v>493</x:v>
      </x:c>
      <x:c r="B496" s="8" t="n">
        <x:v>46056</x:v>
      </x:c>
      <x:c r="C496" s="7" t="str">
        <x:v>Abyss</x:v>
      </x:c>
      <x:c r="D496" s="7" t="str">
        <x:v>8th</x:v>
      </x:c>
      <x:c r="E496" s="7" t="str">
        <x:v>Neon</x:v>
      </x:c>
      <x:c r="F496" s="7" t="n">
        <x:v>15</x:v>
      </x:c>
      <x:c r="G496" s="7" t="n">
        <x:v>13</x:v>
      </x:c>
      <x:c r="H496" s="7" t="str">
        <x:f>IF(F496&gt;G496,"Win",IF(F496&lt;G496,"Loss","Draw"))</x:f>
        <x:v>Win</x:v>
      </x:c>
      <x:c r="I496" s="7" t="n">
        <x:f>IF(H496="Win",1,0)</x:f>
        <x:v>1</x:v>
      </x:c>
      <x:c r="J496" s="7" t="n">
        <x:f>F496-G496</x:f>
        <x:v>2</x:v>
      </x:c>
      <x:c r="K496" s="7" t="n">
        <x:f>F496+G496</x:f>
        <x:v>28</x:v>
      </x:c>
      <x:c r="L496" s="7" t="n">
        <x:v>15</x:v>
      </x:c>
      <x:c r="M496" s="7" t="n">
        <x:v>19</x:v>
      </x:c>
      <x:c r="N496" s="7" t="n">
        <x:v>4</x:v>
      </x:c>
      <x:c r="O496" s="9" t="n">
        <x:f>IF(M496=0,"n.a.",L496/M496)</x:f>
        <x:v>0.7894736842105263</x:v>
      </x:c>
      <x:c r="P496" s="9" t="n">
        <x:f>IF(K496=0,"n.a.",L496/K496)</x:f>
        <x:v>0.5357142857142857</x:v>
      </x:c>
      <x:c r="Q496" s="9" t="n">
        <x:f>IF(K496=0,"n.a.",M496/K496)</x:f>
        <x:v>0.6785714285714286</x:v>
      </x:c>
      <x:c r="R496" s="9" t="n">
        <x:f>IF(K496=0,"n.a.",N496/K496)</x:f>
        <x:v>0.14285714285714285</x:v>
      </x:c>
      <x:c r="S496" s="7" t="n">
        <x:v>-20</x:v>
      </x:c>
      <x:c r="T496" s="10" t="n">
        <x:v>0.21</x:v>
      </x:c>
      <x:c r="U496" s="7" t="n">
        <x:v>173</x:v>
      </x:c>
      <x:c r="V496" s="7" t="n">
        <x:v>382</x:v>
      </x:c>
    </x:row>
    <x:row r="497" ht="16" customHeight="1">
      <x:c r="A497" s="7" t="n">
        <x:v>494</x:v>
      </x:c>
      <x:c r="B497" s="8" t="n">
        <x:v>46057</x:v>
      </x:c>
      <x:c r="C497" s="7" t="str">
        <x:v>Haven</x:v>
      </x:c>
      <x:c r="D497" s="7" t="str">
        <x:v>6th</x:v>
      </x:c>
      <x:c r="E497" s="7" t="str">
        <x:v>Neon</x:v>
      </x:c>
      <x:c r="F497" s="7" t="n">
        <x:v>13</x:v>
      </x:c>
      <x:c r="G497" s="7" t="n">
        <x:v>7</x:v>
      </x:c>
      <x:c r="H497" s="7" t="str">
        <x:f>IF(F497&gt;G497,"Win",IF(F497&lt;G497,"Loss","Draw"))</x:f>
        <x:v>Win</x:v>
      </x:c>
      <x:c r="I497" s="7" t="n">
        <x:f>IF(H497="Win",1,0)</x:f>
        <x:v>1</x:v>
      </x:c>
      <x:c r="J497" s="7" t="n">
        <x:f>F497-G497</x:f>
        <x:v>6</x:v>
      </x:c>
      <x:c r="K497" s="7" t="n">
        <x:f>F497+G497</x:f>
        <x:v>20</x:v>
      </x:c>
      <x:c r="L497" s="7" t="n">
        <x:v>14</x:v>
      </x:c>
      <x:c r="M497" s="7" t="n">
        <x:v>14</x:v>
      </x:c>
      <x:c r="N497" s="7" t="n">
        <x:v>9</x:v>
      </x:c>
      <x:c r="O497" s="9" t="n">
        <x:f>IF(M497=0,"n.a.",L497/M497)</x:f>
        <x:v>1</x:v>
      </x:c>
      <x:c r="P497" s="9" t="n">
        <x:f>IF(K497=0,"n.a.",L497/K497)</x:f>
        <x:v>0.7</x:v>
      </x:c>
      <x:c r="Q497" s="9" t="n">
        <x:f>IF(K497=0,"n.a.",M497/K497)</x:f>
        <x:v>0.7</x:v>
      </x:c>
      <x:c r="R497" s="9" t="n">
        <x:f>IF(K497=0,"n.a.",N497/K497)</x:f>
        <x:v>0.45</x:v>
      </x:c>
      <x:c r="S497" s="7" t="n">
        <x:v>-16</x:v>
      </x:c>
      <x:c r="T497" s="10" t="n">
        <x:v>0.15</x:v>
      </x:c>
      <x:c r="U497" s="7" t="n">
        <x:v>199</x:v>
      </x:c>
      <x:c r="V497" s="7" t="n">
        <x:v>637</x:v>
      </x:c>
    </x:row>
    <x:row r="498" ht="16" customHeight="1">
      <x:c r="A498" s="7" t="n">
        <x:v>495</x:v>
      </x:c>
      <x:c r="B498" s="8" t="n">
        <x:v>46058</x:v>
      </x:c>
      <x:c r="C498" s="7" t="str">
        <x:v>Breeze</x:v>
      </x:c>
      <x:c r="D498" s="7" t="str">
        <x:v>4th</x:v>
      </x:c>
      <x:c r="E498" s="7" t="str">
        <x:v>Jett</x:v>
      </x:c>
      <x:c r="F498" s="7" t="n">
        <x:v>8</x:v>
      </x:c>
      <x:c r="G498" s="7" t="n">
        <x:v>13</x:v>
      </x:c>
      <x:c r="H498" s="7" t="str">
        <x:f>IF(F498&gt;G498,"Win",IF(F498&lt;G498,"Loss","Draw"))</x:f>
        <x:v>Loss</x:v>
      </x:c>
      <x:c r="I498" s="7" t="n">
        <x:f>IF(H498="Win",1,0)</x:f>
        <x:v>0</x:v>
      </x:c>
      <x:c r="J498" s="7" t="n">
        <x:f>F498-G498</x:f>
        <x:v>-5</x:v>
      </x:c>
      <x:c r="K498" s="7" t="n">
        <x:f>F498+G498</x:f>
        <x:v>21</x:v>
      </x:c>
      <x:c r="L498" s="7" t="n">
        <x:v>20</x:v>
      </x:c>
      <x:c r="M498" s="7" t="n">
        <x:v>17</x:v>
      </x:c>
      <x:c r="N498" s="7" t="n">
        <x:v>5</x:v>
      </x:c>
      <x:c r="O498" s="9" t="n">
        <x:f>IF(M498=0,"n.a.",L498/M498)</x:f>
        <x:v>1.1764705882352942</x:v>
      </x:c>
      <x:c r="P498" s="9" t="n">
        <x:f>IF(K498=0,"n.a.",L498/K498)</x:f>
        <x:v>0.9523809523809523</x:v>
      </x:c>
      <x:c r="Q498" s="9" t="n">
        <x:f>IF(K498=0,"n.a.",M498/K498)</x:f>
        <x:v>0.8095238095238095</x:v>
      </x:c>
      <x:c r="R498" s="9" t="n">
        <x:f>IF(K498=0,"n.a.",N498/K498)</x:f>
        <x:v>0.23809523809523808</x:v>
      </x:c>
      <x:c r="S498" s="7" t="n">
        <x:v>-2</x:v>
      </x:c>
      <x:c r="T498" s="10" t="n">
        <x:v>0.34</x:v>
      </x:c>
      <x:c r="U498" s="7" t="n">
        <x:v>247</x:v>
      </x:c>
      <x:c r="V498" s="7" t="n">
        <x:v>612</x:v>
      </x:c>
    </x:row>
    <x:row r="499" ht="16" customHeight="1">
      <x:c r="A499" s="7" t="n">
        <x:v>496</x:v>
      </x:c>
      <x:c r="B499" s="8" t="n">
        <x:v>46058</x:v>
      </x:c>
      <x:c r="C499" s="7" t="str">
        <x:v>Pearl</x:v>
      </x:c>
      <x:c r="D499" s="7" t="str">
        <x:v>4th</x:v>
      </x:c>
      <x:c r="E499" s="7" t="str">
        <x:v>Neon</x:v>
      </x:c>
      <x:c r="F499" s="7" t="n">
        <x:v>10</x:v>
      </x:c>
      <x:c r="G499" s="7" t="n">
        <x:v>13</x:v>
      </x:c>
      <x:c r="H499" s="7" t="str">
        <x:f>IF(F499&gt;G499,"Win",IF(F499&lt;G499,"Loss","Draw"))</x:f>
        <x:v>Loss</x:v>
      </x:c>
      <x:c r="I499" s="7" t="n">
        <x:f>IF(H499="Win",1,0)</x:f>
        <x:v>0</x:v>
      </x:c>
      <x:c r="J499" s="7" t="n">
        <x:f>F499-G499</x:f>
        <x:v>-3</x:v>
      </x:c>
      <x:c r="K499" s="7" t="n">
        <x:f>F499+G499</x:f>
        <x:v>23</x:v>
      </x:c>
      <x:c r="L499" s="7" t="n">
        <x:v>17</x:v>
      </x:c>
      <x:c r="M499" s="7" t="n">
        <x:v>17</x:v>
      </x:c>
      <x:c r="N499" s="7" t="n">
        <x:v>5</x:v>
      </x:c>
      <x:c r="O499" s="9" t="n">
        <x:f>IF(M499=0,"n.a.",L499/M499)</x:f>
        <x:v>1</x:v>
      </x:c>
      <x:c r="P499" s="9" t="n">
        <x:f>IF(K499=0,"n.a.",L499/K499)</x:f>
        <x:v>0.7391304347826086</x:v>
      </x:c>
      <x:c r="Q499" s="9" t="n">
        <x:f>IF(K499=0,"n.a.",M499/K499)</x:f>
        <x:v>0.7391304347826086</x:v>
      </x:c>
      <x:c r="R499" s="9" t="n">
        <x:f>IF(K499=0,"n.a.",N499/K499)</x:f>
        <x:v>0.21739130434782608</x:v>
      </x:c>
      <x:c r="S499" s="7" t="n">
        <x:v>10</x:v>
      </x:c>
      <x:c r="T499" s="10" t="n">
        <x:v>0.23</x:v>
      </x:c>
      <x:c r="U499" s="7" t="n">
        <x:v>223</x:v>
      </x:c>
      <x:c r="V499" s="7" t="n">
        <x:v>601</x:v>
      </x:c>
    </x:row>
    <x:row r="500" ht="16" customHeight="1">
      <x:c r="A500" s="7" t="n">
        <x:v>497</x:v>
      </x:c>
      <x:c r="B500" s="8" t="n">
        <x:v>46058</x:v>
      </x:c>
      <x:c r="C500" s="7" t="str">
        <x:v>Abyss</x:v>
      </x:c>
      <x:c r="D500" s="7" t="str">
        <x:v>MVP</x:v>
      </x:c>
      <x:c r="E500" s="7" t="str">
        <x:v>Neon</x:v>
      </x:c>
      <x:c r="F500" s="7" t="n">
        <x:v>10</x:v>
      </x:c>
      <x:c r="G500" s="7" t="n">
        <x:v>13</x:v>
      </x:c>
      <x:c r="H500" s="7" t="str">
        <x:f>IF(F500&gt;G500,"Win",IF(F500&lt;G500,"Loss","Draw"))</x:f>
        <x:v>Loss</x:v>
      </x:c>
      <x:c r="I500" s="7" t="n">
        <x:f>IF(H500="Win",1,0)</x:f>
        <x:v>0</x:v>
      </x:c>
      <x:c r="J500" s="7" t="n">
        <x:f>F500-G500</x:f>
        <x:v>-3</x:v>
      </x:c>
      <x:c r="K500" s="7" t="n">
        <x:f>F500+G500</x:f>
        <x:v>23</x:v>
      </x:c>
      <x:c r="L500" s="7" t="n">
        <x:v>24</x:v>
      </x:c>
      <x:c r="M500" s="7" t="n">
        <x:v>17</x:v>
      </x:c>
      <x:c r="N500" s="7" t="n">
        <x:v>7</x:v>
      </x:c>
      <x:c r="O500" s="9" t="n">
        <x:f>IF(M500=0,"n.a.",L500/M500)</x:f>
        <x:v>1.411764705882353</x:v>
      </x:c>
      <x:c r="P500" s="9" t="n">
        <x:f>IF(K500=0,"n.a.",L500/K500)</x:f>
        <x:v>1.0434782608695652</x:v>
      </x:c>
      <x:c r="Q500" s="9" t="n">
        <x:f>IF(K500=0,"n.a.",M500/K500)</x:f>
        <x:v>0.7391304347826086</x:v>
      </x:c>
      <x:c r="R500" s="9" t="n">
        <x:f>IF(K500=0,"n.a.",N500/K500)</x:f>
        <x:v>0.30434782608695654</x:v>
      </x:c>
      <x:c r="S500" s="7" t="n">
        <x:v>50</x:v>
      </x:c>
      <x:c r="T500" s="10" t="n">
        <x:v>0.19</x:v>
      </x:c>
      <x:c r="U500" s="7" t="n">
        <x:v>312</x:v>
      </x:c>
      <x:c r="V500" s="7" t="n">
        <x:v>839</x:v>
      </x:c>
    </x:row>
    <x:row r="501" ht="16" customHeight="1">
      <x:c r="A501" s="7" t="n">
        <x:v>498</x:v>
      </x:c>
      <x:c r="B501" s="8" t="n">
        <x:v>46058</x:v>
      </x:c>
      <x:c r="C501" s="7" t="str">
        <x:v>Breeze</x:v>
      </x:c>
      <x:c r="D501" s="7" t="str">
        <x:v>3rd</x:v>
      </x:c>
      <x:c r="E501" s="7" t="str">
        <x:v>Neon</x:v>
      </x:c>
      <x:c r="F501" s="7" t="n">
        <x:v>12</x:v>
      </x:c>
      <x:c r="G501" s="7" t="n">
        <x:v>14</x:v>
      </x:c>
      <x:c r="H501" s="7" t="str">
        <x:f>IF(F501&gt;G501,"Win",IF(F501&lt;G501,"Loss","Draw"))</x:f>
        <x:v>Loss</x:v>
      </x:c>
      <x:c r="I501" s="7" t="n">
        <x:f>IF(H501="Win",1,0)</x:f>
        <x:v>0</x:v>
      </x:c>
      <x:c r="J501" s="7" t="n">
        <x:f>F501-G501</x:f>
        <x:v>-2</x:v>
      </x:c>
      <x:c r="K501" s="7" t="n">
        <x:f>F501+G501</x:f>
        <x:v>26</x:v>
      </x:c>
      <x:c r="L501" s="7" t="n">
        <x:v>28</x:v>
      </x:c>
      <x:c r="M501" s="7" t="n">
        <x:v>20</x:v>
      </x:c>
      <x:c r="N501" s="7" t="n">
        <x:v>2</x:v>
      </x:c>
      <x:c r="O501" s="9" t="n">
        <x:f>IF(M501=0,"n.a.",L501/M501)</x:f>
        <x:v>1.4</x:v>
      </x:c>
      <x:c r="P501" s="9" t="n">
        <x:f>IF(K501=0,"n.a.",L501/K501)</x:f>
        <x:v>1.0769230769230769</x:v>
      </x:c>
      <x:c r="Q501" s="9" t="n">
        <x:f>IF(K501=0,"n.a.",M501/K501)</x:f>
        <x:v>0.7692307692307693</x:v>
      </x:c>
      <x:c r="R501" s="9" t="n">
        <x:f>IF(K501=0,"n.a.",N501/K501)</x:f>
        <x:v>0.07692307692307693</x:v>
      </x:c>
      <x:c r="S501" s="7" t="n">
        <x:v>19</x:v>
      </x:c>
      <x:c r="T501" s="10" t="n">
        <x:v>0.26</x:v>
      </x:c>
      <x:c r="U501" s="7" t="n">
        <x:v>295</x:v>
      </x:c>
      <x:c r="V501" s="7" t="n">
        <x:v>706</x:v>
      </x:c>
    </x:row>
    <x:row r="502" ht="16" customHeight="1">
      <x:c r="A502" s="7" t="n">
        <x:v>499</x:v>
      </x:c>
      <x:c r="B502" s="8" t="n">
        <x:v>46058</x:v>
      </x:c>
      <x:c r="C502" s="7" t="str">
        <x:v>Pearl</x:v>
      </x:c>
      <x:c r="D502" s="7" t="str">
        <x:v>3rd</x:v>
      </x:c>
      <x:c r="E502" s="7" t="str">
        <x:v>Neon</x:v>
      </x:c>
      <x:c r="F502" s="7" t="n">
        <x:v>13</x:v>
      </x:c>
      <x:c r="G502" s="7" t="n">
        <x:v>6</x:v>
      </x:c>
      <x:c r="H502" s="7" t="str">
        <x:f>IF(F502&gt;G502,"Win",IF(F502&lt;G502,"Loss","Draw"))</x:f>
        <x:v>Win</x:v>
      </x:c>
      <x:c r="I502" s="7" t="n">
        <x:f>IF(H502="Win",1,0)</x:f>
        <x:v>1</x:v>
      </x:c>
      <x:c r="J502" s="7" t="n">
        <x:f>F502-G502</x:f>
        <x:v>7</x:v>
      </x:c>
      <x:c r="K502" s="7" t="n">
        <x:f>F502+G502</x:f>
        <x:v>19</x:v>
      </x:c>
      <x:c r="L502" s="7" t="n">
        <x:v>19</x:v>
      </x:c>
      <x:c r="M502" s="7" t="n">
        <x:v>14</x:v>
      </x:c>
      <x:c r="N502" s="7" t="n">
        <x:v>0</x:v>
      </x:c>
      <x:c r="O502" s="9" t="n">
        <x:f>IF(M502=0,"n.a.",L502/M502)</x:f>
        <x:v>1.3571428571428572</x:v>
      </x:c>
      <x:c r="P502" s="9" t="n">
        <x:f>IF(K502=0,"n.a.",L502/K502)</x:f>
        <x:v>1</x:v>
      </x:c>
      <x:c r="Q502" s="9" t="n">
        <x:f>IF(K502=0,"n.a.",M502/K502)</x:f>
        <x:v>0.7368421052631579</x:v>
      </x:c>
      <x:c r="R502" s="9" t="n">
        <x:f>IF(K502=0,"n.a.",N502/K502)</x:f>
        <x:v>0</x:v>
      </x:c>
      <x:c r="S502" s="7" t="n">
        <x:v>31</x:v>
      </x:c>
      <x:c r="T502" s="10" t="n">
        <x:v>0.31</x:v>
      </x:c>
      <x:c r="U502" s="7" t="n">
        <x:v>250</x:v>
      </x:c>
      <x:c r="V502" s="7" t="n">
        <x:v>695</x:v>
      </x:c>
    </x:row>
    <x:row r="503" ht="16" customHeight="1">
      <x:c r="A503" s="7" t="n">
        <x:v>500</x:v>
      </x:c>
      <x:c r="B503" s="8" t="n">
        <x:v>46058</x:v>
      </x:c>
      <x:c r="C503" s="7" t="str">
        <x:v>Corrode</x:v>
      </x:c>
      <x:c r="D503" s="7" t="str">
        <x:v>9th</x:v>
      </x:c>
      <x:c r="E503" s="7" t="str">
        <x:v>Skye</x:v>
      </x:c>
      <x:c r="F503" s="7" t="n">
        <x:v>8</x:v>
      </x:c>
      <x:c r="G503" s="7" t="n">
        <x:v>13</x:v>
      </x:c>
      <x:c r="H503" s="7" t="str">
        <x:f>IF(F503&gt;G503,"Win",IF(F503&lt;G503,"Loss","Draw"))</x:f>
        <x:v>Loss</x:v>
      </x:c>
      <x:c r="I503" s="7" t="n">
        <x:f>IF(H503="Win",1,0)</x:f>
        <x:v>0</x:v>
      </x:c>
      <x:c r="J503" s="7" t="n">
        <x:f>F503-G503</x:f>
        <x:v>-5</x:v>
      </x:c>
      <x:c r="K503" s="7" t="n">
        <x:f>F503+G503</x:f>
        <x:v>21</x:v>
      </x:c>
      <x:c r="L503" s="7" t="n">
        <x:v>10</x:v>
      </x:c>
      <x:c r="M503" s="7" t="n">
        <x:v>15</x:v>
      </x:c>
      <x:c r="N503" s="7" t="n">
        <x:v>6</x:v>
      </x:c>
      <x:c r="O503" s="9" t="n">
        <x:f>IF(M503=0,"n.a.",L503/M503)</x:f>
        <x:v>0.6666666666666666</x:v>
      </x:c>
      <x:c r="P503" s="9" t="n">
        <x:f>IF(K503=0,"n.a.",L503/K503)</x:f>
        <x:v>0.47619047619047616</x:v>
      </x:c>
      <x:c r="Q503" s="9" t="n">
        <x:f>IF(K503=0,"n.a.",M503/K503)</x:f>
        <x:v>0.7142857142857143</x:v>
      </x:c>
      <x:c r="R503" s="9" t="n">
        <x:f>IF(K503=0,"n.a.",N503/K503)</x:f>
        <x:v>0.2857142857142857</x:v>
      </x:c>
      <x:c r="S503" s="7" t="n">
        <x:v>-32</x:v>
      </x:c>
      <x:c r="T503" s="10" t="n">
        <x:v>0.13</x:v>
      </x:c>
      <x:c r="U503" s="7" t="n">
        <x:v>140</x:v>
      </x:c>
      <x:c r="V503" s="7" t="n">
        <x:v>283</x:v>
      </x:c>
    </x:row>
    <x:row r="504" ht="16" customHeight="1">
      <x:c r="A504" s="7" t="n">
        <x:v>501</x:v>
      </x:c>
      <x:c r="B504" s="8" t="n">
        <x:v>46059</x:v>
      </x:c>
      <x:c r="C504" s="7" t="str">
        <x:v>Bind</x:v>
      </x:c>
      <x:c r="D504" s="7" t="str">
        <x:v>MVP</x:v>
      </x:c>
      <x:c r="E504" s="7" t="str">
        <x:v>Neon</x:v>
      </x:c>
      <x:c r="F504" s="7" t="n">
        <x:v>14</x:v>
      </x:c>
      <x:c r="G504" s="7" t="n">
        <x:v>12</x:v>
      </x:c>
      <x:c r="H504" s="7" t="str">
        <x:f>IF(F504&gt;G504,"Win",IF(F504&lt;G504,"Loss","Draw"))</x:f>
        <x:v>Win</x:v>
      </x:c>
      <x:c r="I504" s="7" t="n">
        <x:f>IF(H504="Win",1,0)</x:f>
        <x:v>1</x:v>
      </x:c>
      <x:c r="J504" s="7" t="n">
        <x:f>F504-G504</x:f>
        <x:v>2</x:v>
      </x:c>
      <x:c r="K504" s="7" t="n">
        <x:f>F504+G504</x:f>
        <x:v>26</x:v>
      </x:c>
      <x:c r="L504" s="7" t="n">
        <x:v>34</x:v>
      </x:c>
      <x:c r="M504" s="7" t="n">
        <x:v>20</x:v>
      </x:c>
      <x:c r="N504" s="7" t="n">
        <x:v>5</x:v>
      </x:c>
      <x:c r="O504" s="9" t="n">
        <x:f>IF(M504=0,"n.a.",L504/M504)</x:f>
        <x:v>1.7</x:v>
      </x:c>
      <x:c r="P504" s="9" t="n">
        <x:f>IF(K504=0,"n.a.",L504/K504)</x:f>
        <x:v>1.3076923076923077</x:v>
      </x:c>
      <x:c r="Q504" s="9" t="n">
        <x:f>IF(K504=0,"n.a.",M504/K504)</x:f>
        <x:v>0.7692307692307693</x:v>
      </x:c>
      <x:c r="R504" s="9" t="n">
        <x:f>IF(K504=0,"n.a.",N504/K504)</x:f>
        <x:v>0.19230769230769232</x:v>
      </x:c>
      <x:c r="S504" s="7" t="n">
        <x:v>83</x:v>
      </x:c>
      <x:c r="T504" s="10" t="n">
        <x:v>0.26</x:v>
      </x:c>
      <x:c r="U504" s="7" t="n">
        <x:v>370</x:v>
      </x:c>
      <x:c r="V504" s="7" t="n">
        <x:v>936</x:v>
      </x:c>
    </x:row>
    <x:row r="505" ht="16" customHeight="1">
      <x:c r="A505" s="7" t="n">
        <x:v>502</x:v>
      </x:c>
      <x:c r="B505" s="8" t="n">
        <x:v>46059</x:v>
      </x:c>
      <x:c r="C505" s="7" t="str">
        <x:v>Bind</x:v>
      </x:c>
      <x:c r="D505" s="7" t="str">
        <x:v>4th</x:v>
      </x:c>
      <x:c r="E505" s="7" t="str">
        <x:v>Neon</x:v>
      </x:c>
      <x:c r="F505" s="7" t="n">
        <x:v>3</x:v>
      </x:c>
      <x:c r="G505" s="7" t="n">
        <x:v>13</x:v>
      </x:c>
      <x:c r="H505" s="7" t="str">
        <x:f>IF(F505&gt;G505,"Win",IF(F505&lt;G505,"Loss","Draw"))</x:f>
        <x:v>Loss</x:v>
      </x:c>
      <x:c r="I505" s="7" t="n">
        <x:f>IF(H505="Win",1,0)</x:f>
        <x:v>0</x:v>
      </x:c>
      <x:c r="J505" s="7" t="n">
        <x:f>F505-G505</x:f>
        <x:v>-10</x:v>
      </x:c>
      <x:c r="K505" s="7" t="n">
        <x:f>F505+G505</x:f>
        <x:v>16</x:v>
      </x:c>
      <x:c r="L505" s="7" t="n">
        <x:v>11</x:v>
      </x:c>
      <x:c r="M505" s="7" t="n">
        <x:v>15</x:v>
      </x:c>
      <x:c r="N505" s="7" t="n">
        <x:v>4</x:v>
      </x:c>
      <x:c r="O505" s="9" t="n">
        <x:f>IF(M505=0,"n.a.",L505/M505)</x:f>
        <x:v>0.7333333333333333</x:v>
      </x:c>
      <x:c r="P505" s="9" t="n">
        <x:f>IF(K505=0,"n.a.",L505/K505)</x:f>
        <x:v>0.6875</x:v>
      </x:c>
      <x:c r="Q505" s="9" t="n">
        <x:f>IF(K505=0,"n.a.",M505/K505)</x:f>
        <x:v>0.9375</x:v>
      </x:c>
      <x:c r="R505" s="9" t="n">
        <x:f>IF(K505=0,"n.a.",N505/K505)</x:f>
        <x:v>0.25</x:v>
      </x:c>
      <x:c r="S505" s="7" t="n">
        <x:v>-37</x:v>
      </x:c>
      <x:c r="T505" s="10" t="n">
        <x:v>0.22</x:v>
      </x:c>
      <x:c r="U505" s="7" t="n">
        <x:v>216</x:v>
      </x:c>
      <x:c r="V505" s="7" t="n">
        <x:v>438</x:v>
      </x:c>
    </x:row>
    <x:row r="506" ht="16" customHeight="1">
      <x:c r="A506" s="7" t="n">
        <x:v>503</x:v>
      </x:c>
      <x:c r="B506" s="8" t="n">
        <x:v>46059</x:v>
      </x:c>
      <x:c r="C506" s="7" t="str">
        <x:v>Breeze</x:v>
      </x:c>
      <x:c r="D506" s="7" t="str">
        <x:v>6th</x:v>
      </x:c>
      <x:c r="E506" s="7" t="str">
        <x:v>Neon</x:v>
      </x:c>
      <x:c r="F506" s="7" t="n">
        <x:v>6</x:v>
      </x:c>
      <x:c r="G506" s="7" t="n">
        <x:v>13</x:v>
      </x:c>
      <x:c r="H506" s="7" t="str">
        <x:f>IF(F506&gt;G506,"Win",IF(F506&lt;G506,"Loss","Draw"))</x:f>
        <x:v>Loss</x:v>
      </x:c>
      <x:c r="I506" s="7" t="n">
        <x:f>IF(H506="Win",1,0)</x:f>
        <x:v>0</x:v>
      </x:c>
      <x:c r="J506" s="7" t="n">
        <x:f>F506-G506</x:f>
        <x:v>-7</x:v>
      </x:c>
      <x:c r="K506" s="7" t="n">
        <x:f>F506+G506</x:f>
        <x:v>19</x:v>
      </x:c>
      <x:c r="L506" s="7" t="n">
        <x:v>14</x:v>
      </x:c>
      <x:c r="M506" s="7" t="n">
        <x:v>15</x:v>
      </x:c>
      <x:c r="N506" s="7" t="n">
        <x:v>1</x:v>
      </x:c>
      <x:c r="O506" s="9" t="n">
        <x:f>IF(M506=0,"n.a.",L506/M506)</x:f>
        <x:v>0.9333333333333333</x:v>
      </x:c>
      <x:c r="P506" s="9" t="n">
        <x:f>IF(K506=0,"n.a.",L506/K506)</x:f>
        <x:v>0.7368421052631579</x:v>
      </x:c>
      <x:c r="Q506" s="9" t="n">
        <x:f>IF(K506=0,"n.a.",M506/K506)</x:f>
        <x:v>0.7894736842105263</x:v>
      </x:c>
      <x:c r="R506" s="9" t="n">
        <x:f>IF(K506=0,"n.a.",N506/K506)</x:f>
        <x:v>0.05263157894736842</x:v>
      </x:c>
      <x:c r="S506" s="7" t="n">
        <x:v>-23</x:v>
      </x:c>
      <x:c r="T506" s="10" t="n">
        <x:v>0.3</x:v>
      </x:c>
      <x:c r="U506" s="7" t="n">
        <x:v>189</x:v>
      </x:c>
      <x:c r="V506" s="7" t="n">
        <x:v>278</x:v>
      </x:c>
    </x:row>
    <x:row r="507" ht="16" customHeight="1">
      <x:c r="A507" s="7" t="n">
        <x:v>504</x:v>
      </x:c>
      <x:c r="B507" s="8" t="n">
        <x:v>46060</x:v>
      </x:c>
      <x:c r="C507" s="7" t="str">
        <x:v>Corrode</x:v>
      </x:c>
      <x:c r="D507" s="7" t="str">
        <x:v>9th</x:v>
      </x:c>
      <x:c r="E507" s="7" t="str">
        <x:v>Neon</x:v>
      </x:c>
      <x:c r="F507" s="7" t="n">
        <x:v>9</x:v>
      </x:c>
      <x:c r="G507" s="7" t="n">
        <x:v>13</x:v>
      </x:c>
      <x:c r="H507" s="7" t="str">
        <x:f>IF(F507&gt;G507,"Win",IF(F507&lt;G507,"Loss","Draw"))</x:f>
        <x:v>Loss</x:v>
      </x:c>
      <x:c r="I507" s="7" t="n">
        <x:f>IF(H507="Win",1,0)</x:f>
        <x:v>0</x:v>
      </x:c>
      <x:c r="J507" s="7" t="n">
        <x:f>F507-G507</x:f>
        <x:v>-4</x:v>
      </x:c>
      <x:c r="K507" s="7" t="n">
        <x:f>F507+G507</x:f>
        <x:v>22</x:v>
      </x:c>
      <x:c r="L507" s="7" t="n">
        <x:v>8</x:v>
      </x:c>
      <x:c r="M507" s="7" t="n">
        <x:v>19</x:v>
      </x:c>
      <x:c r="N507" s="7" t="n">
        <x:v>4</x:v>
      </x:c>
      <x:c r="O507" s="9" t="n">
        <x:f>IF(M507=0,"n.a.",L507/M507)</x:f>
        <x:v>0.42105263157894735</x:v>
      </x:c>
      <x:c r="P507" s="9" t="n">
        <x:f>IF(K507=0,"n.a.",L507/K507)</x:f>
        <x:v>0.36363636363636365</x:v>
      </x:c>
      <x:c r="Q507" s="9" t="n">
        <x:f>IF(K507=0,"n.a.",M507/K507)</x:f>
        <x:v>0.8636363636363636</x:v>
      </x:c>
      <x:c r="R507" s="9" t="n">
        <x:f>IF(K507=0,"n.a.",N507/K507)</x:f>
        <x:v>0.18181818181818182</x:v>
      </x:c>
      <x:c r="S507" s="7" t="n">
        <x:v>-77</x:v>
      </x:c>
      <x:c r="T507" s="10" t="n">
        <x:v>0.26</x:v>
      </x:c>
      <x:c r="U507" s="7" t="n">
        <x:v>125</x:v>
      </x:c>
      <x:c r="V507" s="7" t="n">
        <x:v>131</x:v>
      </x:c>
    </x:row>
    <x:row r="508" ht="16" customHeight="1">
      <x:c r="A508" s="7" t="n">
        <x:v>505</x:v>
      </x:c>
      <x:c r="B508" s="8" t="n">
        <x:v>46060</x:v>
      </x:c>
      <x:c r="C508" s="7" t="str">
        <x:v>Split</x:v>
      </x:c>
      <x:c r="D508" s="7" t="str">
        <x:v>5th</x:v>
      </x:c>
      <x:c r="E508" s="7" t="str">
        <x:v>Neon</x:v>
      </x:c>
      <x:c r="F508" s="7" t="n">
        <x:v>13</x:v>
      </x:c>
      <x:c r="G508" s="7" t="n">
        <x:v>11</x:v>
      </x:c>
      <x:c r="H508" s="7" t="str">
        <x:f>IF(F508&gt;G508,"Win",IF(F508&lt;G508,"Loss","Draw"))</x:f>
        <x:v>Win</x:v>
      </x:c>
      <x:c r="I508" s="7" t="n">
        <x:f>IF(H508="Win",1,0)</x:f>
        <x:v>1</x:v>
      </x:c>
      <x:c r="J508" s="7" t="n">
        <x:f>F508-G508</x:f>
        <x:v>2</x:v>
      </x:c>
      <x:c r="K508" s="7" t="n">
        <x:f>F508+G508</x:f>
        <x:v>24</x:v>
      </x:c>
      <x:c r="L508" s="7" t="n">
        <x:v>24</x:v>
      </x:c>
      <x:c r="M508" s="7" t="n">
        <x:v>17</x:v>
      </x:c>
      <x:c r="N508" s="7" t="n">
        <x:v>3</x:v>
      </x:c>
      <x:c r="O508" s="9" t="n">
        <x:f>IF(M508=0,"n.a.",L508/M508)</x:f>
        <x:v>1.411764705882353</x:v>
      </x:c>
      <x:c r="P508" s="9" t="n">
        <x:f>IF(K508=0,"n.a.",L508/K508)</x:f>
        <x:v>1</x:v>
      </x:c>
      <x:c r="Q508" s="9" t="n">
        <x:f>IF(K508=0,"n.a.",M508/K508)</x:f>
        <x:v>0.7083333333333334</x:v>
      </x:c>
      <x:c r="R508" s="9" t="n">
        <x:f>IF(K508=0,"n.a.",N508/K508)</x:f>
        <x:v>0.125</x:v>
      </x:c>
      <x:c r="S508" s="7" t="n">
        <x:v>49</x:v>
      </x:c>
      <x:c r="T508" s="10" t="n">
        <x:v>0.31</x:v>
      </x:c>
      <x:c r="U508" s="7" t="n">
        <x:v>262</x:v>
      </x:c>
      <x:c r="V508" s="7" t="n">
        <x:v>683</x:v>
      </x:c>
    </x:row>
    <x:row r="509" ht="16" customHeight="1">
      <x:c r="A509" s="7" t="n">
        <x:v>506</x:v>
      </x:c>
      <x:c r="B509" s="8" t="n">
        <x:v>46060</x:v>
      </x:c>
      <x:c r="C509" s="7" t="str">
        <x:v>Pearl</x:v>
      </x:c>
      <x:c r="D509" s="7" t="str">
        <x:v>MVP</x:v>
      </x:c>
      <x:c r="E509" s="7" t="str">
        <x:v>Neon</x:v>
      </x:c>
      <x:c r="F509" s="7" t="n">
        <x:v>13</x:v>
      </x:c>
      <x:c r="G509" s="7" t="n">
        <x:v>11</x:v>
      </x:c>
      <x:c r="H509" s="7" t="str">
        <x:f>IF(F509&gt;G509,"Win",IF(F509&lt;G509,"Loss","Draw"))</x:f>
        <x:v>Win</x:v>
      </x:c>
      <x:c r="I509" s="7" t="n">
        <x:f>IF(H509="Win",1,0)</x:f>
        <x:v>1</x:v>
      </x:c>
      <x:c r="J509" s="7" t="n">
        <x:f>F509-G509</x:f>
        <x:v>2</x:v>
      </x:c>
      <x:c r="K509" s="7" t="n">
        <x:f>F509+G509</x:f>
        <x:v>24</x:v>
      </x:c>
      <x:c r="L509" s="7" t="n">
        <x:v>31</x:v>
      </x:c>
      <x:c r="M509" s="7" t="n">
        <x:v>22</x:v>
      </x:c>
      <x:c r="N509" s="7" t="n">
        <x:v>4</x:v>
      </x:c>
      <x:c r="O509" s="9" t="n">
        <x:f>IF(M509=0,"n.a.",L509/M509)</x:f>
        <x:v>1.4090909090909092</x:v>
      </x:c>
      <x:c r="P509" s="9" t="n">
        <x:f>IF(K509=0,"n.a.",L509/K509)</x:f>
        <x:v>1.2916666666666667</x:v>
      </x:c>
      <x:c r="Q509" s="9" t="n">
        <x:f>IF(K509=0,"n.a.",M509/K509)</x:f>
        <x:v>0.9166666666666666</x:v>
      </x:c>
      <x:c r="R509" s="9" t="n">
        <x:f>IF(K509=0,"n.a.",N509/K509)</x:f>
        <x:v>0.16666666666666666</x:v>
      </x:c>
      <x:c r="S509" s="7" t="n">
        <x:v>50</x:v>
      </x:c>
      <x:c r="T509" s="10" t="n">
        <x:v>0.3</x:v>
      </x:c>
      <x:c r="U509" s="7" t="n">
        <x:v>346</x:v>
      </x:c>
      <x:c r="V509" s="7" t="n">
        <x:v>898</x:v>
      </x:c>
    </x:row>
    <x:row r="510" ht="16" customHeight="1">
      <x:c r="A510" s="7" t="n">
        <x:v>507</x:v>
      </x:c>
      <x:c r="B510" s="8" t="n">
        <x:v>46060</x:v>
      </x:c>
      <x:c r="C510" s="7" t="str">
        <x:v>Haven</x:v>
      </x:c>
      <x:c r="D510" s="7" t="str">
        <x:v>7th</x:v>
      </x:c>
      <x:c r="E510" s="7" t="str">
        <x:v>Neon</x:v>
      </x:c>
      <x:c r="F510" s="7" t="n">
        <x:v>15</x:v>
      </x:c>
      <x:c r="G510" s="7" t="n">
        <x:v>15</x:v>
      </x:c>
      <x:c r="H510" s="7" t="str">
        <x:f>IF(F510&gt;G510,"Win",IF(F510&lt;G510,"Loss","Draw"))</x:f>
        <x:v>Draw</x:v>
      </x:c>
      <x:c r="I510" s="7" t="n">
        <x:f>IF(H510="Win",1,0)</x:f>
        <x:v>0</x:v>
      </x:c>
      <x:c r="J510" s="7" t="n">
        <x:f>F510-G510</x:f>
        <x:v>0</x:v>
      </x:c>
      <x:c r="K510" s="7" t="n">
        <x:f>F510+G510</x:f>
        <x:v>30</x:v>
      </x:c>
      <x:c r="L510" s="7" t="n">
        <x:v>21</x:v>
      </x:c>
      <x:c r="M510" s="7" t="n">
        <x:v>23</x:v>
      </x:c>
      <x:c r="N510" s="7" t="n">
        <x:v>6</x:v>
      </x:c>
      <x:c r="O510" s="9" t="n">
        <x:f>IF(M510=0,"n.a.",L510/M510)</x:f>
        <x:v>0.9130434782608695</x:v>
      </x:c>
      <x:c r="P510" s="9" t="n">
        <x:f>IF(K510=0,"n.a.",L510/K510)</x:f>
        <x:v>0.7</x:v>
      </x:c>
      <x:c r="Q510" s="9" t="n">
        <x:f>IF(K510=0,"n.a.",M510/K510)</x:f>
        <x:v>0.7666666666666667</x:v>
      </x:c>
      <x:c r="R510" s="9" t="n">
        <x:f>IF(K510=0,"n.a.",N510/K510)</x:f>
        <x:v>0.2</x:v>
      </x:c>
      <x:c r="S510" s="7" t="n">
        <x:v>0</x:v>
      </x:c>
      <x:c r="T510" s="10" t="n">
        <x:v>0.23</x:v>
      </x:c>
      <x:c r="U510" s="7" t="n">
        <x:v>188</x:v>
      </x:c>
      <x:c r="V510" s="7" t="n">
        <x:v>482</x:v>
      </x:c>
    </x:row>
    <x:row r="511" ht="16" customHeight="1">
      <x:c r="A511" s="7" t="n">
        <x:v>508</x:v>
      </x:c>
      <x:c r="B511" s="8" t="n">
        <x:v>46061</x:v>
      </x:c>
      <x:c r="C511" s="7" t="str">
        <x:v>Abyss</x:v>
      </x:c>
      <x:c r="D511" s="7" t="str">
        <x:v>5th</x:v>
      </x:c>
      <x:c r="E511" s="7" t="str">
        <x:v>Neon</x:v>
      </x:c>
      <x:c r="F511" s="7" t="n">
        <x:v>5</x:v>
      </x:c>
      <x:c r="G511" s="7" t="n">
        <x:v>13</x:v>
      </x:c>
      <x:c r="H511" s="7" t="str">
        <x:f>IF(F511&gt;G511,"Win",IF(F511&lt;G511,"Loss","Draw"))</x:f>
        <x:v>Loss</x:v>
      </x:c>
      <x:c r="I511" s="7" t="n">
        <x:f>IF(H511="Win",1,0)</x:f>
        <x:v>0</x:v>
      </x:c>
      <x:c r="J511" s="7" t="n">
        <x:f>F511-G511</x:f>
        <x:v>-8</x:v>
      </x:c>
      <x:c r="K511" s="7" t="n">
        <x:f>F511+G511</x:f>
        <x:v>18</x:v>
      </x:c>
      <x:c r="L511" s="7" t="n">
        <x:v>12</x:v>
      </x:c>
      <x:c r="M511" s="7" t="n">
        <x:v>16</x:v>
      </x:c>
      <x:c r="N511" s="7" t="n">
        <x:v>1</x:v>
      </x:c>
      <x:c r="O511" s="9" t="n">
        <x:f>IF(M511=0,"n.a.",L511/M511)</x:f>
        <x:v>0.75</x:v>
      </x:c>
      <x:c r="P511" s="9" t="n">
        <x:f>IF(K511=0,"n.a.",L511/K511)</x:f>
        <x:v>0.6666666666666666</x:v>
      </x:c>
      <x:c r="Q511" s="9" t="n">
        <x:f>IF(K511=0,"n.a.",M511/K511)</x:f>
        <x:v>0.8888888888888888</x:v>
      </x:c>
      <x:c r="R511" s="9" t="n">
        <x:f>IF(K511=0,"n.a.",N511/K511)</x:f>
        <x:v>0.05555555555555555</x:v>
      </x:c>
      <x:c r="S511" s="7" t="n">
        <x:v>-26</x:v>
      </x:c>
      <x:c r="T511" s="10" t="n">
        <x:v>0.28</x:v>
      </x:c>
      <x:c r="U511" s="7" t="n">
        <x:v>200</x:v>
      </x:c>
      <x:c r="V511" s="7" t="n">
        <x:v>273</x:v>
      </x:c>
    </x:row>
    <x:row r="512" ht="16" customHeight="1">
      <x:c r="A512" s="7" t="n">
        <x:v>509</x:v>
      </x:c>
      <x:c r="B512" s="8" t="n">
        <x:v>46061</x:v>
      </x:c>
      <x:c r="C512" s="7" t="str">
        <x:v>Breeze</x:v>
      </x:c>
      <x:c r="D512" s="7" t="str">
        <x:v>MVP</x:v>
      </x:c>
      <x:c r="E512" s="7" t="str">
        <x:v>Neon</x:v>
      </x:c>
      <x:c r="F512" s="7" t="n">
        <x:v>11</x:v>
      </x:c>
      <x:c r="G512" s="7" t="n">
        <x:v>13</x:v>
      </x:c>
      <x:c r="H512" s="7" t="str">
        <x:f>IF(F512&gt;G512,"Win",IF(F512&lt;G512,"Loss","Draw"))</x:f>
        <x:v>Loss</x:v>
      </x:c>
      <x:c r="I512" s="7" t="n">
        <x:f>IF(H512="Win",1,0)</x:f>
        <x:v>0</x:v>
      </x:c>
      <x:c r="J512" s="7" t="n">
        <x:f>F512-G512</x:f>
        <x:v>-2</x:v>
      </x:c>
      <x:c r="K512" s="7" t="n">
        <x:f>F512+G512</x:f>
        <x:v>24</x:v>
      </x:c>
      <x:c r="L512" s="7" t="n">
        <x:v>31</x:v>
      </x:c>
      <x:c r="M512" s="7" t="n">
        <x:v>19</x:v>
      </x:c>
      <x:c r="N512" s="7" t="n">
        <x:v>5</x:v>
      </x:c>
      <x:c r="O512" s="9" t="n">
        <x:f>IF(M512=0,"n.a.",L512/M512)</x:f>
        <x:v>1.631578947368421</x:v>
      </x:c>
      <x:c r="P512" s="9" t="n">
        <x:f>IF(K512=0,"n.a.",L512/K512)</x:f>
        <x:v>1.2916666666666667</x:v>
      </x:c>
      <x:c r="Q512" s="9" t="n">
        <x:f>IF(K512=0,"n.a.",M512/K512)</x:f>
        <x:v>0.7916666666666666</x:v>
      </x:c>
      <x:c r="R512" s="9" t="n">
        <x:f>IF(K512=0,"n.a.",N512/K512)</x:f>
        <x:v>0.20833333333333334</x:v>
      </x:c>
      <x:c r="S512" s="7" t="n">
        <x:v>78</x:v>
      </x:c>
      <x:c r="T512" s="10" t="n">
        <x:v>0.24</x:v>
      </x:c>
      <x:c r="U512" s="7" t="n">
        <x:v>381</x:v>
      </x:c>
      <x:c r="V512" s="7" t="n">
        <x:v>889</x:v>
      </x:c>
    </x:row>
    <x:row r="513" ht="16" customHeight="1">
      <x:c r="A513" s="7" t="n">
        <x:v>510</x:v>
      </x:c>
      <x:c r="B513" s="8" t="n">
        <x:v>46061</x:v>
      </x:c>
      <x:c r="C513" s="7" t="str">
        <x:v>Haven</x:v>
      </x:c>
      <x:c r="D513" s="7" t="str">
        <x:v>6th</x:v>
      </x:c>
      <x:c r="E513" s="7" t="str">
        <x:v>Neon</x:v>
      </x:c>
      <x:c r="F513" s="7" t="n">
        <x:v>10</x:v>
      </x:c>
      <x:c r="G513" s="7" t="n">
        <x:v>13</x:v>
      </x:c>
      <x:c r="H513" s="7" t="str">
        <x:f>IF(F513&gt;G513,"Win",IF(F513&lt;G513,"Loss","Draw"))</x:f>
        <x:v>Loss</x:v>
      </x:c>
      <x:c r="I513" s="7" t="n">
        <x:f>IF(H513="Win",1,0)</x:f>
        <x:v>0</x:v>
      </x:c>
      <x:c r="J513" s="7" t="n">
        <x:f>F513-G513</x:f>
        <x:v>-3</x:v>
      </x:c>
      <x:c r="K513" s="7" t="n">
        <x:f>F513+G513</x:f>
        <x:v>23</x:v>
      </x:c>
      <x:c r="L513" s="7" t="n">
        <x:v>14</x:v>
      </x:c>
      <x:c r="M513" s="7" t="n">
        <x:v>17</x:v>
      </x:c>
      <x:c r="N513" s="7" t="n">
        <x:v>2</x:v>
      </x:c>
      <x:c r="O513" s="9" t="n">
        <x:f>IF(M513=0,"n.a.",L513/M513)</x:f>
        <x:v>0.8235294117647058</x:v>
      </x:c>
      <x:c r="P513" s="9" t="n">
        <x:f>IF(K513=0,"n.a.",L513/K513)</x:f>
        <x:v>0.6086956521739131</x:v>
      </x:c>
      <x:c r="Q513" s="9" t="n">
        <x:f>IF(K513=0,"n.a.",M513/K513)</x:f>
        <x:v>0.7391304347826086</x:v>
      </x:c>
      <x:c r="R513" s="9" t="n">
        <x:f>IF(K513=0,"n.a.",N513/K513)</x:f>
        <x:v>0.08695652173913043</x:v>
      </x:c>
      <x:c r="S513" s="7" t="n">
        <x:v>-36</x:v>
      </x:c>
      <x:c r="T513" s="10" t="n">
        <x:v>0.36</x:v>
      </x:c>
      <x:c r="U513" s="7" t="n">
        <x:v>185</x:v>
      </x:c>
      <x:c r="V513" s="7" t="n">
        <x:v>356</x:v>
      </x:c>
    </x:row>
    <x:row r="514" ht="16" customHeight="1">
      <x:c r="A514" s="7" t="n">
        <x:v>511</x:v>
      </x:c>
      <x:c r="B514" s="8" t="n">
        <x:v>46061</x:v>
      </x:c>
      <x:c r="C514" s="7" t="str">
        <x:v>Bind</x:v>
      </x:c>
      <x:c r="D514" s="7" t="str">
        <x:v>8th</x:v>
      </x:c>
      <x:c r="E514" s="7" t="str">
        <x:v>Neon</x:v>
      </x:c>
      <x:c r="F514" s="7" t="n">
        <x:v>13</x:v>
      </x:c>
      <x:c r="G514" s="7" t="n">
        <x:v>7</x:v>
      </x:c>
      <x:c r="H514" s="7" t="str">
        <x:f>IF(F514&gt;G514,"Win",IF(F514&lt;G514,"Loss","Draw"))</x:f>
        <x:v>Win</x:v>
      </x:c>
      <x:c r="I514" s="7" t="n">
        <x:f>IF(H514="Win",1,0)</x:f>
        <x:v>1</x:v>
      </x:c>
      <x:c r="J514" s="7" t="n">
        <x:f>F514-G514</x:f>
        <x:v>6</x:v>
      </x:c>
      <x:c r="K514" s="7" t="n">
        <x:f>F514+G514</x:f>
        <x:v>20</x:v>
      </x:c>
      <x:c r="L514" s="7" t="n">
        <x:v>11</x:v>
      </x:c>
      <x:c r="M514" s="7" t="n">
        <x:v>15</x:v>
      </x:c>
      <x:c r="N514" s="7" t="n">
        <x:v>5</x:v>
      </x:c>
      <x:c r="O514" s="9" t="n">
        <x:f>IF(M514=0,"n.a.",L514/M514)</x:f>
        <x:v>0.7333333333333333</x:v>
      </x:c>
      <x:c r="P514" s="9" t="n">
        <x:f>IF(K514=0,"n.a.",L514/K514)</x:f>
        <x:v>0.55</x:v>
      </x:c>
      <x:c r="Q514" s="9" t="n">
        <x:f>IF(K514=0,"n.a.",M514/K514)</x:f>
        <x:v>0.75</x:v>
      </x:c>
      <x:c r="R514" s="9" t="n">
        <x:f>IF(K514=0,"n.a.",N514/K514)</x:f>
        <x:v>0.25</x:v>
      </x:c>
      <x:c r="S514" s="7" t="n">
        <x:v>-29</x:v>
      </x:c>
      <x:c r="T514" s="10" t="n">
        <x:v>0.31</x:v>
      </x:c>
      <x:c r="U514" s="7" t="n">
        <x:v>155</x:v>
      </x:c>
      <x:c r="V514" s="7" t="n">
        <x:v>539</x:v>
      </x:c>
    </x:row>
    <x:row r="515" ht="16" customHeight="1">
      <x:c r="A515" s="7" t="n">
        <x:v>512</x:v>
      </x:c>
      <x:c r="B515" s="8" t="n">
        <x:v>46061</x:v>
      </x:c>
      <x:c r="C515" s="7" t="str">
        <x:v>Pearl</x:v>
      </x:c>
      <x:c r="D515" s="7" t="str">
        <x:v>4th</x:v>
      </x:c>
      <x:c r="E515" s="7" t="str">
        <x:v>Neon</x:v>
      </x:c>
      <x:c r="F515" s="7" t="n">
        <x:v>13</x:v>
      </x:c>
      <x:c r="G515" s="7" t="n">
        <x:v>7</x:v>
      </x:c>
      <x:c r="H515" s="7" t="str">
        <x:f>IF(F515&gt;G515,"Win",IF(F515&lt;G515,"Loss","Draw"))</x:f>
        <x:v>Win</x:v>
      </x:c>
      <x:c r="I515" s="7" t="n">
        <x:f>IF(H515="Win",1,0)</x:f>
        <x:v>1</x:v>
      </x:c>
      <x:c r="J515" s="7" t="n">
        <x:f>F515-G515</x:f>
        <x:v>6</x:v>
      </x:c>
      <x:c r="K515" s="7" t="n">
        <x:f>F515+G515</x:f>
        <x:v>20</x:v>
      </x:c>
      <x:c r="L515" s="7" t="n">
        <x:v>17</x:v>
      </x:c>
      <x:c r="M515" s="7" t="n">
        <x:v>15</x:v>
      </x:c>
      <x:c r="N515" s="7" t="n">
        <x:v>2</x:v>
      </x:c>
      <x:c r="O515" s="9" t="n">
        <x:f>IF(M515=0,"n.a.",L515/M515)</x:f>
        <x:v>1.1333333333333333</x:v>
      </x:c>
      <x:c r="P515" s="9" t="n">
        <x:f>IF(K515=0,"n.a.",L515/K515)</x:f>
        <x:v>0.85</x:v>
      </x:c>
      <x:c r="Q515" s="9" t="n">
        <x:f>IF(K515=0,"n.a.",M515/K515)</x:f>
        <x:v>0.75</x:v>
      </x:c>
      <x:c r="R515" s="9" t="n">
        <x:f>IF(K515=0,"n.a.",N515/K515)</x:f>
        <x:v>0.1</x:v>
      </x:c>
      <x:c r="S515" s="7" t="n">
        <x:v>5</x:v>
      </x:c>
      <x:c r="T515" s="10" t="n">
        <x:v>0.35</x:v>
      </x:c>
      <x:c r="U515" s="7" t="n">
        <x:v>219</x:v>
      </x:c>
      <x:c r="V515" s="7" t="n">
        <x:v>617</x:v>
      </x:c>
    </x:row>
    <x:row r="516" ht="16" customHeight="1">
      <x:c r="A516" s="7" t="n">
        <x:v>513</x:v>
      </x:c>
      <x:c r="B516" s="8" t="n">
        <x:v>46061</x:v>
      </x:c>
      <x:c r="C516" s="7" t="str">
        <x:v>Breeze</x:v>
      </x:c>
      <x:c r="D516" s="7" t="str">
        <x:v>MVP</x:v>
      </x:c>
      <x:c r="E516" s="7" t="str">
        <x:v>Neon</x:v>
      </x:c>
      <x:c r="F516" s="7" t="n">
        <x:v>17</x:v>
      </x:c>
      <x:c r="G516" s="7" t="n">
        <x:v>15</x:v>
      </x:c>
      <x:c r="H516" s="7" t="str">
        <x:f>IF(F516&gt;G516,"Win",IF(F516&lt;G516,"Loss","Draw"))</x:f>
        <x:v>Win</x:v>
      </x:c>
      <x:c r="I516" s="7" t="n">
        <x:f>IF(H516="Win",1,0)</x:f>
        <x:v>1</x:v>
      </x:c>
      <x:c r="J516" s="7" t="n">
        <x:f>F516-G516</x:f>
        <x:v>2</x:v>
      </x:c>
      <x:c r="K516" s="7" t="n">
        <x:f>F516+G516</x:f>
        <x:v>32</x:v>
      </x:c>
      <x:c r="L516" s="7" t="n">
        <x:v>32</x:v>
      </x:c>
      <x:c r="M516" s="7" t="n">
        <x:v>22</x:v>
      </x:c>
      <x:c r="N516" s="7" t="n">
        <x:v>7</x:v>
      </x:c>
      <x:c r="O516" s="9" t="n">
        <x:f>IF(M516=0,"n.a.",L516/M516)</x:f>
        <x:v>1.4545454545454546</x:v>
      </x:c>
      <x:c r="P516" s="9" t="n">
        <x:f>IF(K516=0,"n.a.",L516/K516)</x:f>
        <x:v>1</x:v>
      </x:c>
      <x:c r="Q516" s="9" t="n">
        <x:f>IF(K516=0,"n.a.",M516/K516)</x:f>
        <x:v>0.6875</x:v>
      </x:c>
      <x:c r="R516" s="9" t="n">
        <x:f>IF(K516=0,"n.a.",N516/K516)</x:f>
        <x:v>0.21875</x:v>
      </x:c>
      <x:c r="S516" s="7" t="n">
        <x:v>27</x:v>
      </x:c>
      <x:c r="T516" s="10" t="n">
        <x:v>0.27</x:v>
      </x:c>
      <x:c r="U516" s="7" t="n">
        <x:v>280</x:v>
      </x:c>
      <x:c r="V516" s="7" t="n">
        <x:v>781</x:v>
      </x:c>
    </x:row>
    <x:row r="517" ht="16" customHeight="1">
      <x:c r="A517" s="7" t="n">
        <x:v>514</x:v>
      </x:c>
      <x:c r="B517" s="8" t="n">
        <x:v>46061</x:v>
      </x:c>
      <x:c r="C517" s="7" t="str">
        <x:v>Corrode</x:v>
      </x:c>
      <x:c r="D517" s="7" t="str">
        <x:v>9th</x:v>
      </x:c>
      <x:c r="E517" s="7" t="str">
        <x:v>Neon</x:v>
      </x:c>
      <x:c r="F517" s="7" t="n">
        <x:v>3</x:v>
      </x:c>
      <x:c r="G517" s="7" t="n">
        <x:v>13</x:v>
      </x:c>
      <x:c r="H517" s="7" t="str">
        <x:f>IF(F517&gt;G517,"Win",IF(F517&lt;G517,"Loss","Draw"))</x:f>
        <x:v>Loss</x:v>
      </x:c>
      <x:c r="I517" s="7" t="n">
        <x:f>IF(H517="Win",1,0)</x:f>
        <x:v>0</x:v>
      </x:c>
      <x:c r="J517" s="7" t="n">
        <x:f>F517-G517</x:f>
        <x:v>-10</x:v>
      </x:c>
      <x:c r="K517" s="7" t="n">
        <x:f>F517+G517</x:f>
        <x:v>16</x:v>
      </x:c>
      <x:c r="L517" s="7" t="n">
        <x:v>7</x:v>
      </x:c>
      <x:c r="M517" s="7" t="n">
        <x:v>16</x:v>
      </x:c>
      <x:c r="N517" s="7" t="n">
        <x:v>2</x:v>
      </x:c>
      <x:c r="O517" s="9" t="n">
        <x:f>IF(M517=0,"n.a.",L517/M517)</x:f>
        <x:v>0.4375</x:v>
      </x:c>
      <x:c r="P517" s="9" t="n">
        <x:f>IF(K517=0,"n.a.",L517/K517)</x:f>
        <x:v>0.4375</x:v>
      </x:c>
      <x:c r="Q517" s="9" t="n">
        <x:f>IF(K517=0,"n.a.",M517/K517)</x:f>
        <x:v>1</x:v>
      </x:c>
      <x:c r="R517" s="9" t="n">
        <x:f>IF(K517=0,"n.a.",N517/K517)</x:f>
        <x:v>0.125</x:v>
      </x:c>
      <x:c r="S517" s="7" t="n">
        <x:v>-72</x:v>
      </x:c>
      <x:c r="T517" s="10" t="n">
        <x:v>0.42</x:v>
      </x:c>
      <x:c r="U517" s="7" t="n">
        <x:v>146</x:v>
      </x:c>
      <x:c r="V517" s="7" t="n">
        <x:v>106</x:v>
      </x:c>
    </x:row>
    <x:row r="518" ht="16" customHeight="1">
      <x:c r="A518" s="7" t="n">
        <x:v>515</x:v>
      </x:c>
      <x:c r="B518" s="8" t="n">
        <x:v>46062</x:v>
      </x:c>
      <x:c r="C518" s="7" t="str">
        <x:v>Pearl</x:v>
      </x:c>
      <x:c r="D518" s="7" t="str">
        <x:v>3rd</x:v>
      </x:c>
      <x:c r="E518" s="7" t="str">
        <x:v>Neon</x:v>
      </x:c>
      <x:c r="F518" s="7" t="n">
        <x:v>14</x:v>
      </x:c>
      <x:c r="G518" s="7" t="n">
        <x:v>12</x:v>
      </x:c>
      <x:c r="H518" s="7" t="str">
        <x:f>IF(F518&gt;G518,"Win",IF(F518&lt;G518,"Loss","Draw"))</x:f>
        <x:v>Win</x:v>
      </x:c>
      <x:c r="I518" s="7" t="n">
        <x:f>IF(H518="Win",1,0)</x:f>
        <x:v>1</x:v>
      </x:c>
      <x:c r="J518" s="7" t="n">
        <x:f>F518-G518</x:f>
        <x:v>2</x:v>
      </x:c>
      <x:c r="K518" s="7" t="n">
        <x:f>F518+G518</x:f>
        <x:v>26</x:v>
      </x:c>
      <x:c r="L518" s="7" t="n">
        <x:v>27</x:v>
      </x:c>
      <x:c r="M518" s="7" t="n">
        <x:v>20</x:v>
      </x:c>
      <x:c r="N518" s="7" t="n">
        <x:v>2</x:v>
      </x:c>
      <x:c r="O518" s="9" t="n">
        <x:f>IF(M518=0,"n.a.",L518/M518)</x:f>
        <x:v>1.35</x:v>
      </x:c>
      <x:c r="P518" s="9" t="n">
        <x:f>IF(K518=0,"n.a.",L518/K518)</x:f>
        <x:v>1.0384615384615385</x:v>
      </x:c>
      <x:c r="Q518" s="9" t="n">
        <x:f>IF(K518=0,"n.a.",M518/K518)</x:f>
        <x:v>0.7692307692307693</x:v>
      </x:c>
      <x:c r="R518" s="9" t="n">
        <x:f>IF(K518=0,"n.a.",N518/K518)</x:f>
        <x:v>0.07692307692307693</x:v>
      </x:c>
      <x:c r="S518" s="7" t="n">
        <x:v>19</x:v>
      </x:c>
      <x:c r="T518" s="10" t="n">
        <x:v>0.35</x:v>
      </x:c>
      <x:c r="U518" s="7" t="n">
        <x:v>280</x:v>
      </x:c>
      <x:c r="V518" s="7" t="n">
        <x:v>688</x:v>
      </x:c>
    </x:row>
    <x:row r="519" ht="16" customHeight="1">
      <x:c r="A519" s="7" t="n">
        <x:v>516</x:v>
      </x:c>
      <x:c r="B519" s="8" t="n">
        <x:v>46062</x:v>
      </x:c>
      <x:c r="C519" s="7" t="str">
        <x:v>Breeze</x:v>
      </x:c>
      <x:c r="D519" s="7" t="str">
        <x:v>MVP</x:v>
      </x:c>
      <x:c r="E519" s="7" t="str">
        <x:v>Astra</x:v>
      </x:c>
      <x:c r="F519" s="7" t="n">
        <x:v>13</x:v>
      </x:c>
      <x:c r="G519" s="7" t="n">
        <x:v>7</x:v>
      </x:c>
      <x:c r="H519" s="7" t="str">
        <x:f>IF(F519&gt;G519,"Win",IF(F519&lt;G519,"Loss","Draw"))</x:f>
        <x:v>Win</x:v>
      </x:c>
      <x:c r="I519" s="7" t="n">
        <x:f>IF(H519="Win",1,0)</x:f>
        <x:v>1</x:v>
      </x:c>
      <x:c r="J519" s="7" t="n">
        <x:f>F519-G519</x:f>
        <x:v>6</x:v>
      </x:c>
      <x:c r="K519" s="7" t="n">
        <x:f>F519+G519</x:f>
        <x:v>20</x:v>
      </x:c>
      <x:c r="L519" s="7" t="n">
        <x:v>21</x:v>
      </x:c>
      <x:c r="M519" s="7" t="n">
        <x:v>14</x:v>
      </x:c>
      <x:c r="N519" s="7" t="n">
        <x:v>1</x:v>
      </x:c>
      <x:c r="O519" s="9" t="n">
        <x:f>IF(M519=0,"n.a.",L519/M519)</x:f>
        <x:v>1.5</x:v>
      </x:c>
      <x:c r="P519" s="9" t="n">
        <x:f>IF(K519=0,"n.a.",L519/K519)</x:f>
        <x:v>1.05</x:v>
      </x:c>
      <x:c r="Q519" s="9" t="n">
        <x:f>IF(K519=0,"n.a.",M519/K519)</x:f>
        <x:v>0.7</x:v>
      </x:c>
      <x:c r="R519" s="9" t="n">
        <x:f>IF(K519=0,"n.a.",N519/K519)</x:f>
        <x:v>0.05</x:v>
      </x:c>
      <x:c r="S519" s="7" t="n">
        <x:v>60</x:v>
      </x:c>
      <x:c r="T519" s="10" t="n">
        <x:v>0.37</x:v>
      </x:c>
      <x:c r="U519" s="7" t="n">
        <x:v>290</x:v>
      </x:c>
      <x:c r="V519" s="7" t="n">
        <x:v>919</x:v>
      </x:c>
    </x:row>
    <x:row r="520" ht="16" customHeight="1">
      <x:c r="A520" s="7" t="n">
        <x:v>517</x:v>
      </x:c>
      <x:c r="B520" s="8" t="n">
        <x:v>46062</x:v>
      </x:c>
      <x:c r="C520" s="7" t="str">
        <x:v>Split</x:v>
      </x:c>
      <x:c r="D520" s="7" t="str">
        <x:v>2nd</x:v>
      </x:c>
      <x:c r="E520" s="7" t="str">
        <x:v>Neon</x:v>
      </x:c>
      <x:c r="F520" s="7" t="n">
        <x:v>12</x:v>
      </x:c>
      <x:c r="G520" s="7" t="n">
        <x:v>14</x:v>
      </x:c>
      <x:c r="H520" s="7" t="str">
        <x:f>IF(F520&gt;G520,"Win",IF(F520&lt;G520,"Loss","Draw"))</x:f>
        <x:v>Loss</x:v>
      </x:c>
      <x:c r="I520" s="7" t="n">
        <x:f>IF(H520="Win",1,0)</x:f>
        <x:v>0</x:v>
      </x:c>
      <x:c r="J520" s="7" t="n">
        <x:f>F520-G520</x:f>
        <x:v>-2</x:v>
      </x:c>
      <x:c r="K520" s="7" t="n">
        <x:f>F520+G520</x:f>
        <x:v>26</x:v>
      </x:c>
      <x:c r="L520" s="7" t="n">
        <x:v>26</x:v>
      </x:c>
      <x:c r="M520" s="7" t="n">
        <x:v>19</x:v>
      </x:c>
      <x:c r="N520" s="7" t="n">
        <x:v>3</x:v>
      </x:c>
      <x:c r="O520" s="9" t="n">
        <x:f>IF(M520=0,"n.a.",L520/M520)</x:f>
        <x:v>1.368421052631579</x:v>
      </x:c>
      <x:c r="P520" s="9" t="n">
        <x:f>IF(K520=0,"n.a.",L520/K520)</x:f>
        <x:v>1</x:v>
      </x:c>
      <x:c r="Q520" s="9" t="n">
        <x:f>IF(K520=0,"n.a.",M520/K520)</x:f>
        <x:v>0.7307692307692307</x:v>
      </x:c>
      <x:c r="R520" s="9" t="n">
        <x:f>IF(K520=0,"n.a.",N520/K520)</x:f>
        <x:v>0.11538461538461539</x:v>
      </x:c>
      <x:c r="S520" s="7" t="n">
        <x:v>37</x:v>
      </x:c>
      <x:c r="T520" s="10" t="n">
        <x:v>0.3</x:v>
      </x:c>
      <x:c r="U520" s="7" t="n">
        <x:v>282</x:v>
      </x:c>
      <x:c r="V520" s="7" t="n">
        <x:v>722</x:v>
      </x:c>
    </x:row>
    <x:row r="521" ht="16" customHeight="1">
      <x:c r="A521" s="7" t="n">
        <x:v>518</x:v>
      </x:c>
      <x:c r="B521" s="8" t="n">
        <x:v>46063</x:v>
      </x:c>
      <x:c r="C521" s="7" t="str">
        <x:v>Abyss</x:v>
      </x:c>
      <x:c r="D521" s="7" t="str">
        <x:v>6th</x:v>
      </x:c>
      <x:c r="E521" s="7" t="str">
        <x:v>Neon</x:v>
      </x:c>
      <x:c r="F521" s="7" t="n">
        <x:v>7</x:v>
      </x:c>
      <x:c r="G521" s="7" t="n">
        <x:v>2</x:v>
      </x:c>
      <x:c r="H521" s="7" t="str">
        <x:f>IF(F521&gt;G521,"Win",IF(F521&lt;G521,"Loss","Draw"))</x:f>
        <x:v>Win</x:v>
      </x:c>
      <x:c r="I521" s="7" t="n">
        <x:f>IF(H521="Win",1,0)</x:f>
        <x:v>1</x:v>
      </x:c>
      <x:c r="J521" s="7" t="n">
        <x:f>F521-G521</x:f>
        <x:v>5</x:v>
      </x:c>
      <x:c r="K521" s="7" t="n">
        <x:f>F521+G521</x:f>
        <x:v>9</x:v>
      </x:c>
      <x:c r="L521" s="7" t="n">
        <x:v>7</x:v>
      </x:c>
      <x:c r="M521" s="7" t="n">
        <x:v>5</x:v>
      </x:c>
      <x:c r="N521" s="7" t="n">
        <x:v>1</x:v>
      </x:c>
      <x:c r="O521" s="9" t="n">
        <x:f>IF(M521=0,"n.a.",L521/M521)</x:f>
        <x:v>1.4</x:v>
      </x:c>
      <x:c r="P521" s="9" t="n">
        <x:f>IF(K521=0,"n.a.",L521/K521)</x:f>
        <x:v>0.7777777777777778</x:v>
      </x:c>
      <x:c r="Q521" s="9" t="n">
        <x:f>IF(K521=0,"n.a.",M521/K521)</x:f>
        <x:v>0.5555555555555556</x:v>
      </x:c>
      <x:c r="R521" s="9" t="n">
        <x:f>IF(K521=0,"n.a.",N521/K521)</x:f>
        <x:v>0.1111111111111111</x:v>
      </x:c>
      <x:c r="S521" s="7" t="n">
        <x:v>-4</x:v>
      </x:c>
      <x:c r="T521" s="10" t="n">
        <x:v>0.29</x:v>
      </x:c>
      <x:c r="U521" s="7" t="n">
        <x:v>210</x:v>
      </x:c>
      <x:c r="V521" s="7" t="n">
        <x:v>667</x:v>
      </x:c>
    </x:row>
    <x:row r="522" ht="16" customHeight="1">
      <x:c r="A522" s="7" t="n">
        <x:v>519</x:v>
      </x:c>
      <x:c r="B522" s="8" t="n">
        <x:v>46064</x:v>
      </x:c>
      <x:c r="C522" s="7" t="str">
        <x:v>Haven</x:v>
      </x:c>
      <x:c r="D522" s="7" t="str">
        <x:v>8th</x:v>
      </x:c>
      <x:c r="E522" s="7" t="str">
        <x:v>Neon</x:v>
      </x:c>
      <x:c r="F522" s="7" t="n">
        <x:v>10</x:v>
      </x:c>
      <x:c r="G522" s="7" t="n">
        <x:v>13</x:v>
      </x:c>
      <x:c r="H522" s="7" t="str">
        <x:f>IF(F522&gt;G522,"Win",IF(F522&lt;G522,"Loss","Draw"))</x:f>
        <x:v>Loss</x:v>
      </x:c>
      <x:c r="I522" s="7" t="n">
        <x:f>IF(H522="Win",1,0)</x:f>
        <x:v>0</x:v>
      </x:c>
      <x:c r="J522" s="7" t="n">
        <x:f>F522-G522</x:f>
        <x:v>-3</x:v>
      </x:c>
      <x:c r="K522" s="7" t="n">
        <x:f>F522+G522</x:f>
        <x:v>23</x:v>
      </x:c>
      <x:c r="L522" s="7" t="n">
        <x:v>12</x:v>
      </x:c>
      <x:c r="M522" s="7" t="n">
        <x:v>17</x:v>
      </x:c>
      <x:c r="N522" s="7" t="n">
        <x:v>4</x:v>
      </x:c>
      <x:c r="O522" s="9" t="n">
        <x:f>IF(M522=0,"n.a.",L522/M522)</x:f>
        <x:v>0.7058823529411765</x:v>
      </x:c>
      <x:c r="P522" s="9" t="n">
        <x:f>IF(K522=0,"n.a.",L522/K522)</x:f>
        <x:v>0.5217391304347826</x:v>
      </x:c>
      <x:c r="Q522" s="9" t="n">
        <x:f>IF(K522=0,"n.a.",M522/K522)</x:f>
        <x:v>0.7391304347826086</x:v>
      </x:c>
      <x:c r="R522" s="9" t="n">
        <x:f>IF(K522=0,"n.a.",N522/K522)</x:f>
        <x:v>0.17391304347826086</x:v>
      </x:c>
      <x:c r="S522" s="7" t="n">
        <x:v>-32</x:v>
      </x:c>
      <x:c r="T522" s="10" t="n">
        <x:v>0.25</x:v>
      </x:c>
      <x:c r="U522" s="7" t="n">
        <x:v>152</x:v>
      </x:c>
      <x:c r="V522" s="7" t="n">
        <x:v>236</x:v>
      </x:c>
    </x:row>
    <x:row r="523" ht="16" customHeight="1">
      <x:c r="A523" s="7" t="n">
        <x:v>520</x:v>
      </x:c>
      <x:c r="B523" s="8" t="n">
        <x:v>46065</x:v>
      </x:c>
      <x:c r="C523" s="7" t="str">
        <x:v>Corrode</x:v>
      </x:c>
      <x:c r="D523" s="7" t="str">
        <x:v>MVP</x:v>
      </x:c>
      <x:c r="E523" s="7" t="str">
        <x:v>Neon</x:v>
      </x:c>
      <x:c r="F523" s="7" t="n">
        <x:v>7</x:v>
      </x:c>
      <x:c r="G523" s="7" t="n">
        <x:v>13</x:v>
      </x:c>
      <x:c r="H523" s="7" t="str">
        <x:f>IF(F523&gt;G523,"Win",IF(F523&lt;G523,"Loss","Draw"))</x:f>
        <x:v>Loss</x:v>
      </x:c>
      <x:c r="I523" s="7" t="n">
        <x:f>IF(H523="Win",1,0)</x:f>
        <x:v>0</x:v>
      </x:c>
      <x:c r="J523" s="7" t="n">
        <x:f>F523-G523</x:f>
        <x:v>-6</x:v>
      </x:c>
      <x:c r="K523" s="7" t="n">
        <x:f>F523+G523</x:f>
        <x:v>20</x:v>
      </x:c>
      <x:c r="L523" s="7" t="n">
        <x:v>24</x:v>
      </x:c>
      <x:c r="M523" s="7" t="n">
        <x:v>18</x:v>
      </x:c>
      <x:c r="N523" s="7" t="n">
        <x:v>2</x:v>
      </x:c>
      <x:c r="O523" s="9" t="n">
        <x:f>IF(M523=0,"n.a.",L523/M523)</x:f>
        <x:v>1.3333333333333333</x:v>
      </x:c>
      <x:c r="P523" s="9" t="n">
        <x:f>IF(K523=0,"n.a.",L523/K523)</x:f>
        <x:v>1.2</x:v>
      </x:c>
      <x:c r="Q523" s="9" t="n">
        <x:f>IF(K523=0,"n.a.",M523/K523)</x:f>
        <x:v>0.9</x:v>
      </x:c>
      <x:c r="R523" s="9" t="n">
        <x:f>IF(K523=0,"n.a.",N523/K523)</x:f>
        <x:v>0.1</x:v>
      </x:c>
      <x:c r="S523" s="7" t="n">
        <x:v>69</x:v>
      </x:c>
      <x:c r="T523" s="10" t="n">
        <x:v>0.32</x:v>
      </x:c>
      <x:c r="U523" s="7" t="n">
        <x:v>349</x:v>
      </x:c>
      <x:c r="V523" s="7" t="n">
        <x:v>714</x:v>
      </x:c>
    </x:row>
    <x:row r="524" ht="16" customHeight="1">
      <x:c r="A524" s="7" t="n">
        <x:v>521</x:v>
      </x:c>
      <x:c r="B524" s="8" t="n">
        <x:v>46065</x:v>
      </x:c>
      <x:c r="C524" s="7" t="str">
        <x:v>Breeze</x:v>
      </x:c>
      <x:c r="D524" s="7" t="str">
        <x:v>8th</x:v>
      </x:c>
      <x:c r="E524" s="7" t="str">
        <x:v>Omen</x:v>
      </x:c>
      <x:c r="F524" s="7" t="n">
        <x:v>13</x:v>
      </x:c>
      <x:c r="G524" s="7" t="n">
        <x:v>13</x:v>
      </x:c>
      <x:c r="H524" s="7" t="str">
        <x:f>IF(F524&gt;G524,"Win",IF(F524&lt;G524,"Loss","Draw"))</x:f>
        <x:v>Draw</x:v>
      </x:c>
      <x:c r="I524" s="7" t="n">
        <x:f>IF(H524="Win",1,0)</x:f>
        <x:v>0</x:v>
      </x:c>
      <x:c r="J524" s="7" t="n">
        <x:f>F524-G524</x:f>
        <x:v>0</x:v>
      </x:c>
      <x:c r="K524" s="7" t="n">
        <x:f>F524+G524</x:f>
        <x:v>26</x:v>
      </x:c>
      <x:c r="L524" s="7" t="n">
        <x:v>15</x:v>
      </x:c>
      <x:c r="M524" s="7" t="n">
        <x:v>20</x:v>
      </x:c>
      <x:c r="N524" s="7" t="n">
        <x:v>6</x:v>
      </x:c>
      <x:c r="O524" s="9" t="n">
        <x:f>IF(M524=0,"n.a.",L524/M524)</x:f>
        <x:v>0.75</x:v>
      </x:c>
      <x:c r="P524" s="9" t="n">
        <x:f>IF(K524=0,"n.a.",L524/K524)</x:f>
        <x:v>0.5769230769230769</x:v>
      </x:c>
      <x:c r="Q524" s="9" t="n">
        <x:f>IF(K524=0,"n.a.",M524/K524)</x:f>
        <x:v>0.7692307692307693</x:v>
      </x:c>
      <x:c r="R524" s="9" t="n">
        <x:f>IF(K524=0,"n.a.",N524/K524)</x:f>
        <x:v>0.23076923076923078</x:v>
      </x:c>
      <x:c r="S524" s="7" t="n">
        <x:v>-43</x:v>
      </x:c>
      <x:c r="T524" s="10" t="n">
        <x:v>0.33</x:v>
      </x:c>
      <x:c r="U524" s="7" t="n">
        <x:v>170</x:v>
      </x:c>
      <x:c r="V524" s="7" t="n">
        <x:v>355</x:v>
      </x:c>
    </x:row>
    <x:row r="525" ht="16" customHeight="1">
      <x:c r="A525" s="7" t="n">
        <x:v>522</x:v>
      </x:c>
      <x:c r="B525" s="8" t="n">
        <x:v>46065</x:v>
      </x:c>
      <x:c r="C525" s="7" t="str">
        <x:v>Corrode</x:v>
      </x:c>
      <x:c r="D525" s="7" t="str">
        <x:v>8th</x:v>
      </x:c>
      <x:c r="E525" s="7" t="str">
        <x:v>Neon</x:v>
      </x:c>
      <x:c r="F525" s="7" t="n">
        <x:v>13</x:v>
      </x:c>
      <x:c r="G525" s="7" t="n">
        <x:v>10</x:v>
      </x:c>
      <x:c r="H525" s="7" t="str">
        <x:f>IF(F525&gt;G525,"Win",IF(F525&lt;G525,"Loss","Draw"))</x:f>
        <x:v>Win</x:v>
      </x:c>
      <x:c r="I525" s="7" t="n">
        <x:f>IF(H525="Win",1,0)</x:f>
        <x:v>1</x:v>
      </x:c>
      <x:c r="J525" s="7" t="n">
        <x:f>F525-G525</x:f>
        <x:v>3</x:v>
      </x:c>
      <x:c r="K525" s="7" t="n">
        <x:f>F525+G525</x:f>
        <x:v>23</x:v>
      </x:c>
      <x:c r="L525" s="7" t="n">
        <x:v>15</x:v>
      </x:c>
      <x:c r="M525" s="7" t="n">
        <x:v>17</x:v>
      </x:c>
      <x:c r="N525" s="7" t="n">
        <x:v>6</x:v>
      </x:c>
      <x:c r="O525" s="9" t="n">
        <x:f>IF(M525=0,"n.a.",L525/M525)</x:f>
        <x:v>0.8823529411764706</x:v>
      </x:c>
      <x:c r="P525" s="9" t="n">
        <x:f>IF(K525=0,"n.a.",L525/K525)</x:f>
        <x:v>0.6521739130434783</x:v>
      </x:c>
      <x:c r="Q525" s="9" t="n">
        <x:f>IF(K525=0,"n.a.",M525/K525)</x:f>
        <x:v>0.7391304347826086</x:v>
      </x:c>
      <x:c r="R525" s="9" t="n">
        <x:f>IF(K525=0,"n.a.",N525/K525)</x:f>
        <x:v>0.2608695652173913</x:v>
      </x:c>
      <x:c r="S525" s="7" t="n">
        <x:v>-22</x:v>
      </x:c>
      <x:c r="T525" s="10" t="n">
        <x:v>0.23</x:v>
      </x:c>
      <x:c r="U525" s="7" t="n">
        <x:v>191</x:v>
      </x:c>
      <x:c r="V525" s="7" t="n">
        <x:v>457</x:v>
      </x:c>
    </x:row>
    <x:row r="526" ht="16" customHeight="1">
      <x:c r="A526" s="7" t="n">
        <x:v>523</x:v>
      </x:c>
      <x:c r="B526" s="8" t="n">
        <x:v>46065</x:v>
      </x:c>
      <x:c r="C526" s="7" t="str">
        <x:v>Haven</x:v>
      </x:c>
      <x:c r="D526" s="7" t="str">
        <x:v>MVP</x:v>
      </x:c>
      <x:c r="E526" s="7" t="str">
        <x:v>Neon</x:v>
      </x:c>
      <x:c r="F526" s="7" t="n">
        <x:v>13</x:v>
      </x:c>
      <x:c r="G526" s="7" t="n">
        <x:v>5</x:v>
      </x:c>
      <x:c r="H526" s="7" t="str">
        <x:f>IF(F526&gt;G526,"Win",IF(F526&lt;G526,"Loss","Draw"))</x:f>
        <x:v>Win</x:v>
      </x:c>
      <x:c r="I526" s="7" t="n">
        <x:f>IF(H526="Win",1,0)</x:f>
        <x:v>1</x:v>
      </x:c>
      <x:c r="J526" s="7" t="n">
        <x:f>F526-G526</x:f>
        <x:v>8</x:v>
      </x:c>
      <x:c r="K526" s="7" t="n">
        <x:f>F526+G526</x:f>
        <x:v>18</x:v>
      </x:c>
      <x:c r="L526" s="7" t="n">
        <x:v>21</x:v>
      </x:c>
      <x:c r="M526" s="7" t="n">
        <x:v>11</x:v>
      </x:c>
      <x:c r="N526" s="7" t="n">
        <x:v>2</x:v>
      </x:c>
      <x:c r="O526" s="9" t="n">
        <x:f>IF(M526=0,"n.a.",L526/M526)</x:f>
        <x:v>1.9090909090909092</x:v>
      </x:c>
      <x:c r="P526" s="9" t="n">
        <x:f>IF(K526=0,"n.a.",L526/K526)</x:f>
        <x:v>1.1666666666666667</x:v>
      </x:c>
      <x:c r="Q526" s="9" t="n">
        <x:f>IF(K526=0,"n.a.",M526/K526)</x:f>
        <x:v>0.6111111111111112</x:v>
      </x:c>
      <x:c r="R526" s="9" t="n">
        <x:f>IF(K526=0,"n.a.",N526/K526)</x:f>
        <x:v>0.1111111111111111</x:v>
      </x:c>
      <x:c r="S526" s="7" t="n">
        <x:v>75</x:v>
      </x:c>
      <x:c r="T526" s="10" t="n">
        <x:v>0.29</x:v>
      </x:c>
      <x:c r="U526" s="7" t="n">
        <x:v>307</x:v>
      </x:c>
      <x:c r="V526" s="7" t="n">
        <x:v>889</x:v>
      </x:c>
    </x:row>
    <x:row r="527" ht="16" customHeight="1">
      <x:c r="A527" s="7" t="n">
        <x:v>524</x:v>
      </x:c>
      <x:c r="B527" s="8" t="n">
        <x:v>46065</x:v>
      </x:c>
      <x:c r="C527" s="7" t="str">
        <x:v>Pearl</x:v>
      </x:c>
      <x:c r="D527" s="7" t="str">
        <x:v>9th</x:v>
      </x:c>
      <x:c r="E527" s="7" t="str">
        <x:v>Neon</x:v>
      </x:c>
      <x:c r="F527" s="7" t="n">
        <x:v>7</x:v>
      </x:c>
      <x:c r="G527" s="7" t="n">
        <x:v>13</x:v>
      </x:c>
      <x:c r="H527" s="7" t="str">
        <x:f>IF(F527&gt;G527,"Win",IF(F527&lt;G527,"Loss","Draw"))</x:f>
        <x:v>Loss</x:v>
      </x:c>
      <x:c r="I527" s="7" t="n">
        <x:f>IF(H527="Win",1,0)</x:f>
        <x:v>0</x:v>
      </x:c>
      <x:c r="J527" s="7" t="n">
        <x:f>F527-G527</x:f>
        <x:v>-6</x:v>
      </x:c>
      <x:c r="K527" s="7" t="n">
        <x:f>F527+G527</x:f>
        <x:v>20</x:v>
      </x:c>
      <x:c r="L527" s="7" t="n">
        <x:v>12</x:v>
      </x:c>
      <x:c r="M527" s="7" t="n">
        <x:v>18</x:v>
      </x:c>
      <x:c r="N527" s="7" t="n">
        <x:v>2</x:v>
      </x:c>
      <x:c r="O527" s="9" t="n">
        <x:f>IF(M527=0,"n.a.",L527/M527)</x:f>
        <x:v>0.6666666666666666</x:v>
      </x:c>
      <x:c r="P527" s="9" t="n">
        <x:f>IF(K527=0,"n.a.",L527/K527)</x:f>
        <x:v>0.6</x:v>
      </x:c>
      <x:c r="Q527" s="9" t="n">
        <x:f>IF(K527=0,"n.a.",M527/K527)</x:f>
        <x:v>0.9</x:v>
      </x:c>
      <x:c r="R527" s="9" t="n">
        <x:f>IF(K527=0,"n.a.",N527/K527)</x:f>
        <x:v>0.1</x:v>
      </x:c>
      <x:c r="S527" s="7" t="n">
        <x:v>-49</x:v>
      </x:c>
      <x:c r="T527" s="10" t="n">
        <x:v>0.18</x:v>
      </x:c>
      <x:c r="U527" s="7" t="n">
        <x:v>172</x:v>
      </x:c>
      <x:c r="V527" s="7" t="n">
        <x:v>277</x:v>
      </x:c>
    </x:row>
    <x:row r="528" ht="16" customHeight="1">
      <x:c r="A528" s="7" t="n">
        <x:v>525</x:v>
      </x:c>
      <x:c r="B528" s="8" t="n">
        <x:v>46066</x:v>
      </x:c>
      <x:c r="C528" s="7" t="str">
        <x:v>Split</x:v>
      </x:c>
      <x:c r="D528" s="7" t="str">
        <x:v>3rd</x:v>
      </x:c>
      <x:c r="E528" s="7" t="str">
        <x:v>Neon</x:v>
      </x:c>
      <x:c r="F528" s="7" t="n">
        <x:v>13</x:v>
      </x:c>
      <x:c r="G528" s="7" t="n">
        <x:v>3</x:v>
      </x:c>
      <x:c r="H528" s="7" t="str">
        <x:f>IF(F528&gt;G528,"Win",IF(F528&lt;G528,"Loss","Draw"))</x:f>
        <x:v>Win</x:v>
      </x:c>
      <x:c r="I528" s="7" t="n">
        <x:f>IF(H528="Win",1,0)</x:f>
        <x:v>1</x:v>
      </x:c>
      <x:c r="J528" s="7" t="n">
        <x:f>F528-G528</x:f>
        <x:v>10</x:v>
      </x:c>
      <x:c r="K528" s="7" t="n">
        <x:f>F528+G528</x:f>
        <x:v>16</x:v>
      </x:c>
      <x:c r="L528" s="7" t="n">
        <x:v>14</x:v>
      </x:c>
      <x:c r="M528" s="7" t="n">
        <x:v>12</x:v>
      </x:c>
      <x:c r="N528" s="7" t="n">
        <x:v>3</x:v>
      </x:c>
      <x:c r="O528" s="9" t="n">
        <x:f>IF(M528=0,"n.a.",L528/M528)</x:f>
        <x:v>1.1666666666666667</x:v>
      </x:c>
      <x:c r="P528" s="9" t="n">
        <x:f>IF(K528=0,"n.a.",L528/K528)</x:f>
        <x:v>0.875</x:v>
      </x:c>
      <x:c r="Q528" s="9" t="n">
        <x:f>IF(K528=0,"n.a.",M528/K528)</x:f>
        <x:v>0.75</x:v>
      </x:c>
      <x:c r="R528" s="9" t="n">
        <x:f>IF(K528=0,"n.a.",N528/K528)</x:f>
        <x:v>0.1875</x:v>
      </x:c>
      <x:c r="S528" s="7" t="n">
        <x:v>-13</x:v>
      </x:c>
      <x:c r="T528" s="10" t="n">
        <x:v>0.35</x:v>
      </x:c>
      <x:c r="U528" s="7" t="n">
        <x:v>228</x:v>
      </x:c>
      <x:c r="V528" s="7" t="n">
        <x:v>595</x:v>
      </x:c>
    </x:row>
    <x:row r="529" ht="16" customHeight="1">
      <x:c r="A529" s="7" t="n">
        <x:v>526</x:v>
      </x:c>
      <x:c r="B529" s="8" t="n">
        <x:v>46067</x:v>
      </x:c>
      <x:c r="C529" s="7" t="str">
        <x:v>Pearl</x:v>
      </x:c>
      <x:c r="D529" s="7" t="str">
        <x:v>10th</x:v>
      </x:c>
      <x:c r="E529" s="7" t="str">
        <x:v>Breach</x:v>
      </x:c>
      <x:c r="F529" s="7" t="n">
        <x:v>5</x:v>
      </x:c>
      <x:c r="G529" s="7" t="n">
        <x:v>13</x:v>
      </x:c>
      <x:c r="H529" s="7" t="str">
        <x:f>IF(F529&gt;G529,"Win",IF(F529&lt;G529,"Loss","Draw"))</x:f>
        <x:v>Loss</x:v>
      </x:c>
      <x:c r="I529" s="7" t="n">
        <x:f>IF(H529="Win",1,0)</x:f>
        <x:v>0</x:v>
      </x:c>
      <x:c r="J529" s="7" t="n">
        <x:f>F529-G529</x:f>
        <x:v>-8</x:v>
      </x:c>
      <x:c r="K529" s="7" t="n">
        <x:f>F529+G529</x:f>
        <x:v>18</x:v>
      </x:c>
      <x:c r="L529" s="7" t="n">
        <x:v>6</x:v>
      </x:c>
      <x:c r="M529" s="7" t="n">
        <x:v>16</x:v>
      </x:c>
      <x:c r="N529" s="7" t="n">
        <x:v>5</x:v>
      </x:c>
      <x:c r="O529" s="9" t="n">
        <x:f>IF(M529=0,"n.a.",L529/M529)</x:f>
        <x:v>0.375</x:v>
      </x:c>
      <x:c r="P529" s="9" t="n">
        <x:f>IF(K529=0,"n.a.",L529/K529)</x:f>
        <x:v>0.3333333333333333</x:v>
      </x:c>
      <x:c r="Q529" s="9" t="n">
        <x:f>IF(K529=0,"n.a.",M529/K529)</x:f>
        <x:v>0.8888888888888888</x:v>
      </x:c>
      <x:c r="R529" s="9" t="n">
        <x:f>IF(K529=0,"n.a.",N529/K529)</x:f>
        <x:v>0.2777777777777778</x:v>
      </x:c>
      <x:c r="S529" s="7" t="n">
        <x:v>-71</x:v>
      </x:c>
      <x:c r="T529" s="10" t="n">
        <x:v>0.17</x:v>
      </x:c>
      <x:c r="U529" s="7" t="n">
        <x:v>106</x:v>
      </x:c>
      <x:c r="V529" s="7" t="n">
        <x:v>100</x:v>
      </x:c>
    </x:row>
    <x:row r="530" ht="16" customHeight="1">
      <x:c r="A530" s="7" t="n">
        <x:v>527</x:v>
      </x:c>
      <x:c r="B530" s="8" t="n">
        <x:v>46067</x:v>
      </x:c>
      <x:c r="C530" s="7" t="str">
        <x:v>Breeze</x:v>
      </x:c>
      <x:c r="D530" s="7" t="str">
        <x:v>2nd</x:v>
      </x:c>
      <x:c r="E530" s="7" t="str">
        <x:v>Neon</x:v>
      </x:c>
      <x:c r="F530" s="7" t="n">
        <x:v>10</x:v>
      </x:c>
      <x:c r="G530" s="7" t="n">
        <x:v>13</x:v>
      </x:c>
      <x:c r="H530" s="7" t="str">
        <x:f>IF(F530&gt;G530,"Win",IF(F530&lt;G530,"Loss","Draw"))</x:f>
        <x:v>Loss</x:v>
      </x:c>
      <x:c r="I530" s="7" t="n">
        <x:f>IF(H530="Win",1,0)</x:f>
        <x:v>0</x:v>
      </x:c>
      <x:c r="J530" s="7" t="n">
        <x:f>F530-G530</x:f>
        <x:v>-3</x:v>
      </x:c>
      <x:c r="K530" s="7" t="n">
        <x:f>F530+G530</x:f>
        <x:v>23</x:v>
      </x:c>
      <x:c r="L530" s="7" t="n">
        <x:v>24</x:v>
      </x:c>
      <x:c r="M530" s="7" t="n">
        <x:v>18</x:v>
      </x:c>
      <x:c r="N530" s="7" t="n">
        <x:v>2</x:v>
      </x:c>
      <x:c r="O530" s="9" t="n">
        <x:f>IF(M530=0,"n.a.",L530/M530)</x:f>
        <x:v>1.3333333333333333</x:v>
      </x:c>
      <x:c r="P530" s="9" t="n">
        <x:f>IF(K530=0,"n.a.",L530/K530)</x:f>
        <x:v>1.0434782608695652</x:v>
      </x:c>
      <x:c r="Q530" s="9" t="n">
        <x:f>IF(K530=0,"n.a.",M530/K530)</x:f>
        <x:v>0.782608695652174</x:v>
      </x:c>
      <x:c r="R530" s="9" t="n">
        <x:f>IF(K530=0,"n.a.",N530/K530)</x:f>
        <x:v>0.08695652173913043</x:v>
      </x:c>
      <x:c r="S530" s="7" t="n">
        <x:v>-2</x:v>
      </x:c>
      <x:c r="T530" s="10" t="n">
        <x:v>0.21</x:v>
      </x:c>
      <x:c r="U530" s="7" t="n">
        <x:v>303</x:v>
      </x:c>
      <x:c r="V530" s="7" t="n">
        <x:v>668</x:v>
      </x:c>
    </x:row>
    <x:row r="531" ht="16" customHeight="1">
      <x:c r="A531" s="7" t="n">
        <x:v>528</x:v>
      </x:c>
      <x:c r="B531" s="8" t="n">
        <x:v>46067</x:v>
      </x:c>
      <x:c r="C531" s="7" t="str">
        <x:v>Abyss</x:v>
      </x:c>
      <x:c r="D531" s="7" t="str">
        <x:v>MVP</x:v>
      </x:c>
      <x:c r="E531" s="7" t="str">
        <x:v>Neon</x:v>
      </x:c>
      <x:c r="F531" s="7" t="n">
        <x:v>13</x:v>
      </x:c>
      <x:c r="G531" s="7" t="n">
        <x:v>4</x:v>
      </x:c>
      <x:c r="H531" s="7" t="str">
        <x:f>IF(F531&gt;G531,"Win",IF(F531&lt;G531,"Loss","Draw"))</x:f>
        <x:v>Win</x:v>
      </x:c>
      <x:c r="I531" s="7" t="n">
        <x:f>IF(H531="Win",1,0)</x:f>
        <x:v>1</x:v>
      </x:c>
      <x:c r="J531" s="7" t="n">
        <x:f>F531-G531</x:f>
        <x:v>9</x:v>
      </x:c>
      <x:c r="K531" s="7" t="n">
        <x:f>F531+G531</x:f>
        <x:v>17</x:v>
      </x:c>
      <x:c r="L531" s="7" t="n">
        <x:v>21</x:v>
      </x:c>
      <x:c r="M531" s="7" t="n">
        <x:v>12</x:v>
      </x:c>
      <x:c r="N531" s="7" t="n">
        <x:v>3</x:v>
      </x:c>
      <x:c r="O531" s="9" t="n">
        <x:f>IF(M531=0,"n.a.",L531/M531)</x:f>
        <x:v>1.75</x:v>
      </x:c>
      <x:c r="P531" s="9" t="n">
        <x:f>IF(K531=0,"n.a.",L531/K531)</x:f>
        <x:v>1.2352941176470589</x:v>
      </x:c>
      <x:c r="Q531" s="9" t="n">
        <x:f>IF(K531=0,"n.a.",M531/K531)</x:f>
        <x:v>0.7058823529411765</x:v>
      </x:c>
      <x:c r="R531" s="9" t="n">
        <x:f>IF(K531=0,"n.a.",N531/K531)</x:f>
        <x:v>0.17647058823529413</x:v>
      </x:c>
      <x:c r="S531" s="7" t="n">
        <x:v>70</x:v>
      </x:c>
      <x:c r="T531" s="10" t="n">
        <x:v>0.28</x:v>
      </x:c>
      <x:c r="U531" s="7" t="n">
        <x:v>306</x:v>
      </x:c>
      <x:c r="V531" s="7" t="n">
        <x:v>871</x:v>
      </x:c>
    </x:row>
    <x:row r="532" ht="16" customHeight="1">
      <x:c r="A532" s="7" t="n">
        <x:v>529</x:v>
      </x:c>
      <x:c r="B532" s="8" t="n">
        <x:v>46067</x:v>
      </x:c>
      <x:c r="C532" s="7" t="str">
        <x:v>Bind</x:v>
      </x:c>
      <x:c r="D532" s="7" t="str">
        <x:v>9th</x:v>
      </x:c>
      <x:c r="E532" s="7" t="str">
        <x:v>Neon</x:v>
      </x:c>
      <x:c r="F532" s="7" t="n">
        <x:v>8</x:v>
      </x:c>
      <x:c r="G532" s="7" t="n">
        <x:v>13</x:v>
      </x:c>
      <x:c r="H532" s="7" t="str">
        <x:f>IF(F532&gt;G532,"Win",IF(F532&lt;G532,"Loss","Draw"))</x:f>
        <x:v>Loss</x:v>
      </x:c>
      <x:c r="I532" s="7" t="n">
        <x:f>IF(H532="Win",1,0)</x:f>
        <x:v>0</x:v>
      </x:c>
      <x:c r="J532" s="7" t="n">
        <x:f>F532-G532</x:f>
        <x:v>-5</x:v>
      </x:c>
      <x:c r="K532" s="7" t="n">
        <x:f>F532+G532</x:f>
        <x:v>21</x:v>
      </x:c>
      <x:c r="L532" s="7" t="n">
        <x:v>11</x:v>
      </x:c>
      <x:c r="M532" s="7" t="n">
        <x:v>17</x:v>
      </x:c>
      <x:c r="N532" s="7" t="n">
        <x:v>2</x:v>
      </x:c>
      <x:c r="O532" s="9" t="n">
        <x:f>IF(M532=0,"n.a.",L532/M532)</x:f>
        <x:v>0.6470588235294118</x:v>
      </x:c>
      <x:c r="P532" s="9" t="n">
        <x:f>IF(K532=0,"n.a.",L532/K532)</x:f>
        <x:v>0.5238095238095238</x:v>
      </x:c>
      <x:c r="Q532" s="9" t="n">
        <x:f>IF(K532=0,"n.a.",M532/K532)</x:f>
        <x:v>0.8095238095238095</x:v>
      </x:c>
      <x:c r="R532" s="9" t="n">
        <x:f>IF(K532=0,"n.a.",N532/K532)</x:f>
        <x:v>0.09523809523809523</x:v>
      </x:c>
      <x:c r="S532" s="7" t="n">
        <x:v>-32</x:v>
      </x:c>
      <x:c r="T532" s="10" t="n">
        <x:v>0.24</x:v>
      </x:c>
      <x:c r="U532" s="7" t="n">
        <x:v>158</x:v>
      </x:c>
      <x:c r="V532" s="7" t="n">
        <x:v>220</x:v>
      </x:c>
    </x:row>
    <x:row r="533" ht="16" customHeight="1">
      <x:c r="A533" s="7" t="n">
        <x:v>530</x:v>
      </x:c>
      <x:c r="B533" s="8" t="n">
        <x:v>46067</x:v>
      </x:c>
      <x:c r="C533" s="7" t="str">
        <x:v>Corrode</x:v>
      </x:c>
      <x:c r="D533" s="7" t="str">
        <x:v>MVP</x:v>
      </x:c>
      <x:c r="E533" s="7" t="str">
        <x:v>Neon</x:v>
      </x:c>
      <x:c r="F533" s="7" t="n">
        <x:v>13</x:v>
      </x:c>
      <x:c r="G533" s="7" t="n">
        <x:v>9</x:v>
      </x:c>
      <x:c r="H533" s="7" t="str">
        <x:f>IF(F533&gt;G533,"Win",IF(F533&lt;G533,"Loss","Draw"))</x:f>
        <x:v>Win</x:v>
      </x:c>
      <x:c r="I533" s="7" t="n">
        <x:f>IF(H533="Win",1,0)</x:f>
        <x:v>1</x:v>
      </x:c>
      <x:c r="J533" s="7" t="n">
        <x:f>F533-G533</x:f>
        <x:v>4</x:v>
      </x:c>
      <x:c r="K533" s="7" t="n">
        <x:f>F533+G533</x:f>
        <x:v>22</x:v>
      </x:c>
      <x:c r="L533" s="7" t="n">
        <x:v>29</x:v>
      </x:c>
      <x:c r="M533" s="7" t="n">
        <x:v>14</x:v>
      </x:c>
      <x:c r="N533" s="7" t="n">
        <x:v>3</x:v>
      </x:c>
      <x:c r="O533" s="9" t="n">
        <x:f>IF(M533=0,"n.a.",L533/M533)</x:f>
        <x:v>2.0714285714285716</x:v>
      </x:c>
      <x:c r="P533" s="9" t="n">
        <x:f>IF(K533=0,"n.a.",L533/K533)</x:f>
        <x:v>1.3181818181818181</x:v>
      </x:c>
      <x:c r="Q533" s="9" t="n">
        <x:f>IF(K533=0,"n.a.",M533/K533)</x:f>
        <x:v>0.6363636363636364</x:v>
      </x:c>
      <x:c r="R533" s="9" t="n">
        <x:f>IF(K533=0,"n.a.",N533/K533)</x:f>
        <x:v>0.13636363636363635</x:v>
      </x:c>
      <x:c r="S533" s="7" t="n">
        <x:v>96</x:v>
      </x:c>
      <x:c r="T533" s="10" t="n">
        <x:v>0.36</x:v>
      </x:c>
      <x:c r="U533" s="7" t="n">
        <x:v>367</x:v>
      </x:c>
      <x:c r="V533" s="7" t="n">
        <x:v>912</x:v>
      </x:c>
    </x:row>
    <x:row r="534" ht="16" customHeight="1">
      <x:c r="A534" s="7" t="n">
        <x:v>531</x:v>
      </x:c>
      <x:c r="B534" s="8" t="n">
        <x:v>46067</x:v>
      </x:c>
      <x:c r="C534" s="7" t="str">
        <x:v>Split</x:v>
      </x:c>
      <x:c r="D534" s="7" t="str">
        <x:v>10th</x:v>
      </x:c>
      <x:c r="E534" s="7" t="str">
        <x:v>Neon</x:v>
      </x:c>
      <x:c r="F534" s="7" t="n">
        <x:v>9</x:v>
      </x:c>
      <x:c r="G534" s="7" t="n">
        <x:v>13</x:v>
      </x:c>
      <x:c r="H534" s="7" t="str">
        <x:f>IF(F534&gt;G534,"Win",IF(F534&lt;G534,"Loss","Draw"))</x:f>
        <x:v>Loss</x:v>
      </x:c>
      <x:c r="I534" s="7" t="n">
        <x:f>IF(H534="Win",1,0)</x:f>
        <x:v>0</x:v>
      </x:c>
      <x:c r="J534" s="7" t="n">
        <x:f>F534-G534</x:f>
        <x:v>-4</x:v>
      </x:c>
      <x:c r="K534" s="7" t="n">
        <x:f>F534+G534</x:f>
        <x:v>22</x:v>
      </x:c>
      <x:c r="L534" s="7" t="n">
        <x:v>9</x:v>
      </x:c>
      <x:c r="M534" s="7" t="n">
        <x:v>21</x:v>
      </x:c>
      <x:c r="N534" s="7" t="n">
        <x:v>3</x:v>
      </x:c>
      <x:c r="O534" s="9" t="n">
        <x:f>IF(M534=0,"n.a.",L534/M534)</x:f>
        <x:v>0.42857142857142855</x:v>
      </x:c>
      <x:c r="P534" s="9" t="n">
        <x:f>IF(K534=0,"n.a.",L534/K534)</x:f>
        <x:v>0.4090909090909091</x:v>
      </x:c>
      <x:c r="Q534" s="9" t="n">
        <x:f>IF(K534=0,"n.a.",M534/K534)</x:f>
        <x:v>0.9545454545454546</x:v>
      </x:c>
      <x:c r="R534" s="9" t="n">
        <x:f>IF(K534=0,"n.a.",N534/K534)</x:f>
        <x:v>0.13636363636363635</x:v>
      </x:c>
      <x:c r="S534" s="7" t="n">
        <x:v>-88</x:v>
      </x:c>
      <x:c r="T534" s="10" t="n">
        <x:v>0.21</x:v>
      </x:c>
      <x:c r="U534" s="7" t="n">
        <x:v>137</x:v>
      </x:c>
      <x:c r="V534" s="7" t="n">
        <x:v>129</x:v>
      </x:c>
    </x:row>
    <x:row r="535" ht="16" customHeight="1">
      <x:c r="A535" s="7" t="n">
        <x:v>532</x:v>
      </x:c>
      <x:c r="B535" s="8" t="n">
        <x:v>46067</x:v>
      </x:c>
      <x:c r="C535" s="7" t="str">
        <x:v>Haven</x:v>
      </x:c>
      <x:c r="D535" s="7" t="str">
        <x:v>4th</x:v>
      </x:c>
      <x:c r="E535" s="7" t="str">
        <x:v>Neon</x:v>
      </x:c>
      <x:c r="F535" s="7" t="n">
        <x:v>13</x:v>
      </x:c>
      <x:c r="G535" s="7" t="n">
        <x:v>5</x:v>
      </x:c>
      <x:c r="H535" s="7" t="str">
        <x:f>IF(F535&gt;G535,"Win",IF(F535&lt;G535,"Loss","Draw"))</x:f>
        <x:v>Win</x:v>
      </x:c>
      <x:c r="I535" s="7" t="n">
        <x:f>IF(H535="Win",1,0)</x:f>
        <x:v>1</x:v>
      </x:c>
      <x:c r="J535" s="7" t="n">
        <x:f>F535-G535</x:f>
        <x:v>8</x:v>
      </x:c>
      <x:c r="K535" s="7" t="n">
        <x:f>F535+G535</x:f>
        <x:v>18</x:v>
      </x:c>
      <x:c r="L535" s="7" t="n">
        <x:v>17</x:v>
      </x:c>
      <x:c r="M535" s="7" t="n">
        <x:v>13</x:v>
      </x:c>
      <x:c r="N535" s="7" t="n">
        <x:v>1</x:v>
      </x:c>
      <x:c r="O535" s="9" t="n">
        <x:f>IF(M535=0,"n.a.",L535/M535)</x:f>
        <x:v>1.3076923076923077</x:v>
      </x:c>
      <x:c r="P535" s="9" t="n">
        <x:f>IF(K535=0,"n.a.",L535/K535)</x:f>
        <x:v>0.9444444444444444</x:v>
      </x:c>
      <x:c r="Q535" s="9" t="n">
        <x:f>IF(K535=0,"n.a.",M535/K535)</x:f>
        <x:v>0.7222222222222222</x:v>
      </x:c>
      <x:c r="R535" s="9" t="n">
        <x:f>IF(K535=0,"n.a.",N535/K535)</x:f>
        <x:v>0.05555555555555555</x:v>
      </x:c>
      <x:c r="S535" s="7" t="n">
        <x:v>20</x:v>
      </x:c>
      <x:c r="T535" s="10" t="n">
        <x:v>0.38</x:v>
      </x:c>
      <x:c r="U535" s="7" t="n">
        <x:v>254</x:v>
      </x:c>
      <x:c r="V535" s="7" t="n">
        <x:v>664</x:v>
      </x:c>
    </x:row>
    <x:row r="536" ht="16" customHeight="1">
      <x:c r="A536" s="7" t="n">
        <x:v>533</x:v>
      </x:c>
      <x:c r="B536" s="8" t="n">
        <x:v>46068</x:v>
      </x:c>
      <x:c r="C536" s="7" t="str">
        <x:v>Breeze</x:v>
      </x:c>
      <x:c r="D536" s="7" t="str">
        <x:v>7th</x:v>
      </x:c>
      <x:c r="E536" s="7" t="str">
        <x:v>Neon</x:v>
      </x:c>
      <x:c r="F536" s="7" t="n">
        <x:v>13</x:v>
      </x:c>
      <x:c r="G536" s="7" t="n">
        <x:v>9</x:v>
      </x:c>
      <x:c r="H536" s="7" t="str">
        <x:f>IF(F536&gt;G536,"Win",IF(F536&lt;G536,"Loss","Draw"))</x:f>
        <x:v>Win</x:v>
      </x:c>
      <x:c r="I536" s="7" t="n">
        <x:f>IF(H536="Win",1,0)</x:f>
        <x:v>1</x:v>
      </x:c>
      <x:c r="J536" s="7" t="n">
        <x:f>F536-G536</x:f>
        <x:v>4</x:v>
      </x:c>
      <x:c r="K536" s="7" t="n">
        <x:f>F536+G536</x:f>
        <x:v>22</x:v>
      </x:c>
      <x:c r="L536" s="7" t="n">
        <x:v>17</x:v>
      </x:c>
      <x:c r="M536" s="7" t="n">
        <x:v>17</x:v>
      </x:c>
      <x:c r="N536" s="7" t="n">
        <x:v>5</x:v>
      </x:c>
      <x:c r="O536" s="9" t="n">
        <x:f>IF(M536=0,"n.a.",L536/M536)</x:f>
        <x:v>1</x:v>
      </x:c>
      <x:c r="P536" s="9" t="n">
        <x:f>IF(K536=0,"n.a.",L536/K536)</x:f>
        <x:v>0.7727272727272727</x:v>
      </x:c>
      <x:c r="Q536" s="9" t="n">
        <x:f>IF(K536=0,"n.a.",M536/K536)</x:f>
        <x:v>0.7727272727272727</x:v>
      </x:c>
      <x:c r="R536" s="9" t="n">
        <x:f>IF(K536=0,"n.a.",N536/K536)</x:f>
        <x:v>0.22727272727272727</x:v>
      </x:c>
      <x:c r="S536" s="7" t="n">
        <x:v>4</x:v>
      </x:c>
      <x:c r="T536" s="10" t="n">
        <x:v>0.27</x:v>
      </x:c>
      <x:c r="U536" s="7" t="n">
        <x:v>206</x:v>
      </x:c>
      <x:c r="V536" s="7" t="n">
        <x:v>542</x:v>
      </x:c>
    </x:row>
    <x:row r="537" ht="16" customHeight="1">
      <x:c r="A537" s="7" t="n">
        <x:v>534</x:v>
      </x:c>
      <x:c r="B537" s="8" t="n">
        <x:v>46069</x:v>
      </x:c>
      <x:c r="C537" s="7" t="str">
        <x:v>Haven</x:v>
      </x:c>
      <x:c r="D537" s="7" t="str">
        <x:v>2nd</x:v>
      </x:c>
      <x:c r="E537" s="7" t="str">
        <x:v>Neon</x:v>
      </x:c>
      <x:c r="F537" s="7" t="n">
        <x:v>4</x:v>
      </x:c>
      <x:c r="G537" s="7" t="n">
        <x:v>13</x:v>
      </x:c>
      <x:c r="H537" s="7" t="str">
        <x:f>IF(F537&gt;G537,"Win",IF(F537&lt;G537,"Loss","Draw"))</x:f>
        <x:v>Loss</x:v>
      </x:c>
      <x:c r="I537" s="7" t="n">
        <x:f>IF(H537="Win",1,0)</x:f>
        <x:v>0</x:v>
      </x:c>
      <x:c r="J537" s="7" t="n">
        <x:f>F537-G537</x:f>
        <x:v>-9</x:v>
      </x:c>
      <x:c r="K537" s="7" t="n">
        <x:f>F537+G537</x:f>
        <x:v>17</x:v>
      </x:c>
      <x:c r="L537" s="7" t="n">
        <x:v>17</x:v>
      </x:c>
      <x:c r="M537" s="7" t="n">
        <x:v>14</x:v>
      </x:c>
      <x:c r="N537" s="7" t="n">
        <x:v>4</x:v>
      </x:c>
      <x:c r="O537" s="9" t="n">
        <x:f>IF(M537=0,"n.a.",L537/M537)</x:f>
        <x:v>1.2142857142857142</x:v>
      </x:c>
      <x:c r="P537" s="9" t="n">
        <x:f>IF(K537=0,"n.a.",L537/K537)</x:f>
        <x:v>1</x:v>
      </x:c>
      <x:c r="Q537" s="9" t="n">
        <x:f>IF(K537=0,"n.a.",M537/K537)</x:f>
        <x:v>0.8235294117647058</x:v>
      </x:c>
      <x:c r="R537" s="9" t="n">
        <x:f>IF(K537=0,"n.a.",N537/K537)</x:f>
        <x:v>0.23529411764705882</x:v>
      </x:c>
      <x:c r="S537" s="7" t="n">
        <x:v>26</x:v>
      </x:c>
      <x:c r="T537" s="10" t="n">
        <x:v>0.29</x:v>
      </x:c>
      <x:c r="U537" s="7" t="n">
        <x:v>321</x:v>
      </x:c>
      <x:c r="V537" s="7" t="n">
        <x:v>693</x:v>
      </x:c>
    </x:row>
    <x:row r="538" ht="16" customHeight="1">
      <x:c r="A538" s="7" t="n">
        <x:v>535</x:v>
      </x:c>
      <x:c r="B538" s="8" t="n">
        <x:v>46069</x:v>
      </x:c>
      <x:c r="C538" s="7" t="str">
        <x:v>Abyss</x:v>
      </x:c>
      <x:c r="D538" s="7" t="str">
        <x:v>MVP</x:v>
      </x:c>
      <x:c r="E538" s="7" t="str">
        <x:v>Neon</x:v>
      </x:c>
      <x:c r="F538" s="7" t="n">
        <x:v>13</x:v>
      </x:c>
      <x:c r="G538" s="7" t="n">
        <x:v>11</x:v>
      </x:c>
      <x:c r="H538" s="7" t="str">
        <x:f>IF(F538&gt;G538,"Win",IF(F538&lt;G538,"Loss","Draw"))</x:f>
        <x:v>Win</x:v>
      </x:c>
      <x:c r="I538" s="7" t="n">
        <x:f>IF(H538="Win",1,0)</x:f>
        <x:v>1</x:v>
      </x:c>
      <x:c r="J538" s="7" t="n">
        <x:f>F538-G538</x:f>
        <x:v>2</x:v>
      </x:c>
      <x:c r="K538" s="7" t="n">
        <x:f>F538+G538</x:f>
        <x:v>24</x:v>
      </x:c>
      <x:c r="L538" s="7" t="n">
        <x:v>40</x:v>
      </x:c>
      <x:c r="M538" s="7" t="n">
        <x:v>16</x:v>
      </x:c>
      <x:c r="N538" s="7" t="n">
        <x:v>5</x:v>
      </x:c>
      <x:c r="O538" s="9" t="n">
        <x:f>IF(M538=0,"n.a.",L538/M538)</x:f>
        <x:v>2.5</x:v>
      </x:c>
      <x:c r="P538" s="9" t="n">
        <x:f>IF(K538=0,"n.a.",L538/K538)</x:f>
        <x:v>1.6666666666666667</x:v>
      </x:c>
      <x:c r="Q538" s="9" t="n">
        <x:f>IF(K538=0,"n.a.",M538/K538)</x:f>
        <x:v>0.6666666666666666</x:v>
      </x:c>
      <x:c r="R538" s="9" t="n">
        <x:f>IF(K538=0,"n.a.",N538/K538)</x:f>
        <x:v>0.20833333333333334</x:v>
      </x:c>
      <x:c r="S538" s="7" t="n">
        <x:v>137</x:v>
      </x:c>
      <x:c r="T538" s="10" t="n">
        <x:v>0.28</x:v>
      </x:c>
      <x:c r="U538" s="7" t="n">
        <x:v>451</x:v>
      </x:c>
      <x:c r="V538" s="7" t="n">
        <x:v>970</x:v>
      </x:c>
    </x:row>
    <x:row r="539" ht="16" customHeight="1">
      <x:c r="A539" s="7" t="n">
        <x:v>536</x:v>
      </x:c>
      <x:c r="B539" s="8" t="n">
        <x:v>46071</x:v>
      </x:c>
      <x:c r="C539" s="7" t="str">
        <x:v>Bind</x:v>
      </x:c>
      <x:c r="D539" s="7" t="str">
        <x:v>9th</x:v>
      </x:c>
      <x:c r="E539" s="7" t="str">
        <x:v>Neon</x:v>
      </x:c>
      <x:c r="F539" s="7" t="n">
        <x:v>5</x:v>
      </x:c>
      <x:c r="G539" s="7" t="n">
        <x:v>13</x:v>
      </x:c>
      <x:c r="H539" s="7" t="str">
        <x:f>IF(F539&gt;G539,"Win",IF(F539&lt;G539,"Loss","Draw"))</x:f>
        <x:v>Loss</x:v>
      </x:c>
      <x:c r="I539" s="7" t="n">
        <x:f>IF(H539="Win",1,0)</x:f>
        <x:v>0</x:v>
      </x:c>
      <x:c r="J539" s="7" t="n">
        <x:f>F539-G539</x:f>
        <x:v>-8</x:v>
      </x:c>
      <x:c r="K539" s="7" t="n">
        <x:f>F539+G539</x:f>
        <x:v>18</x:v>
      </x:c>
      <x:c r="L539" s="7" t="n">
        <x:v>7</x:v>
      </x:c>
      <x:c r="M539" s="7" t="n">
        <x:v>16</x:v>
      </x:c>
      <x:c r="N539" s="7" t="n">
        <x:v>2</x:v>
      </x:c>
      <x:c r="O539" s="9" t="n">
        <x:f>IF(M539=0,"n.a.",L539/M539)</x:f>
        <x:v>0.4375</x:v>
      </x:c>
      <x:c r="P539" s="9" t="n">
        <x:f>IF(K539=0,"n.a.",L539/K539)</x:f>
        <x:v>0.3888888888888889</x:v>
      </x:c>
      <x:c r="Q539" s="9" t="n">
        <x:f>IF(K539=0,"n.a.",M539/K539)</x:f>
        <x:v>0.8888888888888888</x:v>
      </x:c>
      <x:c r="R539" s="9" t="n">
        <x:f>IF(K539=0,"n.a.",N539/K539)</x:f>
        <x:v>0.1111111111111111</x:v>
      </x:c>
      <x:c r="S539" s="7" t="n">
        <x:v>-68</x:v>
      </x:c>
      <x:c r="T539" s="10" t="n">
        <x:v>0.29</x:v>
      </x:c>
      <x:c r="U539" s="7" t="n">
        <x:v>114</x:v>
      </x:c>
      <x:c r="V539" s="7" t="n">
        <x:v>100</x:v>
      </x:c>
    </x:row>
    <x:row r="540" ht="16" customHeight="1">
      <x:c r="A540" s="7" t="n">
        <x:v>537</x:v>
      </x:c>
      <x:c r="B540" s="8" t="n">
        <x:v>46072</x:v>
      </x:c>
      <x:c r="C540" s="7" t="str">
        <x:v>Abyss</x:v>
      </x:c>
      <x:c r="D540" s="7" t="str">
        <x:v>2nd</x:v>
      </x:c>
      <x:c r="E540" s="7" t="str">
        <x:v>Neon</x:v>
      </x:c>
      <x:c r="F540" s="7" t="n">
        <x:v>13</x:v>
      </x:c>
      <x:c r="G540" s="7" t="n">
        <x:v>10</x:v>
      </x:c>
      <x:c r="H540" s="7" t="str">
        <x:f>IF(F540&gt;G540,"Win",IF(F540&lt;G540,"Loss","Draw"))</x:f>
        <x:v>Win</x:v>
      </x:c>
      <x:c r="I540" s="7" t="n">
        <x:f>IF(H540="Win",1,0)</x:f>
        <x:v>1</x:v>
      </x:c>
      <x:c r="J540" s="7" t="n">
        <x:f>F540-G540</x:f>
        <x:v>3</x:v>
      </x:c>
      <x:c r="K540" s="7" t="n">
        <x:f>F540+G540</x:f>
        <x:v>23</x:v>
      </x:c>
      <x:c r="L540" s="7" t="n">
        <x:v>23</x:v>
      </x:c>
      <x:c r="M540" s="7" t="n">
        <x:v>20</x:v>
      </x:c>
      <x:c r="N540" s="7" t="n">
        <x:v>6</x:v>
      </x:c>
      <x:c r="O540" s="9" t="n">
        <x:f>IF(M540=0,"n.a.",L540/M540)</x:f>
        <x:v>1.15</x:v>
      </x:c>
      <x:c r="P540" s="9" t="n">
        <x:f>IF(K540=0,"n.a.",L540/K540)</x:f>
        <x:v>1</x:v>
      </x:c>
      <x:c r="Q540" s="9" t="n">
        <x:f>IF(K540=0,"n.a.",M540/K540)</x:f>
        <x:v>0.8695652173913043</x:v>
      </x:c>
      <x:c r="R540" s="9" t="n">
        <x:f>IF(K540=0,"n.a.",N540/K540)</x:f>
        <x:v>0.2608695652173913</x:v>
      </x:c>
      <x:c r="S540" s="7" t="n">
        <x:v>28</x:v>
      </x:c>
      <x:c r="T540" s="10" t="n">
        <x:v>0.21</x:v>
      </x:c>
      <x:c r="U540" s="7" t="n">
        <x:v>289</x:v>
      </x:c>
      <x:c r="V540" s="7" t="n">
        <x:v>772</x:v>
      </x:c>
    </x:row>
    <x:row r="541" ht="16" customHeight="1">
      <x:c r="A541" s="7" t="n">
        <x:v>538</x:v>
      </x:c>
      <x:c r="B541" s="8" t="n">
        <x:v>46072</x:v>
      </x:c>
      <x:c r="C541" s="7" t="str">
        <x:v>Breeze</x:v>
      </x:c>
      <x:c r="D541" s="7" t="str">
        <x:v>10th</x:v>
      </x:c>
      <x:c r="E541" s="7" t="str">
        <x:v>Brimstone</x:v>
      </x:c>
      <x:c r="F541" s="7" t="n">
        <x:v>4</x:v>
      </x:c>
      <x:c r="G541" s="7" t="n">
        <x:v>13</x:v>
      </x:c>
      <x:c r="H541" s="7" t="str">
        <x:f>IF(F541&gt;G541,"Win",IF(F541&lt;G541,"Loss","Draw"))</x:f>
        <x:v>Loss</x:v>
      </x:c>
      <x:c r="I541" s="7" t="n">
        <x:f>IF(H541="Win",1,0)</x:f>
        <x:v>0</x:v>
      </x:c>
      <x:c r="J541" s="7" t="n">
        <x:f>F541-G541</x:f>
        <x:v>-9</x:v>
      </x:c>
      <x:c r="K541" s="7" t="n">
        <x:f>F541+G541</x:f>
        <x:v>17</x:v>
      </x:c>
      <x:c r="L541" s="7" t="n">
        <x:v>4</x:v>
      </x:c>
      <x:c r="M541" s="7" t="n">
        <x:v>17</x:v>
      </x:c>
      <x:c r="N541" s="7" t="n">
        <x:v>4</x:v>
      </x:c>
      <x:c r="O541" s="9" t="n">
        <x:f>IF(M541=0,"n.a.",L541/M541)</x:f>
        <x:v>0.23529411764705882</x:v>
      </x:c>
      <x:c r="P541" s="9" t="n">
        <x:f>IF(K541=0,"n.a.",L541/K541)</x:f>
        <x:v>0.23529411764705882</x:v>
      </x:c>
      <x:c r="Q541" s="9" t="n">
        <x:f>IF(K541=0,"n.a.",M541/K541)</x:f>
        <x:v>1</x:v>
      </x:c>
      <x:c r="R541" s="9" t="n">
        <x:f>IF(K541=0,"n.a.",N541/K541)</x:f>
        <x:v>0.23529411764705882</x:v>
      </x:c>
      <x:c r="S541" s="7" t="n">
        <x:v>-107</x:v>
      </x:c>
      <x:c r="T541" s="10" t="n">
        <x:v>0.22</x:v>
      </x:c>
      <x:c r="U541" s="7" t="n">
        <x:v>86</x:v>
      </x:c>
      <x:c r="V541" s="7" t="n">
        <x:v>100</x:v>
      </x:c>
    </x:row>
    <x:row r="542" ht="16" customHeight="1">
      <x:c r="A542" s="7" t="n">
        <x:v>539</x:v>
      </x:c>
      <x:c r="B542" s="8" t="n">
        <x:v>46073</x:v>
      </x:c>
      <x:c r="C542" s="7" t="str">
        <x:v>Corrode</x:v>
      </x:c>
      <x:c r="D542" s="7" t="str">
        <x:v>7th</x:v>
      </x:c>
      <x:c r="E542" s="7" t="str">
        <x:v>Neon</x:v>
      </x:c>
      <x:c r="F542" s="7" t="n">
        <x:v>13</x:v>
      </x:c>
      <x:c r="G542" s="7" t="n">
        <x:v>7</x:v>
      </x:c>
      <x:c r="H542" s="7" t="str">
        <x:f>IF(F542&gt;G542,"Win",IF(F542&lt;G542,"Loss","Draw"))</x:f>
        <x:v>Win</x:v>
      </x:c>
      <x:c r="I542" s="7" t="n">
        <x:f>IF(H542="Win",1,0)</x:f>
        <x:v>1</x:v>
      </x:c>
      <x:c r="J542" s="7" t="n">
        <x:f>F542-G542</x:f>
        <x:v>6</x:v>
      </x:c>
      <x:c r="K542" s="7" t="n">
        <x:f>F542+G542</x:f>
        <x:v>20</x:v>
      </x:c>
      <x:c r="L542" s="7" t="n">
        <x:v>13</x:v>
      </x:c>
      <x:c r="M542" s="7" t="n">
        <x:v>17</x:v>
      </x:c>
      <x:c r="N542" s="7" t="n">
        <x:v>0</x:v>
      </x:c>
      <x:c r="O542" s="9" t="n">
        <x:f>IF(M542=0,"n.a.",L542/M542)</x:f>
        <x:v>0.7647058823529411</x:v>
      </x:c>
      <x:c r="P542" s="9" t="n">
        <x:f>IF(K542=0,"n.a.",L542/K542)</x:f>
        <x:v>0.65</x:v>
      </x:c>
      <x:c r="Q542" s="9" t="n">
        <x:f>IF(K542=0,"n.a.",M542/K542)</x:f>
        <x:v>0.85</x:v>
      </x:c>
      <x:c r="R542" s="9" t="n">
        <x:f>IF(K542=0,"n.a.",N542/K542)</x:f>
        <x:v>0</x:v>
      </x:c>
      <x:c r="S542" s="7" t="n">
        <x:v>-62</x:v>
      </x:c>
      <x:c r="T542" s="10" t="n">
        <x:v>0.23</x:v>
      </x:c>
      <x:c r="U542" s="7" t="n">
        <x:v>176</x:v>
      </x:c>
      <x:c r="V542" s="7" t="n">
        <x:v>303</x:v>
      </x:c>
    </x:row>
    <x:row r="543" ht="16" customHeight="1">
      <x:c r="A543" s="7" t="n">
        <x:v>540</x:v>
      </x:c>
      <x:c r="B543" s="8" t="n">
        <x:v>46073</x:v>
      </x:c>
      <x:c r="C543" s="7" t="str">
        <x:v>Haven</x:v>
      </x:c>
      <x:c r="D543" s="7" t="str">
        <x:v>3rd</x:v>
      </x:c>
      <x:c r="E543" s="7" t="str">
        <x:v>Neon</x:v>
      </x:c>
      <x:c r="F543" s="7" t="n">
        <x:v>13</x:v>
      </x:c>
      <x:c r="G543" s="7" t="n">
        <x:v>10</x:v>
      </x:c>
      <x:c r="H543" s="7" t="str">
        <x:f>IF(F543&gt;G543,"Win",IF(F543&lt;G543,"Loss","Draw"))</x:f>
        <x:v>Win</x:v>
      </x:c>
      <x:c r="I543" s="7" t="n">
        <x:f>IF(H543="Win",1,0)</x:f>
        <x:v>1</x:v>
      </x:c>
      <x:c r="J543" s="7" t="n">
        <x:f>F543-G543</x:f>
        <x:v>3</x:v>
      </x:c>
      <x:c r="K543" s="7" t="n">
        <x:f>F543+G543</x:f>
        <x:v>23</x:v>
      </x:c>
      <x:c r="L543" s="7" t="n">
        <x:v>23</x:v>
      </x:c>
      <x:c r="M543" s="7" t="n">
        <x:v>14</x:v>
      </x:c>
      <x:c r="N543" s="7" t="n">
        <x:v>2</x:v>
      </x:c>
      <x:c r="O543" s="9" t="n">
        <x:f>IF(M543=0,"n.a.",L543/M543)</x:f>
        <x:v>1.6428571428571428</x:v>
      </x:c>
      <x:c r="P543" s="9" t="n">
        <x:f>IF(K543=0,"n.a.",L543/K543)</x:f>
        <x:v>1</x:v>
      </x:c>
      <x:c r="Q543" s="9" t="n">
        <x:f>IF(K543=0,"n.a.",M543/K543)</x:f>
        <x:v>0.6086956521739131</x:v>
      </x:c>
      <x:c r="R543" s="9" t="n">
        <x:f>IF(K543=0,"n.a.",N543/K543)</x:f>
        <x:v>0.08695652173913043</x:v>
      </x:c>
      <x:c r="S543" s="7" t="n">
        <x:v>56</x:v>
      </x:c>
      <x:c r="T543" s="10" t="n">
        <x:v>0.33</x:v>
      </x:c>
      <x:c r="U543" s="7" t="n">
        <x:v>278</x:v>
      </x:c>
      <x:c r="V543" s="7" t="n">
        <x:v>799</x:v>
      </x:c>
    </x:row>
    <x:row r="544" ht="16" customHeight="1">
      <x:c r="A544" s="7" t="n">
        <x:v>541</x:v>
      </x:c>
      <x:c r="B544" s="8" t="n">
        <x:v>46073</x:v>
      </x:c>
      <x:c r="C544" s="7" t="str">
        <x:v>Corrode</x:v>
      </x:c>
      <x:c r="D544" s="7" t="str">
        <x:v>6th</x:v>
      </x:c>
      <x:c r="E544" s="7" t="str">
        <x:v>Neon</x:v>
      </x:c>
      <x:c r="F544" s="7" t="n">
        <x:v>13</x:v>
      </x:c>
      <x:c r="G544" s="7" t="n">
        <x:v>10</x:v>
      </x:c>
      <x:c r="H544" s="7" t="str">
        <x:f>IF(F544&gt;G544,"Win",IF(F544&lt;G544,"Loss","Draw"))</x:f>
        <x:v>Win</x:v>
      </x:c>
      <x:c r="I544" s="7" t="n">
        <x:f>IF(H544="Win",1,0)</x:f>
        <x:v>1</x:v>
      </x:c>
      <x:c r="J544" s="7" t="n">
        <x:f>F544-G544</x:f>
        <x:v>3</x:v>
      </x:c>
      <x:c r="K544" s="7" t="n">
        <x:f>F544+G544</x:f>
        <x:v>23</x:v>
      </x:c>
      <x:c r="L544" s="7" t="n">
        <x:v>16</x:v>
      </x:c>
      <x:c r="M544" s="7" t="n">
        <x:v>17</x:v>
      </x:c>
      <x:c r="N544" s="7" t="n">
        <x:v>4</x:v>
      </x:c>
      <x:c r="O544" s="9" t="n">
        <x:f>IF(M544=0,"n.a.",L544/M544)</x:f>
        <x:v>0.9411764705882353</x:v>
      </x:c>
      <x:c r="P544" s="9" t="n">
        <x:f>IF(K544=0,"n.a.",L544/K544)</x:f>
        <x:v>0.6956521739130435</x:v>
      </x:c>
      <x:c r="Q544" s="9" t="n">
        <x:f>IF(K544=0,"n.a.",M544/K544)</x:f>
        <x:v>0.7391304347826086</x:v>
      </x:c>
      <x:c r="R544" s="9" t="n">
        <x:f>IF(K544=0,"n.a.",N544/K544)</x:f>
        <x:v>0.17391304347826086</x:v>
      </x:c>
      <x:c r="S544" s="7" t="n">
        <x:v>-6</x:v>
      </x:c>
      <x:c r="T544" s="10" t="n">
        <x:v>0.46</x:v>
      </x:c>
      <x:c r="U544" s="7" t="n">
        <x:v>189</x:v>
      </x:c>
      <x:c r="V544" s="7" t="n">
        <x:v>531</x:v>
      </x:c>
    </x:row>
    <x:row r="545" ht="16" customHeight="1">
      <x:c r="A545" s="7" t="n">
        <x:v>542</x:v>
      </x:c>
      <x:c r="B545" s="8" t="n">
        <x:v>46073</x:v>
      </x:c>
      <x:c r="C545" s="7" t="str">
        <x:v>Abyss</x:v>
      </x:c>
      <x:c r="D545" s="7" t="str">
        <x:v>5th</x:v>
      </x:c>
      <x:c r="E545" s="7" t="str">
        <x:v>Neon</x:v>
      </x:c>
      <x:c r="F545" s="7" t="n">
        <x:v>6</x:v>
      </x:c>
      <x:c r="G545" s="7" t="n">
        <x:v>13</x:v>
      </x:c>
      <x:c r="H545" s="7" t="str">
        <x:f>IF(F545&gt;G545,"Win",IF(F545&lt;G545,"Loss","Draw"))</x:f>
        <x:v>Loss</x:v>
      </x:c>
      <x:c r="I545" s="7" t="n">
        <x:f>IF(H545="Win",1,0)</x:f>
        <x:v>0</x:v>
      </x:c>
      <x:c r="J545" s="7" t="n">
        <x:f>F545-G545</x:f>
        <x:v>-7</x:v>
      </x:c>
      <x:c r="K545" s="7" t="n">
        <x:f>F545+G545</x:f>
        <x:v>19</x:v>
      </x:c>
      <x:c r="L545" s="7" t="n">
        <x:v>14</x:v>
      </x:c>
      <x:c r="M545" s="7" t="n">
        <x:v>17</x:v>
      </x:c>
      <x:c r="N545" s="7" t="n">
        <x:v>1</x:v>
      </x:c>
      <x:c r="O545" s="9" t="n">
        <x:f>IF(M545=0,"n.a.",L545/M545)</x:f>
        <x:v>0.8235294117647058</x:v>
      </x:c>
      <x:c r="P545" s="9" t="n">
        <x:f>IF(K545=0,"n.a.",L545/K545)</x:f>
        <x:v>0.7368421052631579</x:v>
      </x:c>
      <x:c r="Q545" s="9" t="n">
        <x:f>IF(K545=0,"n.a.",M545/K545)</x:f>
        <x:v>0.8947368421052632</x:v>
      </x:c>
      <x:c r="R545" s="9" t="n">
        <x:f>IF(K545=0,"n.a.",N545/K545)</x:f>
        <x:v>0.05263157894736842</x:v>
      </x:c>
      <x:c r="S545" s="7" t="n">
        <x:v>-19</x:v>
      </x:c>
      <x:c r="T545" s="10" t="n">
        <x:v>0.25</x:v>
      </x:c>
      <x:c r="U545" s="7" t="n">
        <x:v>215</x:v>
      </x:c>
      <x:c r="V545" s="7" t="n">
        <x:v>329</x:v>
      </x:c>
    </x:row>
    <x:row r="546" ht="16" customHeight="1">
      <x:c r="A546" s="7" t="n">
        <x:v>543</x:v>
      </x:c>
      <x:c r="B546" s="8" t="n">
        <x:v>46073</x:v>
      </x:c>
      <x:c r="C546" s="7" t="str">
        <x:v>Pearl</x:v>
      </x:c>
      <x:c r="D546" s="7" t="str">
        <x:v>MVP</x:v>
      </x:c>
      <x:c r="E546" s="7" t="str">
        <x:v>Neon</x:v>
      </x:c>
      <x:c r="F546" s="7" t="n">
        <x:v>13</x:v>
      </x:c>
      <x:c r="G546" s="7" t="n">
        <x:v>5</x:v>
      </x:c>
      <x:c r="H546" s="7" t="str">
        <x:f>IF(F546&gt;G546,"Win",IF(F546&lt;G546,"Loss","Draw"))</x:f>
        <x:v>Win</x:v>
      </x:c>
      <x:c r="I546" s="7" t="n">
        <x:f>IF(H546="Win",1,0)</x:f>
        <x:v>1</x:v>
      </x:c>
      <x:c r="J546" s="7" t="n">
        <x:f>F546-G546</x:f>
        <x:v>8</x:v>
      </x:c>
      <x:c r="K546" s="7" t="n">
        <x:f>F546+G546</x:f>
        <x:v>18</x:v>
      </x:c>
      <x:c r="L546" s="7" t="n">
        <x:v>19</x:v>
      </x:c>
      <x:c r="M546" s="7" t="n">
        <x:v>14</x:v>
      </x:c>
      <x:c r="N546" s="7" t="n">
        <x:v>3</x:v>
      </x:c>
      <x:c r="O546" s="9" t="n">
        <x:f>IF(M546=0,"n.a.",L546/M546)</x:f>
        <x:v>1.3571428571428572</x:v>
      </x:c>
      <x:c r="P546" s="9" t="n">
        <x:f>IF(K546=0,"n.a.",L546/K546)</x:f>
        <x:v>1.0555555555555556</x:v>
      </x:c>
      <x:c r="Q546" s="9" t="n">
        <x:f>IF(K546=0,"n.a.",M546/K546)</x:f>
        <x:v>0.7777777777777778</x:v>
      </x:c>
      <x:c r="R546" s="9" t="n">
        <x:f>IF(K546=0,"n.a.",N546/K546)</x:f>
        <x:v>0.16666666666666666</x:v>
      </x:c>
      <x:c r="S546" s="7" t="n">
        <x:v>18</x:v>
      </x:c>
      <x:c r="T546" s="10" t="n">
        <x:v>0.45</x:v>
      </x:c>
      <x:c r="U546" s="7" t="n">
        <x:v>290</x:v>
      </x:c>
      <x:c r="V546" s="7" t="n">
        <x:v>656</x:v>
      </x:c>
    </x:row>
    <x:row r="547" ht="16" customHeight="1">
      <x:c r="A547" s="7" t="n">
        <x:v>544</x:v>
      </x:c>
      <x:c r="B547" s="8" t="n">
        <x:v>46074</x:v>
      </x:c>
      <x:c r="C547" s="7" t="str">
        <x:v>Pearl</x:v>
      </x:c>
      <x:c r="D547" s="7" t="str">
        <x:v>8th</x:v>
      </x:c>
      <x:c r="E547" s="7" t="str">
        <x:v>Neon</x:v>
      </x:c>
      <x:c r="F547" s="7" t="n">
        <x:v>13</x:v>
      </x:c>
      <x:c r="G547" s="7" t="n">
        <x:v>7</x:v>
      </x:c>
      <x:c r="H547" s="7" t="str">
        <x:f>IF(F547&gt;G547,"Win",IF(F547&lt;G547,"Loss","Draw"))</x:f>
        <x:v>Win</x:v>
      </x:c>
      <x:c r="I547" s="7" t="n">
        <x:f>IF(H547="Win",1,0)</x:f>
        <x:v>1</x:v>
      </x:c>
      <x:c r="J547" s="7" t="n">
        <x:f>F547-G547</x:f>
        <x:v>6</x:v>
      </x:c>
      <x:c r="K547" s="7" t="n">
        <x:f>F547+G547</x:f>
        <x:v>20</x:v>
      </x:c>
      <x:c r="L547" s="7" t="n">
        <x:v>15</x:v>
      </x:c>
      <x:c r="M547" s="7" t="n">
        <x:v>14</x:v>
      </x:c>
      <x:c r="N547" s="7" t="n">
        <x:v>4</x:v>
      </x:c>
      <x:c r="O547" s="9" t="n">
        <x:f>IF(M547=0,"n.a.",L547/M547)</x:f>
        <x:v>1.0714285714285714</x:v>
      </x:c>
      <x:c r="P547" s="9" t="n">
        <x:f>IF(K547=0,"n.a.",L547/K547)</x:f>
        <x:v>0.75</x:v>
      </x:c>
      <x:c r="Q547" s="9" t="n">
        <x:f>IF(K547=0,"n.a.",M547/K547)</x:f>
        <x:v>0.7</x:v>
      </x:c>
      <x:c r="R547" s="9" t="n">
        <x:f>IF(K547=0,"n.a.",N547/K547)</x:f>
        <x:v>0.2</x:v>
      </x:c>
      <x:c r="S547" s="7" t="n">
        <x:v>-1</x:v>
      </x:c>
      <x:c r="T547" s="10" t="n">
        <x:v>0.25</x:v>
      </x:c>
      <x:c r="U547" s="7" t="n">
        <x:v>183</x:v>
      </x:c>
      <x:c r="V547" s="7" t="n">
        <x:v>500</x:v>
      </x:c>
    </x:row>
    <x:row r="548" ht="16" customHeight="1">
      <x:c r="A548" s="7" t="n">
        <x:v>545</x:v>
      </x:c>
      <x:c r="B548" s="8" t="n">
        <x:v>46074</x:v>
      </x:c>
      <x:c r="C548" s="7" t="str">
        <x:v>Bind</x:v>
      </x:c>
      <x:c r="D548" s="7" t="str">
        <x:v>3rd</x:v>
      </x:c>
      <x:c r="E548" s="7" t="str">
        <x:v>Neon</x:v>
      </x:c>
      <x:c r="F548" s="7" t="n">
        <x:v>10</x:v>
      </x:c>
      <x:c r="G548" s="7" t="n">
        <x:v>13</x:v>
      </x:c>
      <x:c r="H548" s="7" t="str">
        <x:f>IF(F548&gt;G548,"Win",IF(F548&lt;G548,"Loss","Draw"))</x:f>
        <x:v>Loss</x:v>
      </x:c>
      <x:c r="I548" s="7" t="n">
        <x:f>IF(H548="Win",1,0)</x:f>
        <x:v>0</x:v>
      </x:c>
      <x:c r="J548" s="7" t="n">
        <x:f>F548-G548</x:f>
        <x:v>-3</x:v>
      </x:c>
      <x:c r="K548" s="7" t="n">
        <x:f>F548+G548</x:f>
        <x:v>23</x:v>
      </x:c>
      <x:c r="L548" s="7" t="n">
        <x:v>22</x:v>
      </x:c>
      <x:c r="M548" s="7" t="n">
        <x:v>18</x:v>
      </x:c>
      <x:c r="N548" s="7" t="n">
        <x:v>3</x:v>
      </x:c>
      <x:c r="O548" s="9" t="n">
        <x:f>IF(M548=0,"n.a.",L548/M548)</x:f>
        <x:v>1.2222222222222223</x:v>
      </x:c>
      <x:c r="P548" s="9" t="n">
        <x:f>IF(K548=0,"n.a.",L548/K548)</x:f>
        <x:v>0.9565217391304348</x:v>
      </x:c>
      <x:c r="Q548" s="9" t="n">
        <x:f>IF(K548=0,"n.a.",M548/K548)</x:f>
        <x:v>0.782608695652174</x:v>
      </x:c>
      <x:c r="R548" s="9" t="n">
        <x:f>IF(K548=0,"n.a.",N548/K548)</x:f>
        <x:v>0.13043478260869565</x:v>
      </x:c>
      <x:c r="S548" s="7" t="n">
        <x:v>19</x:v>
      </x:c>
      <x:c r="T548" s="10" t="n">
        <x:v>0.3</x:v>
      </x:c>
      <x:c r="U548" s="7" t="n">
        <x:v>264</x:v>
      </x:c>
      <x:c r="V548" s="7" t="n">
        <x:v>632</x:v>
      </x:c>
    </x:row>
    <x:row r="549" ht="16" customHeight="1">
      <x:c r="A549" s="7" t="n">
        <x:v>546</x:v>
      </x:c>
      <x:c r="B549" s="8" t="n">
        <x:v>46076</x:v>
      </x:c>
      <x:c r="C549" s="7" t="str">
        <x:v>Pearl</x:v>
      </x:c>
      <x:c r="D549" s="7" t="str">
        <x:v>10th</x:v>
      </x:c>
      <x:c r="E549" s="7" t="str">
        <x:v>Neon</x:v>
      </x:c>
      <x:c r="F549" s="7" t="n">
        <x:v>11</x:v>
      </x:c>
      <x:c r="G549" s="7" t="n">
        <x:v>13</x:v>
      </x:c>
      <x:c r="H549" s="7" t="str">
        <x:f>IF(F549&gt;G549,"Win",IF(F549&lt;G549,"Loss","Draw"))</x:f>
        <x:v>Loss</x:v>
      </x:c>
      <x:c r="I549" s="7" t="n">
        <x:f>IF(H549="Win",1,0)</x:f>
        <x:v>0</x:v>
      </x:c>
      <x:c r="J549" s="7" t="n">
        <x:f>F549-G549</x:f>
        <x:v>-2</x:v>
      </x:c>
      <x:c r="K549" s="7" t="n">
        <x:f>F549+G549</x:f>
        <x:v>24</x:v>
      </x:c>
      <x:c r="L549" s="7" t="n">
        <x:v>1</x:v>
      </x:c>
      <x:c r="M549" s="7" t="n">
        <x:v>2</x:v>
      </x:c>
      <x:c r="N549" s="7" t="n">
        <x:v>0</x:v>
      </x:c>
      <x:c r="O549" s="9" t="n">
        <x:f>IF(M549=0,"n.a.",L549/M549)</x:f>
        <x:v>0.5</x:v>
      </x:c>
      <x:c r="P549" s="9" t="n">
        <x:f>IF(K549=0,"n.a.",L549/K549)</x:f>
        <x:v>0.041666666666666664</x:v>
      </x:c>
      <x:c r="Q549" s="9" t="n">
        <x:f>IF(K549=0,"n.a.",M549/K549)</x:f>
        <x:v>0.08333333333333333</x:v>
      </x:c>
      <x:c r="R549" s="9" t="n">
        <x:f>IF(K549=0,"n.a.",N549/K549)</x:f>
        <x:v>0</x:v>
      </x:c>
      <x:c r="S549" s="7" t="n">
        <x:v>-5</x:v>
      </x:c>
      <x:c r="T549" s="10" t="n">
        <x:v>0.33</x:v>
      </x:c>
      <x:c r="U549" s="7" t="n">
        <x:v>12</x:v>
      </x:c>
      <x:c r="V549" s="7" t="n">
        <x:v>221</x:v>
      </x:c>
    </x:row>
    <x:row r="550" ht="16" customHeight="1">
      <x:c r="A550" s="7" t="n">
        <x:v>547</x:v>
      </x:c>
      <x:c r="B550" s="8" t="n">
        <x:v>46076</x:v>
      </x:c>
      <x:c r="C550" s="7" t="str">
        <x:v>Corrode</x:v>
      </x:c>
      <x:c r="D550" s="7" t="str">
        <x:v>4th</x:v>
      </x:c>
      <x:c r="E550" s="7" t="str">
        <x:v>Neon</x:v>
      </x:c>
      <x:c r="F550" s="7" t="n">
        <x:v>13</x:v>
      </x:c>
      <x:c r="G550" s="7" t="n">
        <x:v>11</x:v>
      </x:c>
      <x:c r="H550" s="7" t="str">
        <x:f>IF(F550&gt;G550,"Win",IF(F550&lt;G550,"Loss","Draw"))</x:f>
        <x:v>Win</x:v>
      </x:c>
      <x:c r="I550" s="7" t="n">
        <x:f>IF(H550="Win",1,0)</x:f>
        <x:v>1</x:v>
      </x:c>
      <x:c r="J550" s="7" t="n">
        <x:f>F550-G550</x:f>
        <x:v>2</x:v>
      </x:c>
      <x:c r="K550" s="7" t="n">
        <x:f>F550+G550</x:f>
        <x:v>24</x:v>
      </x:c>
      <x:c r="L550" s="7" t="n">
        <x:v>22</x:v>
      </x:c>
      <x:c r="M550" s="7" t="n">
        <x:v>20</x:v>
      </x:c>
      <x:c r="N550" s="7" t="n">
        <x:v>2</x:v>
      </x:c>
      <x:c r="O550" s="9" t="n">
        <x:f>IF(M550=0,"n.a.",L550/M550)</x:f>
        <x:v>1.1</x:v>
      </x:c>
      <x:c r="P550" s="9" t="n">
        <x:f>IF(K550=0,"n.a.",L550/K550)</x:f>
        <x:v>0.9166666666666666</x:v>
      </x:c>
      <x:c r="Q550" s="9" t="n">
        <x:f>IF(K550=0,"n.a.",M550/K550)</x:f>
        <x:v>0.8333333333333334</x:v>
      </x:c>
      <x:c r="R550" s="9" t="n">
        <x:f>IF(K550=0,"n.a.",N550/K550)</x:f>
        <x:v>0.08333333333333333</x:v>
      </x:c>
      <x:c r="S550" s="7" t="n">
        <x:v>0</x:v>
      </x:c>
      <x:c r="T550" s="10" t="n">
        <x:v>0.43</x:v>
      </x:c>
      <x:c r="U550" s="7" t="n">
        <x:v>255</x:v>
      </x:c>
      <x:c r="V550" s="7" t="n">
        <x:v>642</x:v>
      </x:c>
    </x:row>
    <x:row r="551" ht="16" customHeight="1">
      <x:c r="A551" s="7" t="n">
        <x:v>548</x:v>
      </x:c>
      <x:c r="B551" s="8" t="n">
        <x:v>46084</x:v>
      </x:c>
      <x:c r="C551" s="7" t="str">
        <x:v>Corrode</x:v>
      </x:c>
      <x:c r="D551" s="7" t="str">
        <x:v>2nd</x:v>
      </x:c>
      <x:c r="E551" s="7" t="str">
        <x:v>Neon</x:v>
      </x:c>
      <x:c r="F551" s="7" t="n">
        <x:v>13</x:v>
      </x:c>
      <x:c r="G551" s="7" t="n">
        <x:v>2</x:v>
      </x:c>
      <x:c r="H551" s="7" t="str">
        <x:f>IF(F551&gt;G551,"Win",IF(F551&lt;G551,"Loss","Draw"))</x:f>
        <x:v>Win</x:v>
      </x:c>
      <x:c r="I551" s="7" t="n">
        <x:f>IF(H551="Win",1,0)</x:f>
        <x:v>1</x:v>
      </x:c>
      <x:c r="J551" s="7" t="n">
        <x:f>F551-G551</x:f>
        <x:v>11</x:v>
      </x:c>
      <x:c r="K551" s="7" t="n">
        <x:f>F551+G551</x:f>
        <x:v>15</x:v>
      </x:c>
      <x:c r="L551" s="7" t="n">
        <x:v>16</x:v>
      </x:c>
      <x:c r="M551" s="7" t="n">
        <x:v>10</x:v>
      </x:c>
      <x:c r="N551" s="7" t="n">
        <x:v>2</x:v>
      </x:c>
      <x:c r="O551" s="9" t="n">
        <x:f>IF(M551=0,"n.a.",L551/M551)</x:f>
        <x:v>1.6</x:v>
      </x:c>
      <x:c r="P551" s="9" t="n">
        <x:f>IF(K551=0,"n.a.",L551/K551)</x:f>
        <x:v>1.0666666666666667</x:v>
      </x:c>
      <x:c r="Q551" s="9" t="n">
        <x:f>IF(K551=0,"n.a.",M551/K551)</x:f>
        <x:v>0.6666666666666666</x:v>
      </x:c>
      <x:c r="R551" s="9" t="n">
        <x:f>IF(K551=0,"n.a.",N551/K551)</x:f>
        <x:v>0.13333333333333333</x:v>
      </x:c>
      <x:c r="S551" s="7" t="n">
        <x:v>43</x:v>
      </x:c>
      <x:c r="T551" s="10" t="n">
        <x:v>0.36</x:v>
      </x:c>
      <x:c r="U551" s="7" t="n">
        <x:v>273</x:v>
      </x:c>
      <x:c r="V551" s="7" t="n">
        <x:v>898</x:v>
      </x:c>
    </x:row>
    <x:row r="552" ht="16" customHeight="1">
      <x:c r="A552" s="7" t="n">
        <x:v>549</x:v>
      </x:c>
      <x:c r="B552" s="8" t="n">
        <x:v>46084</x:v>
      </x:c>
      <x:c r="C552" s="7" t="str">
        <x:v>Corrode</x:v>
      </x:c>
      <x:c r="D552" s="7" t="str">
        <x:v>MVP</x:v>
      </x:c>
      <x:c r="E552" s="7" t="str">
        <x:v>Gekko</x:v>
      </x:c>
      <x:c r="F552" s="7" t="n">
        <x:v>8</x:v>
      </x:c>
      <x:c r="G552" s="7" t="n">
        <x:v>13</x:v>
      </x:c>
      <x:c r="H552" s="7" t="str">
        <x:f>IF(F552&gt;G552,"Win",IF(F552&lt;G552,"Loss","Draw"))</x:f>
        <x:v>Loss</x:v>
      </x:c>
      <x:c r="I552" s="7" t="n">
        <x:f>IF(H552="Win",1,0)</x:f>
        <x:v>0</x:v>
      </x:c>
      <x:c r="J552" s="7" t="n">
        <x:f>F552-G552</x:f>
        <x:v>-5</x:v>
      </x:c>
      <x:c r="K552" s="7" t="n">
        <x:f>F552+G552</x:f>
        <x:v>21</x:v>
      </x:c>
      <x:c r="L552" s="7" t="n">
        <x:v>26</x:v>
      </x:c>
      <x:c r="M552" s="7" t="n">
        <x:v>16</x:v>
      </x:c>
      <x:c r="N552" s="7" t="n">
        <x:v>4</x:v>
      </x:c>
      <x:c r="O552" s="9" t="n">
        <x:f>IF(M552=0,"n.a.",L552/M552)</x:f>
        <x:v>1.625</x:v>
      </x:c>
      <x:c r="P552" s="9" t="n">
        <x:f>IF(K552=0,"n.a.",L552/K552)</x:f>
        <x:v>1.2380952380952381</x:v>
      </x:c>
      <x:c r="Q552" s="9" t="n">
        <x:f>IF(K552=0,"n.a.",M552/K552)</x:f>
        <x:v>0.7619047619047619</x:v>
      </x:c>
      <x:c r="R552" s="9" t="n">
        <x:f>IF(K552=0,"n.a.",N552/K552)</x:f>
        <x:v>0.19047619047619047</x:v>
      </x:c>
      <x:c r="S552" s="7" t="n">
        <x:v>50</x:v>
      </x:c>
      <x:c r="T552" s="10" t="n">
        <x:v>0.39</x:v>
      </x:c>
      <x:c r="U552" s="7" t="n">
        <x:v>343</x:v>
      </x:c>
      <x:c r="V552" s="7" t="n">
        <x:v>639</x:v>
      </x:c>
    </x:row>
    <x:row r="553" ht="16" customHeight="1">
      <x:c r="A553" s="7" t="n">
        <x:v>550</x:v>
      </x:c>
      <x:c r="B553" s="8" t="n">
        <x:v>46084</x:v>
      </x:c>
      <x:c r="C553" s="7" t="str">
        <x:v>Split</x:v>
      </x:c>
      <x:c r="D553" s="7" t="str">
        <x:v>2nd</x:v>
      </x:c>
      <x:c r="E553" s="7" t="str">
        <x:v>Neon</x:v>
      </x:c>
      <x:c r="F553" s="7" t="n">
        <x:v>5</x:v>
      </x:c>
      <x:c r="G553" s="7" t="n">
        <x:v>13</x:v>
      </x:c>
      <x:c r="H553" s="7" t="str">
        <x:f>IF(F553&gt;G553,"Win",IF(F553&lt;G553,"Loss","Draw"))</x:f>
        <x:v>Loss</x:v>
      </x:c>
      <x:c r="I553" s="7" t="n">
        <x:f>IF(H553="Win",1,0)</x:f>
        <x:v>0</x:v>
      </x:c>
      <x:c r="J553" s="7" t="n">
        <x:f>F553-G553</x:f>
        <x:v>-8</x:v>
      </x:c>
      <x:c r="K553" s="7" t="n">
        <x:f>F553+G553</x:f>
        <x:v>18</x:v>
      </x:c>
      <x:c r="L553" s="7" t="n">
        <x:v>25</x:v>
      </x:c>
      <x:c r="M553" s="7" t="n">
        <x:v>15</x:v>
      </x:c>
      <x:c r="N553" s="7" t="n">
        <x:v>1</x:v>
      </x:c>
      <x:c r="O553" s="9" t="n">
        <x:f>IF(M553=0,"n.a.",L553/M553)</x:f>
        <x:v>1.6666666666666667</x:v>
      </x:c>
      <x:c r="P553" s="9" t="n">
        <x:f>IF(K553=0,"n.a.",L553/K553)</x:f>
        <x:v>1.3888888888888888</x:v>
      </x:c>
      <x:c r="Q553" s="9" t="n">
        <x:f>IF(K553=0,"n.a.",M553/K553)</x:f>
        <x:v>0.8333333333333334</x:v>
      </x:c>
      <x:c r="R553" s="9" t="n">
        <x:f>IF(K553=0,"n.a.",N553/K553)</x:f>
        <x:v>0.05555555555555555</x:v>
      </x:c>
      <x:c r="S553" s="7" t="n">
        <x:v>80</x:v>
      </x:c>
      <x:c r="T553" s="10" t="n">
        <x:v>0.36</x:v>
      </x:c>
      <x:c r="U553" s="7" t="n">
        <x:v>389</x:v>
      </x:c>
      <x:c r="V553" s="7" t="n">
        <x:v>729</x:v>
      </x:c>
    </x:row>
    <x:row r="554" ht="16" customHeight="1">
      <x:c r="A554" s="7" t="n">
        <x:v>551</x:v>
      </x:c>
      <x:c r="B554" s="8" t="n">
        <x:v>46084</x:v>
      </x:c>
      <x:c r="C554" s="7" t="str">
        <x:v>Breeze</x:v>
      </x:c>
      <x:c r="D554" s="7" t="str">
        <x:v>MVP</x:v>
      </x:c>
      <x:c r="E554" s="7" t="str">
        <x:v>Neon</x:v>
      </x:c>
      <x:c r="F554" s="7" t="n">
        <x:v>13</x:v>
      </x:c>
      <x:c r="G554" s="7" t="n">
        <x:v>11</x:v>
      </x:c>
      <x:c r="H554" s="7" t="str">
        <x:f>IF(F554&gt;G554,"Win",IF(F554&lt;G554,"Loss","Draw"))</x:f>
        <x:v>Win</x:v>
      </x:c>
      <x:c r="I554" s="7" t="n">
        <x:f>IF(H554="Win",1,0)</x:f>
        <x:v>1</x:v>
      </x:c>
      <x:c r="J554" s="7" t="n">
        <x:f>F554-G554</x:f>
        <x:v>2</x:v>
      </x:c>
      <x:c r="K554" s="7" t="n">
        <x:f>F554+G554</x:f>
        <x:v>24</x:v>
      </x:c>
      <x:c r="L554" s="7" t="n">
        <x:v>35</x:v>
      </x:c>
      <x:c r="M554" s="7" t="n">
        <x:v>17</x:v>
      </x:c>
      <x:c r="N554" s="7" t="n">
        <x:v>1</x:v>
      </x:c>
      <x:c r="O554" s="9" t="n">
        <x:f>IF(M554=0,"n.a.",L554/M554)</x:f>
        <x:v>2.0588235294117645</x:v>
      </x:c>
      <x:c r="P554" s="9" t="n">
        <x:f>IF(K554=0,"n.a.",L554/K554)</x:f>
        <x:v>1.4583333333333333</x:v>
      </x:c>
      <x:c r="Q554" s="9" t="n">
        <x:f>IF(K554=0,"n.a.",M554/K554)</x:f>
        <x:v>0.7083333333333334</x:v>
      </x:c>
      <x:c r="R554" s="9" t="n">
        <x:f>IF(K554=0,"n.a.",N554/K554)</x:f>
        <x:v>0.041666666666666664</x:v>
      </x:c>
      <x:c r="S554" s="7" t="n">
        <x:v>124</x:v>
      </x:c>
      <x:c r="T554" s="10" t="n">
        <x:v>0.39</x:v>
      </x:c>
      <x:c r="U554" s="7" t="n">
        <x:v>409</x:v>
      </x:c>
      <x:c r="V554" s="7" t="n">
        <x:v>898</x:v>
      </x:c>
    </x:row>
    <x:row r="555" ht="16" customHeight="1">
      <x:c r="A555" s="7" t="n">
        <x:v>552</x:v>
      </x:c>
      <x:c r="B555" s="8" t="n">
        <x:v>46084</x:v>
      </x:c>
      <x:c r="C555" s="7" t="str">
        <x:v>Abyss</x:v>
      </x:c>
      <x:c r="D555" s="7" t="str">
        <x:v>MVP</x:v>
      </x:c>
      <x:c r="E555" s="7" t="str">
        <x:v>Neon</x:v>
      </x:c>
      <x:c r="F555" s="7" t="n">
        <x:v>13</x:v>
      </x:c>
      <x:c r="G555" s="7" t="n">
        <x:v>1</x:v>
      </x:c>
      <x:c r="H555" s="7" t="str">
        <x:f>IF(F555&gt;G555,"Win",IF(F555&lt;G555,"Loss","Draw"))</x:f>
        <x:v>Win</x:v>
      </x:c>
      <x:c r="I555" s="7" t="n">
        <x:f>IF(H555="Win",1,0)</x:f>
        <x:v>1</x:v>
      </x:c>
      <x:c r="J555" s="7" t="n">
        <x:f>F555-G555</x:f>
        <x:v>12</x:v>
      </x:c>
      <x:c r="K555" s="7" t="n">
        <x:f>F555+G555</x:f>
        <x:v>14</x:v>
      </x:c>
      <x:c r="L555" s="7" t="n">
        <x:v>24</x:v>
      </x:c>
      <x:c r="M555" s="7" t="n">
        <x:v>8</x:v>
      </x:c>
      <x:c r="N555" s="7" t="n">
        <x:v>1</x:v>
      </x:c>
      <x:c r="O555" s="9" t="n">
        <x:f>IF(M555=0,"n.a.",L555/M555)</x:f>
        <x:v>3</x:v>
      </x:c>
      <x:c r="P555" s="9" t="n">
        <x:f>IF(K555=0,"n.a.",L555/K555)</x:f>
        <x:v>1.7142857142857142</x:v>
      </x:c>
      <x:c r="Q555" s="9" t="n">
        <x:f>IF(K555=0,"n.a.",M555/K555)</x:f>
        <x:v>0.5714285714285714</x:v>
      </x:c>
      <x:c r="R555" s="9" t="n">
        <x:f>IF(K555=0,"n.a.",N555/K555)</x:f>
        <x:v>0.07142857142857142</x:v>
      </x:c>
      <x:c r="S555" s="7" t="n">
        <x:v>128</x:v>
      </x:c>
      <x:c r="T555" s="10" t="n">
        <x:v>0.3</x:v>
      </x:c>
      <x:c r="U555" s="7" t="n">
        <x:v>434</x:v>
      </x:c>
      <x:c r="V555" s="7" t="n">
        <x:v>849</x:v>
      </x:c>
    </x:row>
    <x:row r="556" ht="16" customHeight="1">
      <x:c r="A556" s="7" t="n">
        <x:v>553</x:v>
      </x:c>
      <x:c r="B556" s="8" t="n">
        <x:v>46084</x:v>
      </x:c>
      <x:c r="C556" s="7" t="str">
        <x:v>Split</x:v>
      </x:c>
      <x:c r="D556" s="7" t="str">
        <x:v>MVP</x:v>
      </x:c>
      <x:c r="E556" s="7" t="str">
        <x:v>Neon</x:v>
      </x:c>
      <x:c r="F556" s="7" t="n">
        <x:v>13</x:v>
      </x:c>
      <x:c r="G556" s="7" t="n">
        <x:v>11</x:v>
      </x:c>
      <x:c r="H556" s="7" t="str">
        <x:f>IF(F556&gt;G556,"Win",IF(F556&lt;G556,"Loss","Draw"))</x:f>
        <x:v>Win</x:v>
      </x:c>
      <x:c r="I556" s="7" t="n">
        <x:f>IF(H556="Win",1,0)</x:f>
        <x:v>1</x:v>
      </x:c>
      <x:c r="J556" s="7" t="n">
        <x:f>F556-G556</x:f>
        <x:v>2</x:v>
      </x:c>
      <x:c r="K556" s="7" t="n">
        <x:f>F556+G556</x:f>
        <x:v>24</x:v>
      </x:c>
      <x:c r="L556" s="7" t="n">
        <x:v>42</x:v>
      </x:c>
      <x:c r="M556" s="7" t="n">
        <x:v>15</x:v>
      </x:c>
      <x:c r="N556" s="7" t="n">
        <x:v>4</x:v>
      </x:c>
      <x:c r="O556" s="9" t="n">
        <x:f>IF(M556=0,"n.a.",L556/M556)</x:f>
        <x:v>2.8</x:v>
      </x:c>
      <x:c r="P556" s="9" t="n">
        <x:f>IF(K556=0,"n.a.",L556/K556)</x:f>
        <x:v>1.75</x:v>
      </x:c>
      <x:c r="Q556" s="9" t="n">
        <x:f>IF(K556=0,"n.a.",M556/K556)</x:f>
        <x:v>0.625</x:v>
      </x:c>
      <x:c r="R556" s="9" t="n">
        <x:f>IF(K556=0,"n.a.",N556/K556)</x:f>
        <x:v>0.16666666666666666</x:v>
      </x:c>
      <x:c r="S556" s="7" t="n">
        <x:v>157</x:v>
      </x:c>
      <x:c r="T556" s="10" t="n">
        <x:v>0.25</x:v>
      </x:c>
      <x:c r="U556" s="7" t="n">
        <x:v>468</x:v>
      </x:c>
      <x:c r="V556" s="7" t="n">
        <x:v>970</x:v>
      </x:c>
    </x:row>
    <x:row r="557" ht="16" customHeight="1">
      <x:c r="A557" s="7" t="n">
        <x:v>554</x:v>
      </x:c>
      <x:c r="B557" s="8" t="n">
        <x:v>46084</x:v>
      </x:c>
      <x:c r="C557" s="7" t="str">
        <x:v>Breeze</x:v>
      </x:c>
      <x:c r="D557" s="7" t="str">
        <x:v>5th</x:v>
      </x:c>
      <x:c r="E557" s="7" t="str">
        <x:v>Neon</x:v>
      </x:c>
      <x:c r="F557" s="7" t="n">
        <x:v>8</x:v>
      </x:c>
      <x:c r="G557" s="7" t="n">
        <x:v>13</x:v>
      </x:c>
      <x:c r="H557" s="7" t="str">
        <x:f>IF(F557&gt;G557,"Win",IF(F557&lt;G557,"Loss","Draw"))</x:f>
        <x:v>Loss</x:v>
      </x:c>
      <x:c r="I557" s="7" t="n">
        <x:f>IF(H557="Win",1,0)</x:f>
        <x:v>0</x:v>
      </x:c>
      <x:c r="J557" s="7" t="n">
        <x:f>F557-G557</x:f>
        <x:v>-5</x:v>
      </x:c>
      <x:c r="K557" s="7" t="n">
        <x:f>F557+G557</x:f>
        <x:v>21</x:v>
      </x:c>
      <x:c r="L557" s="7" t="n">
        <x:v>16</x:v>
      </x:c>
      <x:c r="M557" s="7" t="n">
        <x:v>19</x:v>
      </x:c>
      <x:c r="N557" s="7" t="n">
        <x:v>2</x:v>
      </x:c>
      <x:c r="O557" s="9" t="n">
        <x:f>IF(M557=0,"n.a.",L557/M557)</x:f>
        <x:v>0.8421052631578947</x:v>
      </x:c>
      <x:c r="P557" s="9" t="n">
        <x:f>IF(K557=0,"n.a.",L557/K557)</x:f>
        <x:v>0.7619047619047619</x:v>
      </x:c>
      <x:c r="Q557" s="9" t="n">
        <x:f>IF(K557=0,"n.a.",M557/K557)</x:f>
        <x:v>0.9047619047619048</x:v>
      </x:c>
      <x:c r="R557" s="9" t="n">
        <x:f>IF(K557=0,"n.a.",N557/K557)</x:f>
        <x:v>0.09523809523809523</x:v>
      </x:c>
      <x:c r="S557" s="7" t="n">
        <x:v>-40</x:v>
      </x:c>
      <x:c r="T557" s="10" t="n">
        <x:v>0.27</x:v>
      </x:c>
      <x:c r="U557" s="7" t="n">
        <x:v>224</x:v>
      </x:c>
      <x:c r="V557" s="7" t="n">
        <x:v>373</x:v>
      </x:c>
    </x:row>
    <x:row r="558" ht="16" customHeight="1">
      <x:c r="A558" s="7" t="n">
        <x:v>555</x:v>
      </x:c>
      <x:c r="B558" s="8" t="n">
        <x:v>46084</x:v>
      </x:c>
      <x:c r="C558" s="7" t="str">
        <x:v>Pearl</x:v>
      </x:c>
      <x:c r="D558" s="7" t="str">
        <x:v>MVP</x:v>
      </x:c>
      <x:c r="E558" s="7" t="str">
        <x:v>Neon</x:v>
      </x:c>
      <x:c r="F558" s="7" t="n">
        <x:v>9</x:v>
      </x:c>
      <x:c r="G558" s="7" t="n">
        <x:v>13</x:v>
      </x:c>
      <x:c r="H558" s="7" t="str">
        <x:f>IF(F558&gt;G558,"Win",IF(F558&lt;G558,"Loss","Draw"))</x:f>
        <x:v>Loss</x:v>
      </x:c>
      <x:c r="I558" s="7" t="n">
        <x:f>IF(H558="Win",1,0)</x:f>
        <x:v>0</x:v>
      </x:c>
      <x:c r="J558" s="7" t="n">
        <x:f>F558-G558</x:f>
        <x:v>-4</x:v>
      </x:c>
      <x:c r="K558" s="7" t="n">
        <x:f>F558+G558</x:f>
        <x:v>22</x:v>
      </x:c>
      <x:c r="L558" s="7" t="n">
        <x:v>32</x:v>
      </x:c>
      <x:c r="M558" s="7" t="n">
        <x:v>16</x:v>
      </x:c>
      <x:c r="N558" s="7" t="n">
        <x:v>5</x:v>
      </x:c>
      <x:c r="O558" s="9" t="n">
        <x:f>IF(M558=0,"n.a.",L558/M558)</x:f>
        <x:v>2</x:v>
      </x:c>
      <x:c r="P558" s="9" t="n">
        <x:f>IF(K558=0,"n.a.",L558/K558)</x:f>
        <x:v>1.4545454545454546</x:v>
      </x:c>
      <x:c r="Q558" s="9" t="n">
        <x:f>IF(K558=0,"n.a.",M558/K558)</x:f>
        <x:v>0.7272727272727273</x:v>
      </x:c>
      <x:c r="R558" s="9" t="n">
        <x:f>IF(K558=0,"n.a.",N558/K558)</x:f>
        <x:v>0.22727272727272727</x:v>
      </x:c>
      <x:c r="S558" s="7" t="n">
        <x:v>66</x:v>
      </x:c>
      <x:c r="T558" s="10" t="n">
        <x:v>0.23</x:v>
      </x:c>
      <x:c r="U558" s="7" t="n">
        <x:v>398</x:v>
      </x:c>
      <x:c r="V558" s="7" t="n">
        <x:v>810</x:v>
      </x:c>
    </x:row>
    <x:row r="559" ht="16" customHeight="1">
      <x:c r="A559" s="7" t="n">
        <x:v>556</x:v>
      </x:c>
      <x:c r="B559" s="8" t="n">
        <x:v>46084</x:v>
      </x:c>
      <x:c r="C559" s="7" t="str">
        <x:v>Corrode</x:v>
      </x:c>
      <x:c r="D559" s="7" t="str">
        <x:v>MVP</x:v>
      </x:c>
      <x:c r="E559" s="7" t="str">
        <x:v>Neon</x:v>
      </x:c>
      <x:c r="F559" s="7" t="n">
        <x:v>10</x:v>
      </x:c>
      <x:c r="G559" s="7" t="n">
        <x:v>13</x:v>
      </x:c>
      <x:c r="H559" s="7" t="str">
        <x:f>IF(F559&gt;G559,"Win",IF(F559&lt;G559,"Loss","Draw"))</x:f>
        <x:v>Loss</x:v>
      </x:c>
      <x:c r="I559" s="7" t="n">
        <x:f>IF(H559="Win",1,0)</x:f>
        <x:v>0</x:v>
      </x:c>
      <x:c r="J559" s="7" t="n">
        <x:f>F559-G559</x:f>
        <x:v>-3</x:v>
      </x:c>
      <x:c r="K559" s="7" t="n">
        <x:f>F559+G559</x:f>
        <x:v>23</x:v>
      </x:c>
      <x:c r="L559" s="7" t="n">
        <x:v>28</x:v>
      </x:c>
      <x:c r="M559" s="7" t="n">
        <x:v>17</x:v>
      </x:c>
      <x:c r="N559" s="7" t="n">
        <x:v>4</x:v>
      </x:c>
      <x:c r="O559" s="9" t="n">
        <x:f>IF(M559=0,"n.a.",L559/M559)</x:f>
        <x:v>1.6470588235294117</x:v>
      </x:c>
      <x:c r="P559" s="9" t="n">
        <x:f>IF(K559=0,"n.a.",L559/K559)</x:f>
        <x:v>1.2173913043478262</x:v>
      </x:c>
      <x:c r="Q559" s="9" t="n">
        <x:f>IF(K559=0,"n.a.",M559/K559)</x:f>
        <x:v>0.7391304347826086</x:v>
      </x:c>
      <x:c r="R559" s="9" t="n">
        <x:f>IF(K559=0,"n.a.",N559/K559)</x:f>
        <x:v>0.17391304347826086</x:v>
      </x:c>
      <x:c r="S559" s="7" t="n">
        <x:v>57</x:v>
      </x:c>
      <x:c r="T559" s="10" t="n">
        <x:v>0.23</x:v>
      </x:c>
      <x:c r="U559" s="7" t="n">
        <x:v>351</x:v>
      </x:c>
      <x:c r="V559" s="7" t="n">
        <x:v>885</x:v>
      </x:c>
    </x:row>
    <x:row r="560" ht="16" customHeight="1">
      <x:c r="A560" s="7" t="n">
        <x:v>557</x:v>
      </x:c>
      <x:c r="B560" s="8" t="n">
        <x:v>46084</x:v>
      </x:c>
      <x:c r="C560" s="7" t="str">
        <x:v>Haven</x:v>
      </x:c>
      <x:c r="D560" s="7" t="str">
        <x:v>7th</x:v>
      </x:c>
      <x:c r="E560" s="7" t="str">
        <x:v>Neon</x:v>
      </x:c>
      <x:c r="F560" s="7" t="n">
        <x:v>13</x:v>
      </x:c>
      <x:c r="G560" s="7" t="n">
        <x:v>10</x:v>
      </x:c>
      <x:c r="H560" s="7" t="str">
        <x:f>IF(F560&gt;G560,"Win",IF(F560&lt;G560,"Loss","Draw"))</x:f>
        <x:v>Win</x:v>
      </x:c>
      <x:c r="I560" s="7" t="n">
        <x:f>IF(H560="Win",1,0)</x:f>
        <x:v>1</x:v>
      </x:c>
      <x:c r="J560" s="7" t="n">
        <x:f>F560-G560</x:f>
        <x:v>3</x:v>
      </x:c>
      <x:c r="K560" s="7" t="n">
        <x:f>F560+G560</x:f>
        <x:v>23</x:v>
      </x:c>
      <x:c r="L560" s="7" t="n">
        <x:v>15</x:v>
      </x:c>
      <x:c r="M560" s="7" t="n">
        <x:v>17</x:v>
      </x:c>
      <x:c r="N560" s="7" t="n">
        <x:v>5</x:v>
      </x:c>
      <x:c r="O560" s="9" t="n">
        <x:f>IF(M560=0,"n.a.",L560/M560)</x:f>
        <x:v>0.8823529411764706</x:v>
      </x:c>
      <x:c r="P560" s="9" t="n">
        <x:f>IF(K560=0,"n.a.",L560/K560)</x:f>
        <x:v>0.6521739130434783</x:v>
      </x:c>
      <x:c r="Q560" s="9" t="n">
        <x:f>IF(K560=0,"n.a.",M560/K560)</x:f>
        <x:v>0.7391304347826086</x:v>
      </x:c>
      <x:c r="R560" s="9" t="n">
        <x:f>IF(K560=0,"n.a.",N560/K560)</x:f>
        <x:v>0.21739130434782608</x:v>
      </x:c>
      <x:c r="S560" s="7" t="n">
        <x:v>-6</x:v>
      </x:c>
      <x:c r="T560" s="10" t="n">
        <x:v>0.23</x:v>
      </x:c>
      <x:c r="U560" s="7" t="n">
        <x:v>192</x:v>
      </x:c>
      <x:c r="V560" s="7" t="n">
        <x:v>578</x:v>
      </x:c>
    </x:row>
    <x:row r="561" ht="16" customHeight="1">
      <x:c r="A561" s="7" t="n">
        <x:v>558</x:v>
      </x:c>
      <x:c r="B561" s="8" t="n">
        <x:v>46085</x:v>
      </x:c>
      <x:c r="C561" s="7" t="str">
        <x:v>Haven</x:v>
      </x:c>
      <x:c r="D561" s="7" t="str">
        <x:v>MVP</x:v>
      </x:c>
      <x:c r="E561" s="7" t="str">
        <x:v>Neon</x:v>
      </x:c>
      <x:c r="F561" s="7" t="n">
        <x:v>9</x:v>
      </x:c>
      <x:c r="G561" s="7" t="n">
        <x:v>13</x:v>
      </x:c>
      <x:c r="H561" s="7" t="str">
        <x:f>IF(F561&gt;G561,"Win",IF(F561&lt;G561,"Loss","Draw"))</x:f>
        <x:v>Loss</x:v>
      </x:c>
      <x:c r="I561" s="7" t="n">
        <x:f>IF(H561="Win",1,0)</x:f>
        <x:v>0</x:v>
      </x:c>
      <x:c r="J561" s="7" t="n">
        <x:f>F561-G561</x:f>
        <x:v>-4</x:v>
      </x:c>
      <x:c r="K561" s="7" t="n">
        <x:f>F561+G561</x:f>
        <x:v>22</x:v>
      </x:c>
      <x:c r="L561" s="7" t="n">
        <x:v>30</x:v>
      </x:c>
      <x:c r="M561" s="7" t="n">
        <x:v>16</x:v>
      </x:c>
      <x:c r="N561" s="7" t="n">
        <x:v>5</x:v>
      </x:c>
      <x:c r="O561" s="9" t="n">
        <x:f>IF(M561=0,"n.a.",L561/M561)</x:f>
        <x:v>1.875</x:v>
      </x:c>
      <x:c r="P561" s="9" t="n">
        <x:f>IF(K561=0,"n.a.",L561/K561)</x:f>
        <x:v>1.3636363636363635</x:v>
      </x:c>
      <x:c r="Q561" s="9" t="n">
        <x:f>IF(K561=0,"n.a.",M561/K561)</x:f>
        <x:v>0.7272727272727273</x:v>
      </x:c>
      <x:c r="R561" s="9" t="n">
        <x:f>IF(K561=0,"n.a.",N561/K561)</x:f>
        <x:v>0.22727272727272727</x:v>
      </x:c>
      <x:c r="S561" s="7" t="n">
        <x:v>98</x:v>
      </x:c>
      <x:c r="T561" s="10" t="n">
        <x:v>0.27</x:v>
      </x:c>
      <x:c r="U561" s="7" t="n">
        <x:v>380</x:v>
      </x:c>
      <x:c r="V561" s="7" t="n">
        <x:v>781</x:v>
      </x:c>
    </x:row>
    <x:row r="562" ht="16" customHeight="1">
      <x:c r="A562" s="7" t="n">
        <x:v>559</x:v>
      </x:c>
      <x:c r="B562" s="8" t="n">
        <x:v>46085</x:v>
      </x:c>
      <x:c r="C562" s="7" t="str">
        <x:v>Abyss</x:v>
      </x:c>
      <x:c r="D562" s="7" t="str">
        <x:v>MVP</x:v>
      </x:c>
      <x:c r="E562" s="7" t="str">
        <x:v>Neon</x:v>
      </x:c>
      <x:c r="F562" s="7" t="n">
        <x:v>13</x:v>
      </x:c>
      <x:c r="G562" s="7" t="n">
        <x:v>10</x:v>
      </x:c>
      <x:c r="H562" s="7" t="str">
        <x:f>IF(F562&gt;G562,"Win",IF(F562&lt;G562,"Loss","Draw"))</x:f>
        <x:v>Win</x:v>
      </x:c>
      <x:c r="I562" s="7" t="n">
        <x:f>IF(H562="Win",1,0)</x:f>
        <x:v>1</x:v>
      </x:c>
      <x:c r="J562" s="7" t="n">
        <x:f>F562-G562</x:f>
        <x:v>3</x:v>
      </x:c>
      <x:c r="K562" s="7" t="n">
        <x:f>F562+G562</x:f>
        <x:v>23</x:v>
      </x:c>
      <x:c r="L562" s="7" t="n">
        <x:v>36</x:v>
      </x:c>
      <x:c r="M562" s="7" t="n">
        <x:v>14</x:v>
      </x:c>
      <x:c r="N562" s="7" t="n">
        <x:v>3</x:v>
      </x:c>
      <x:c r="O562" s="9" t="n">
        <x:f>IF(M562=0,"n.a.",L562/M562)</x:f>
        <x:v>2.5714285714285716</x:v>
      </x:c>
      <x:c r="P562" s="9" t="n">
        <x:f>IF(K562=0,"n.a.",L562/K562)</x:f>
        <x:v>1.565217391304348</x:v>
      </x:c>
      <x:c r="Q562" s="9" t="n">
        <x:f>IF(K562=0,"n.a.",M562/K562)</x:f>
        <x:v>0.6086956521739131</x:v>
      </x:c>
      <x:c r="R562" s="9" t="n">
        <x:f>IF(K562=0,"n.a.",N562/K562)</x:f>
        <x:v>0.13043478260869565</x:v>
      </x:c>
      <x:c r="S562" s="7" t="n">
        <x:v>141</x:v>
      </x:c>
      <x:c r="T562" s="10" t="n">
        <x:v>0.29</x:v>
      </x:c>
      <x:c r="U562" s="7" t="n">
        <x:v>430</x:v>
      </x:c>
      <x:c r="V562" s="7" t="n">
        <x:v>972</x:v>
      </x:c>
    </x:row>
    <x:row r="563" ht="16" customHeight="1">
      <x:c r="A563" s="7" t="n">
        <x:v>560</x:v>
      </x:c>
      <x:c r="B563" s="8" t="n">
        <x:v>46085</x:v>
      </x:c>
      <x:c r="C563" s="7" t="str">
        <x:v>Corrode</x:v>
      </x:c>
      <x:c r="D563" s="7" t="str">
        <x:v>7th</x:v>
      </x:c>
      <x:c r="E563" s="7" t="str">
        <x:v>Neon</x:v>
      </x:c>
      <x:c r="F563" s="7" t="n">
        <x:v>15</x:v>
      </x:c>
      <x:c r="G563" s="7" t="n">
        <x:v>15</x:v>
      </x:c>
      <x:c r="H563" s="7" t="str">
        <x:f>IF(F563&gt;G563,"Win",IF(F563&lt;G563,"Loss","Draw"))</x:f>
        <x:v>Draw</x:v>
      </x:c>
      <x:c r="I563" s="7" t="n">
        <x:f>IF(H563="Win",1,0)</x:f>
        <x:v>0</x:v>
      </x:c>
      <x:c r="J563" s="7" t="n">
        <x:f>F563-G563</x:f>
        <x:v>0</x:v>
      </x:c>
      <x:c r="K563" s="7" t="n">
        <x:f>F563+G563</x:f>
        <x:v>30</x:v>
      </x:c>
      <x:c r="L563" s="7" t="n">
        <x:v>17</x:v>
      </x:c>
      <x:c r="M563" s="7" t="n">
        <x:v>23</x:v>
      </x:c>
      <x:c r="N563" s="7" t="n">
        <x:v>9</x:v>
      </x:c>
      <x:c r="O563" s="9" t="n">
        <x:f>IF(M563=0,"n.a.",L563/M563)</x:f>
        <x:v>0.7391304347826086</x:v>
      </x:c>
      <x:c r="P563" s="9" t="n">
        <x:f>IF(K563=0,"n.a.",L563/K563)</x:f>
        <x:v>0.5666666666666667</x:v>
      </x:c>
      <x:c r="Q563" s="9" t="n">
        <x:f>IF(K563=0,"n.a.",M563/K563)</x:f>
        <x:v>0.7666666666666667</x:v>
      </x:c>
      <x:c r="R563" s="9" t="n">
        <x:f>IF(K563=0,"n.a.",N563/K563)</x:f>
        <x:v>0.3</x:v>
      </x:c>
      <x:c r="S563" s="7" t="n">
        <x:v>-42</x:v>
      </x:c>
      <x:c r="T563" s="10" t="n">
        <x:v>0.19</x:v>
      </x:c>
      <x:c r="U563" s="7" t="n">
        <x:v>175</x:v>
      </x:c>
      <x:c r="V563" s="7" t="n">
        <x:v>379</x:v>
      </x:c>
    </x:row>
    <x:row r="564" ht="16" customHeight="1">
      <x:c r="A564" s="7" t="n">
        <x:v>561</x:v>
      </x:c>
      <x:c r="B564" s="8" t="n">
        <x:v>46085</x:v>
      </x:c>
      <x:c r="C564" s="7" t="str">
        <x:v>Haven</x:v>
      </x:c>
      <x:c r="D564" s="7" t="str">
        <x:v>MVP</x:v>
      </x:c>
      <x:c r="E564" s="7" t="str">
        <x:v>Neon</x:v>
      </x:c>
      <x:c r="F564" s="7" t="n">
        <x:v>13</x:v>
      </x:c>
      <x:c r="G564" s="7" t="n">
        <x:v>9</x:v>
      </x:c>
      <x:c r="H564" s="7" t="str">
        <x:f>IF(F564&gt;G564,"Win",IF(F564&lt;G564,"Loss","Draw"))</x:f>
        <x:v>Win</x:v>
      </x:c>
      <x:c r="I564" s="7" t="n">
        <x:f>IF(H564="Win",1,0)</x:f>
        <x:v>1</x:v>
      </x:c>
      <x:c r="J564" s="7" t="n">
        <x:f>F564-G564</x:f>
        <x:v>4</x:v>
      </x:c>
      <x:c r="K564" s="7" t="n">
        <x:f>F564+G564</x:f>
        <x:v>22</x:v>
      </x:c>
      <x:c r="L564" s="7" t="n">
        <x:v>26</x:v>
      </x:c>
      <x:c r="M564" s="7" t="n">
        <x:v>16</x:v>
      </x:c>
      <x:c r="N564" s="7" t="n">
        <x:v>4</x:v>
      </x:c>
      <x:c r="O564" s="9" t="n">
        <x:f>IF(M564=0,"n.a.",L564/M564)</x:f>
        <x:v>1.625</x:v>
      </x:c>
      <x:c r="P564" s="9" t="n">
        <x:f>IF(K564=0,"n.a.",L564/K564)</x:f>
        <x:v>1.1818181818181819</x:v>
      </x:c>
      <x:c r="Q564" s="9" t="n">
        <x:f>IF(K564=0,"n.a.",M564/K564)</x:f>
        <x:v>0.7272727272727273</x:v>
      </x:c>
      <x:c r="R564" s="9" t="n">
        <x:f>IF(K564=0,"n.a.",N564/K564)</x:f>
        <x:v>0.18181818181818182</x:v>
      </x:c>
      <x:c r="S564" s="7" t="n">
        <x:v>74</x:v>
      </x:c>
      <x:c r="T564" s="10" t="n">
        <x:v>0.26</x:v>
      </x:c>
      <x:c r="U564" s="7" t="n">
        <x:v>347</x:v>
      </x:c>
      <x:c r="V564" s="7" t="n">
        <x:v>967</x:v>
      </x:c>
    </x:row>
    <x:row r="565" ht="16" customHeight="1">
      <x:c r="A565" s="7" t="n">
        <x:v>562</x:v>
      </x:c>
      <x:c r="B565" s="8" t="n">
        <x:v>46085</x:v>
      </x:c>
      <x:c r="C565" s="7" t="str">
        <x:v>Bind</x:v>
      </x:c>
      <x:c r="D565" s="7" t="str">
        <x:v>6th</x:v>
      </x:c>
      <x:c r="E565" s="7" t="str">
        <x:v>Neon</x:v>
      </x:c>
      <x:c r="F565" s="7" t="n">
        <x:v>7</x:v>
      </x:c>
      <x:c r="G565" s="7" t="n">
        <x:v>13</x:v>
      </x:c>
      <x:c r="H565" s="7" t="str">
        <x:f>IF(F565&gt;G565,"Win",IF(F565&lt;G565,"Loss","Draw"))</x:f>
        <x:v>Loss</x:v>
      </x:c>
      <x:c r="I565" s="7" t="n">
        <x:f>IF(H565="Win",1,0)</x:f>
        <x:v>0</x:v>
      </x:c>
      <x:c r="J565" s="7" t="n">
        <x:f>F565-G565</x:f>
        <x:v>-6</x:v>
      </x:c>
      <x:c r="K565" s="7" t="n">
        <x:f>F565+G565</x:f>
        <x:v>20</x:v>
      </x:c>
      <x:c r="L565" s="7" t="n">
        <x:v>14</x:v>
      </x:c>
      <x:c r="M565" s="7" t="n">
        <x:v>18</x:v>
      </x:c>
      <x:c r="N565" s="7" t="n">
        <x:v>3</x:v>
      </x:c>
      <x:c r="O565" s="9" t="n">
        <x:f>IF(M565=0,"n.a.",L565/M565)</x:f>
        <x:v>0.7777777777777778</x:v>
      </x:c>
      <x:c r="P565" s="9" t="n">
        <x:f>IF(K565=0,"n.a.",L565/K565)</x:f>
        <x:v>0.7</x:v>
      </x:c>
      <x:c r="Q565" s="9" t="n">
        <x:f>IF(K565=0,"n.a.",M565/K565)</x:f>
        <x:v>0.9</x:v>
      </x:c>
      <x:c r="R565" s="9" t="n">
        <x:f>IF(K565=0,"n.a.",N565/K565)</x:f>
        <x:v>0.15</x:v>
      </x:c>
      <x:c r="S565" s="7" t="n">
        <x:v>-32</x:v>
      </x:c>
      <x:c r="T565" s="10" t="n">
        <x:v>0.22</x:v>
      </x:c>
      <x:c r="U565" s="7" t="n">
        <x:v>215</x:v>
      </x:c>
      <x:c r="V565" s="7" t="n">
        <x:v>428</x:v>
      </x:c>
    </x:row>
    <x:row r="566" ht="16" customHeight="1">
      <x:c r="A566" s="7" t="n">
        <x:v>563</x:v>
      </x:c>
      <x:c r="B566" s="8" t="n">
        <x:v>46085</x:v>
      </x:c>
      <x:c r="C566" s="7" t="str">
        <x:v>Pearl</x:v>
      </x:c>
      <x:c r="D566" s="7" t="str">
        <x:v>5th</x:v>
      </x:c>
      <x:c r="E566" s="7" t="str">
        <x:v>Neon</x:v>
      </x:c>
      <x:c r="F566" s="7" t="n">
        <x:v>10</x:v>
      </x:c>
      <x:c r="G566" s="7" t="n">
        <x:v>13</x:v>
      </x:c>
      <x:c r="H566" s="7" t="str">
        <x:f>IF(F566&gt;G566,"Win",IF(F566&lt;G566,"Loss","Draw"))</x:f>
        <x:v>Loss</x:v>
      </x:c>
      <x:c r="I566" s="7" t="n">
        <x:f>IF(H566="Win",1,0)</x:f>
        <x:v>0</x:v>
      </x:c>
      <x:c r="J566" s="7" t="n">
        <x:f>F566-G566</x:f>
        <x:v>-3</x:v>
      </x:c>
      <x:c r="K566" s="7" t="n">
        <x:f>F566+G566</x:f>
        <x:v>23</x:v>
      </x:c>
      <x:c r="L566" s="7" t="n">
        <x:v>15</x:v>
      </x:c>
      <x:c r="M566" s="7" t="n">
        <x:v>22</x:v>
      </x:c>
      <x:c r="N566" s="7" t="n">
        <x:v>3</x:v>
      </x:c>
      <x:c r="O566" s="9" t="n">
        <x:f>IF(M566=0,"n.a.",L566/M566)</x:f>
        <x:v>0.6818181818181818</x:v>
      </x:c>
      <x:c r="P566" s="9" t="n">
        <x:f>IF(K566=0,"n.a.",L566/K566)</x:f>
        <x:v>0.6521739130434783</x:v>
      </x:c>
      <x:c r="Q566" s="9" t="n">
        <x:f>IF(K566=0,"n.a.",M566/K566)</x:f>
        <x:v>0.9565217391304348</x:v>
      </x:c>
      <x:c r="R566" s="9" t="n">
        <x:f>IF(K566=0,"n.a.",N566/K566)</x:f>
        <x:v>0.13043478260869565</x:v>
      </x:c>
      <x:c r="S566" s="7" t="n">
        <x:v>-51</x:v>
      </x:c>
      <x:c r="T566" s="10" t="n">
        <x:v>0.22</x:v>
      </x:c>
      <x:c r="U566" s="7" t="n">
        <x:v>191</x:v>
      </x:c>
      <x:c r="V566" s="7" t="n">
        <x:v>270</x:v>
      </x:c>
    </x:row>
    <x:row r="567" ht="16" customHeight="1">
      <x:c r="A567" s="7" t="n">
        <x:v>564</x:v>
      </x:c>
      <x:c r="B567" s="8" t="n">
        <x:v>46085</x:v>
      </x:c>
      <x:c r="C567" s="7" t="str">
        <x:v>Bind</x:v>
      </x:c>
      <x:c r="D567" s="7" t="str">
        <x:v>MVP</x:v>
      </x:c>
      <x:c r="E567" s="7" t="str">
        <x:v>Neon</x:v>
      </x:c>
      <x:c r="F567" s="7" t="n">
        <x:v>11</x:v>
      </x:c>
      <x:c r="G567" s="7" t="n">
        <x:v>13</x:v>
      </x:c>
      <x:c r="H567" s="7" t="str">
        <x:f>IF(F567&gt;G567,"Win",IF(F567&lt;G567,"Loss","Draw"))</x:f>
        <x:v>Loss</x:v>
      </x:c>
      <x:c r="I567" s="7" t="n">
        <x:f>IF(H567="Win",1,0)</x:f>
        <x:v>0</x:v>
      </x:c>
      <x:c r="J567" s="7" t="n">
        <x:f>F567-G567</x:f>
        <x:v>-2</x:v>
      </x:c>
      <x:c r="K567" s="7" t="n">
        <x:f>F567+G567</x:f>
        <x:v>24</x:v>
      </x:c>
      <x:c r="L567" s="7" t="n">
        <x:v>34</x:v>
      </x:c>
      <x:c r="M567" s="7" t="n">
        <x:v>21</x:v>
      </x:c>
      <x:c r="N567" s="7" t="n">
        <x:v>4</x:v>
      </x:c>
      <x:c r="O567" s="9" t="n">
        <x:f>IF(M567=0,"n.a.",L567/M567)</x:f>
        <x:v>1.619047619047619</x:v>
      </x:c>
      <x:c r="P567" s="9" t="n">
        <x:f>IF(K567=0,"n.a.",L567/K567)</x:f>
        <x:v>1.4166666666666667</x:v>
      </x:c>
      <x:c r="Q567" s="9" t="n">
        <x:f>IF(K567=0,"n.a.",M567/K567)</x:f>
        <x:v>0.875</x:v>
      </x:c>
      <x:c r="R567" s="9" t="n">
        <x:f>IF(K567=0,"n.a.",N567/K567)</x:f>
        <x:v>0.16666666666666666</x:v>
      </x:c>
      <x:c r="S567" s="7" t="n">
        <x:v>91</x:v>
      </x:c>
      <x:c r="T567" s="10" t="n">
        <x:v>0.32</x:v>
      </x:c>
      <x:c r="U567" s="7" t="n">
        <x:v>429</x:v>
      </x:c>
      <x:c r="V567" s="7" t="n">
        <x:v>863</x:v>
      </x:c>
    </x:row>
    <x:row r="568" ht="16" customHeight="1">
      <x:c r="A568" s="7" t="n">
        <x:v>565</x:v>
      </x:c>
      <x:c r="B568" s="8" t="n">
        <x:v>46085</x:v>
      </x:c>
      <x:c r="C568" s="7" t="str">
        <x:v>Haven</x:v>
      </x:c>
      <x:c r="D568" s="7" t="str">
        <x:v>2nd</x:v>
      </x:c>
      <x:c r="E568" s="7" t="str">
        <x:v>Neon</x:v>
      </x:c>
      <x:c r="F568" s="7" t="n">
        <x:v>6</x:v>
      </x:c>
      <x:c r="G568" s="7" t="n">
        <x:v>13</x:v>
      </x:c>
      <x:c r="H568" s="7" t="str">
        <x:f>IF(F568&gt;G568,"Win",IF(F568&lt;G568,"Loss","Draw"))</x:f>
        <x:v>Loss</x:v>
      </x:c>
      <x:c r="I568" s="7" t="n">
        <x:f>IF(H568="Win",1,0)</x:f>
        <x:v>0</x:v>
      </x:c>
      <x:c r="J568" s="7" t="n">
        <x:f>F568-G568</x:f>
        <x:v>-7</x:v>
      </x:c>
      <x:c r="K568" s="7" t="n">
        <x:f>F568+G568</x:f>
        <x:v>19</x:v>
      </x:c>
      <x:c r="L568" s="7" t="n">
        <x:v>23</x:v>
      </x:c>
      <x:c r="M568" s="7" t="n">
        <x:v>14</x:v>
      </x:c>
      <x:c r="N568" s="7" t="n">
        <x:v>1</x:v>
      </x:c>
      <x:c r="O568" s="9" t="n">
        <x:f>IF(M568=0,"n.a.",L568/M568)</x:f>
        <x:v>1.6428571428571428</x:v>
      </x:c>
      <x:c r="P568" s="9" t="n">
        <x:f>IF(K568=0,"n.a.",L568/K568)</x:f>
        <x:v>1.2105263157894737</x:v>
      </x:c>
      <x:c r="Q568" s="9" t="n">
        <x:f>IF(K568=0,"n.a.",M568/K568)</x:f>
        <x:v>0.7368421052631579</x:v>
      </x:c>
      <x:c r="R568" s="9" t="n">
        <x:f>IF(K568=0,"n.a.",N568/K568)</x:f>
        <x:v>0.05263157894736842</x:v>
      </x:c>
      <x:c r="S568" s="7" t="n">
        <x:v>36</x:v>
      </x:c>
      <x:c r="T568" s="10" t="n">
        <x:v>0.34</x:v>
      </x:c>
      <x:c r="U568" s="7" t="n">
        <x:v>297</x:v>
      </x:c>
      <x:c r="V568" s="7" t="n">
        <x:v>628</x:v>
      </x:c>
    </x:row>
    <x:row r="569" ht="16" customHeight="1">
      <x:c r="A569" s="7" t="n">
        <x:v>566</x:v>
      </x:c>
      <x:c r="B569" s="8" t="n">
        <x:v>46086</x:v>
      </x:c>
      <x:c r="C569" s="7" t="str">
        <x:v>Bind</x:v>
      </x:c>
      <x:c r="D569" s="7" t="str">
        <x:v>MVP</x:v>
      </x:c>
      <x:c r="E569" s="7" t="str">
        <x:v>Neon</x:v>
      </x:c>
      <x:c r="F569" s="7" t="n">
        <x:v>5</x:v>
      </x:c>
      <x:c r="G569" s="7" t="n">
        <x:v>13</x:v>
      </x:c>
      <x:c r="H569" s="7" t="str">
        <x:f>IF(F569&gt;G569,"Win",IF(F569&lt;G569,"Loss","Draw"))</x:f>
        <x:v>Loss</x:v>
      </x:c>
      <x:c r="I569" s="7" t="n">
        <x:f>IF(H569="Win",1,0)</x:f>
        <x:v>0</x:v>
      </x:c>
      <x:c r="J569" s="7" t="n">
        <x:f>F569-G569</x:f>
        <x:v>-8</x:v>
      </x:c>
      <x:c r="K569" s="7" t="n">
        <x:f>F569+G569</x:f>
        <x:v>18</x:v>
      </x:c>
      <x:c r="L569" s="7" t="n">
        <x:v>23</x:v>
      </x:c>
      <x:c r="M569" s="7" t="n">
        <x:v>16</x:v>
      </x:c>
      <x:c r="N569" s="7" t="n">
        <x:v>3</x:v>
      </x:c>
      <x:c r="O569" s="9" t="n">
        <x:f>IF(M569=0,"n.a.",L569/M569)</x:f>
        <x:v>1.4375</x:v>
      </x:c>
      <x:c r="P569" s="9" t="n">
        <x:f>IF(K569=0,"n.a.",L569/K569)</x:f>
        <x:v>1.2777777777777777</x:v>
      </x:c>
      <x:c r="Q569" s="9" t="n">
        <x:f>IF(K569=0,"n.a.",M569/K569)</x:f>
        <x:v>0.8888888888888888</x:v>
      </x:c>
      <x:c r="R569" s="9" t="n">
        <x:f>IF(K569=0,"n.a.",N569/K569)</x:f>
        <x:v>0.16666666666666666</x:v>
      </x:c>
      <x:c r="S569" s="7" t="n">
        <x:v>53</x:v>
      </x:c>
      <x:c r="T569" s="10" t="n">
        <x:v>0.23</x:v>
      </x:c>
      <x:c r="U569" s="7" t="n">
        <x:v>375</x:v>
      </x:c>
      <x:c r="V569" s="7" t="n">
        <x:v>843</x:v>
      </x:c>
    </x:row>
    <x:row r="570" ht="16" customHeight="1">
      <x:c r="A570" s="7" t="n">
        <x:v>567</x:v>
      </x:c>
      <x:c r="B570" s="8" t="n">
        <x:v>46086</x:v>
      </x:c>
      <x:c r="C570" s="7" t="str">
        <x:v>Haven</x:v>
      </x:c>
      <x:c r="D570" s="7" t="str">
        <x:v>MVP</x:v>
      </x:c>
      <x:c r="E570" s="7" t="str">
        <x:v>Neon</x:v>
      </x:c>
      <x:c r="F570" s="7" t="n">
        <x:v>4</x:v>
      </x:c>
      <x:c r="G570" s="7" t="n">
        <x:v>0</x:v>
      </x:c>
      <x:c r="H570" s="7" t="str">
        <x:f>IF(F570&gt;G570,"Win",IF(F570&lt;G570,"Loss","Draw"))</x:f>
        <x:v>Win</x:v>
      </x:c>
      <x:c r="I570" s="7" t="n">
        <x:f>IF(H570="Win",1,0)</x:f>
        <x:v>1</x:v>
      </x:c>
      <x:c r="J570" s="7" t="n">
        <x:f>F570-G570</x:f>
        <x:v>4</x:v>
      </x:c>
      <x:c r="K570" s="7" t="n">
        <x:f>F570+G570</x:f>
        <x:v>4</x:v>
      </x:c>
      <x:c r="L570" s="7" t="n">
        <x:v>4</x:v>
      </x:c>
      <x:c r="M570" s="7" t="n">
        <x:v>0</x:v>
      </x:c>
      <x:c r="N570" s="7" t="n">
        <x:v>0</x:v>
      </x:c>
      <x:c r="O570" s="9" t="str">
        <x:f>IF(M570=0,"n.a.",L570/M570)</x:f>
        <x:v>n.a.</x:v>
      </x:c>
      <x:c r="P570" s="9" t="n">
        <x:f>IF(K570=0,"n.a.",L570/K570)</x:f>
        <x:v>1</x:v>
      </x:c>
      <x:c r="Q570" s="9" t="n">
        <x:f>IF(K570=0,"n.a.",M570/K570)</x:f>
        <x:v>0</x:v>
      </x:c>
      <x:c r="R570" s="9" t="n">
        <x:f>IF(K570=0,"n.a.",N570/K570)</x:f>
        <x:v>0</x:v>
      </x:c>
      <x:c r="S570" s="7" t="n">
        <x:v>60</x:v>
      </x:c>
      <x:c r="T570" s="10" t="n">
        <x:v>0.13</x:v>
      </x:c>
      <x:c r="U570" s="7" t="n">
        <x:v>185</x:v>
      </x:c>
      <x:c r="V570" s="7" t="n">
        <x:v>797</x:v>
      </x:c>
    </x:row>
    <x:row r="571" ht="16" customHeight="1">
      <x:c r="A571" s="7" t="n">
        <x:v>568</x:v>
      </x:c>
      <x:c r="B571" s="8" t="n">
        <x:v>46086</x:v>
      </x:c>
      <x:c r="C571" s="7" t="str">
        <x:v>Breeze</x:v>
      </x:c>
      <x:c r="D571" s="7" t="str">
        <x:v>MVP</x:v>
      </x:c>
      <x:c r="E571" s="7" t="str">
        <x:v>Neon</x:v>
      </x:c>
      <x:c r="F571" s="7" t="n">
        <x:v>12</x:v>
      </x:c>
      <x:c r="G571" s="7" t="n">
        <x:v>14</x:v>
      </x:c>
      <x:c r="H571" s="7" t="str">
        <x:f>IF(F571&gt;G571,"Win",IF(F571&lt;G571,"Loss","Draw"))</x:f>
        <x:v>Loss</x:v>
      </x:c>
      <x:c r="I571" s="7" t="n">
        <x:f>IF(H571="Win",1,0)</x:f>
        <x:v>0</x:v>
      </x:c>
      <x:c r="J571" s="7" t="n">
        <x:f>F571-G571</x:f>
        <x:v>-2</x:v>
      </x:c>
      <x:c r="K571" s="7" t="n">
        <x:f>F571+G571</x:f>
        <x:v>26</x:v>
      </x:c>
      <x:c r="L571" s="7" t="n">
        <x:v>35</x:v>
      </x:c>
      <x:c r="M571" s="7" t="n">
        <x:v>17</x:v>
      </x:c>
      <x:c r="N571" s="7" t="n">
        <x:v>4</x:v>
      </x:c>
      <x:c r="O571" s="9" t="n">
        <x:f>IF(M571=0,"n.a.",L571/M571)</x:f>
        <x:v>2.0588235294117645</x:v>
      </x:c>
      <x:c r="P571" s="9" t="n">
        <x:f>IF(K571=0,"n.a.",L571/K571)</x:f>
        <x:v>1.3461538461538463</x:v>
      </x:c>
      <x:c r="Q571" s="9" t="n">
        <x:f>IF(K571=0,"n.a.",M571/K571)</x:f>
        <x:v>0.6538461538461539</x:v>
      </x:c>
      <x:c r="R571" s="9" t="n">
        <x:f>IF(K571=0,"n.a.",N571/K571)</x:f>
        <x:v>0.15384615384615385</x:v>
      </x:c>
      <x:c r="S571" s="7" t="n">
        <x:v>87</x:v>
      </x:c>
      <x:c r="T571" s="10" t="n">
        <x:v>0.28</x:v>
      </x:c>
      <x:c r="U571" s="7" t="n">
        <x:v>381</x:v>
      </x:c>
      <x:c r="V571" s="7" t="n">
        <x:v>729</x:v>
      </x:c>
    </x:row>
    <x:row r="572" ht="16" customHeight="1">
      <x:c r="A572" s="7" t="n">
        <x:v>569</x:v>
      </x:c>
      <x:c r="B572" s="8" t="n">
        <x:v>46086</x:v>
      </x:c>
      <x:c r="C572" s="7" t="str">
        <x:v>Bind</x:v>
      </x:c>
      <x:c r="D572" s="7" t="str">
        <x:v>MVP</x:v>
      </x:c>
      <x:c r="E572" s="7" t="str">
        <x:v>Neon</x:v>
      </x:c>
      <x:c r="F572" s="7" t="n">
        <x:v>13</x:v>
      </x:c>
      <x:c r="G572" s="7" t="n">
        <x:v>5</x:v>
      </x:c>
      <x:c r="H572" s="7" t="str">
        <x:f>IF(F572&gt;G572,"Win",IF(F572&lt;G572,"Loss","Draw"))</x:f>
        <x:v>Win</x:v>
      </x:c>
      <x:c r="I572" s="7" t="n">
        <x:f>IF(H572="Win",1,0)</x:f>
        <x:v>1</x:v>
      </x:c>
      <x:c r="J572" s="7" t="n">
        <x:f>F572-G572</x:f>
        <x:v>8</x:v>
      </x:c>
      <x:c r="K572" s="7" t="n">
        <x:f>F572+G572</x:f>
        <x:v>18</x:v>
      </x:c>
      <x:c r="L572" s="7" t="n">
        <x:v>28</x:v>
      </x:c>
      <x:c r="M572" s="7" t="n">
        <x:v>12</x:v>
      </x:c>
      <x:c r="N572" s="7" t="n">
        <x:v>1</x:v>
      </x:c>
      <x:c r="O572" s="9" t="n">
        <x:f>IF(M572=0,"n.a.",L572/M572)</x:f>
        <x:v>2.3333333333333335</x:v>
      </x:c>
      <x:c r="P572" s="9" t="n">
        <x:f>IF(K572=0,"n.a.",L572/K572)</x:f>
        <x:v>1.5555555555555556</x:v>
      </x:c>
      <x:c r="Q572" s="9" t="n">
        <x:f>IF(K572=0,"n.a.",M572/K572)</x:f>
        <x:v>0.6666666666666666</x:v>
      </x:c>
      <x:c r="R572" s="9" t="n">
        <x:f>IF(K572=0,"n.a.",N572/K572)</x:f>
        <x:v>0.05555555555555555</x:v>
      </x:c>
      <x:c r="S572" s="7" t="n">
        <x:v>116</x:v>
      </x:c>
      <x:c r="T572" s="10" t="n">
        <x:v>0.43</x:v>
      </x:c>
      <x:c r="U572" s="7" t="n">
        <x:v>425</x:v>
      </x:c>
      <x:c r="V572" s="7" t="n">
        <x:v>765</x:v>
      </x:c>
    </x:row>
    <x:row r="573" ht="16" customHeight="1">
      <x:c r="A573" s="7" t="n">
        <x:v>570</x:v>
      </x:c>
      <x:c r="B573" s="8" t="n">
        <x:v>46088</x:v>
      </x:c>
      <x:c r="C573" s="7" t="str">
        <x:v>Split</x:v>
      </x:c>
      <x:c r="D573" s="7" t="str">
        <x:v>8th</x:v>
      </x:c>
      <x:c r="E573" s="7" t="str">
        <x:v>Neon</x:v>
      </x:c>
      <x:c r="F573" s="7" t="n">
        <x:v>13</x:v>
      </x:c>
      <x:c r="G573" s="7" t="n">
        <x:v>2</x:v>
      </x:c>
      <x:c r="H573" s="7" t="str">
        <x:f>IF(F573&gt;G573,"Win",IF(F573&lt;G573,"Loss","Draw"))</x:f>
        <x:v>Win</x:v>
      </x:c>
      <x:c r="I573" s="7" t="n">
        <x:f>IF(H573="Win",1,0)</x:f>
        <x:v>1</x:v>
      </x:c>
      <x:c r="J573" s="7" t="n">
        <x:f>F573-G573</x:f>
        <x:v>11</x:v>
      </x:c>
      <x:c r="K573" s="7" t="n">
        <x:f>F573+G573</x:f>
        <x:v>15</x:v>
      </x:c>
      <x:c r="L573" s="7" t="n">
        <x:v>10</x:v>
      </x:c>
      <x:c r="M573" s="7" t="n">
        <x:v>12</x:v>
      </x:c>
      <x:c r="N573" s="7" t="n">
        <x:v>4</x:v>
      </x:c>
      <x:c r="O573" s="9" t="n">
        <x:f>IF(M573=0,"n.a.",L573/M573)</x:f>
        <x:v>0.8333333333333334</x:v>
      </x:c>
      <x:c r="P573" s="9" t="n">
        <x:f>IF(K573=0,"n.a.",L573/K573)</x:f>
        <x:v>0.6666666666666666</x:v>
      </x:c>
      <x:c r="Q573" s="9" t="n">
        <x:f>IF(K573=0,"n.a.",M573/K573)</x:f>
        <x:v>0.8</x:v>
      </x:c>
      <x:c r="R573" s="9" t="n">
        <x:f>IF(K573=0,"n.a.",N573/K573)</x:f>
        <x:v>0.26666666666666666</x:v>
      </x:c>
      <x:c r="S573" s="7" t="n">
        <x:v>-36</x:v>
      </x:c>
      <x:c r="T573" s="10" t="n">
        <x:v>0.3</x:v>
      </x:c>
      <x:c r="U573" s="7" t="n">
        <x:v>175</x:v>
      </x:c>
      <x:c r="V573" s="7" t="n">
        <x:v>558</x:v>
      </x:c>
    </x:row>
    <x:row r="574" ht="16" customHeight="1">
      <x:c r="A574" s="7" t="n">
        <x:v>571</x:v>
      </x:c>
      <x:c r="B574" s="8" t="n">
        <x:v>46093</x:v>
      </x:c>
      <x:c r="C574" s="7" t="str">
        <x:v>Haven</x:v>
      </x:c>
      <x:c r="D574" s="7" t="str">
        <x:v>3rd</x:v>
      </x:c>
      <x:c r="E574" s="7" t="str">
        <x:v>Neon</x:v>
      </x:c>
      <x:c r="F574" s="7" t="n">
        <x:v>13</x:v>
      </x:c>
      <x:c r="G574" s="7" t="n">
        <x:v>15</x:v>
      </x:c>
      <x:c r="H574" s="7" t="str">
        <x:f>IF(F574&gt;G574,"Win",IF(F574&lt;G574,"Loss","Draw"))</x:f>
        <x:v>Loss</x:v>
      </x:c>
      <x:c r="I574" s="7" t="n">
        <x:f>IF(H574="Win",1,0)</x:f>
        <x:v>0</x:v>
      </x:c>
      <x:c r="J574" s="7" t="n">
        <x:f>F574-G574</x:f>
        <x:v>-2</x:v>
      </x:c>
      <x:c r="K574" s="7" t="n">
        <x:f>F574+G574</x:f>
        <x:v>28</x:v>
      </x:c>
      <x:c r="L574" s="7" t="n">
        <x:v>23</x:v>
      </x:c>
      <x:c r="M574" s="7" t="n">
        <x:v>21</x:v>
      </x:c>
      <x:c r="N574" s="7" t="n">
        <x:v>8</x:v>
      </x:c>
      <x:c r="O574" s="9" t="n">
        <x:f>IF(M574=0,"n.a.",L574/M574)</x:f>
        <x:v>1.0952380952380953</x:v>
      </x:c>
      <x:c r="P574" s="9" t="n">
        <x:f>IF(K574=0,"n.a.",L574/K574)</x:f>
        <x:v>0.8214285714285714</x:v>
      </x:c>
      <x:c r="Q574" s="9" t="n">
        <x:f>IF(K574=0,"n.a.",M574/K574)</x:f>
        <x:v>0.75</x:v>
      </x:c>
      <x:c r="R574" s="9" t="n">
        <x:f>IF(K574=0,"n.a.",N574/K574)</x:f>
        <x:v>0.2857142857142857</x:v>
      </x:c>
      <x:c r="S574" s="7" t="n">
        <x:v>4</x:v>
      </x:c>
      <x:c r="T574" s="10" t="n">
        <x:v>0.27</x:v>
      </x:c>
      <x:c r="U574" s="7" t="n">
        <x:v>246</x:v>
      </x:c>
      <x:c r="V574" s="7" t="n">
        <x:v>513</x:v>
      </x:c>
    </x:row>
    <x:row r="575" ht="16" customHeight="1">
      <x:c r="A575" s="7" t="n">
        <x:v>572</x:v>
      </x:c>
      <x:c r="B575" s="8" t="n">
        <x:v>46094</x:v>
      </x:c>
      <x:c r="C575" s="7" t="str">
        <x:v>Pearl</x:v>
      </x:c>
      <x:c r="D575" s="7" t="str">
        <x:v>4th</x:v>
      </x:c>
      <x:c r="E575" s="7" t="str">
        <x:v>Neon</x:v>
      </x:c>
      <x:c r="F575" s="7" t="n">
        <x:v>13</x:v>
      </x:c>
      <x:c r="G575" s="7" t="n">
        <x:v>3</x:v>
      </x:c>
      <x:c r="H575" s="7" t="str">
        <x:f>IF(F575&gt;G575,"Win",IF(F575&lt;G575,"Loss","Draw"))</x:f>
        <x:v>Win</x:v>
      </x:c>
      <x:c r="I575" s="7" t="n">
        <x:f>IF(H575="Win",1,0)</x:f>
        <x:v>1</x:v>
      </x:c>
      <x:c r="J575" s="7" t="n">
        <x:f>F575-G575</x:f>
        <x:v>10</x:v>
      </x:c>
      <x:c r="K575" s="7" t="n">
        <x:f>F575+G575</x:f>
        <x:v>16</x:v>
      </x:c>
      <x:c r="L575" s="7" t="n">
        <x:v>16</x:v>
      </x:c>
      <x:c r="M575" s="7" t="n">
        <x:v>9</x:v>
      </x:c>
      <x:c r="N575" s="7" t="n">
        <x:v>4</x:v>
      </x:c>
      <x:c r="O575" s="9" t="n">
        <x:f>IF(M575=0,"n.a.",L575/M575)</x:f>
        <x:v>1.7777777777777777</x:v>
      </x:c>
      <x:c r="P575" s="9" t="n">
        <x:f>IF(K575=0,"n.a.",L575/K575)</x:f>
        <x:v>1</x:v>
      </x:c>
      <x:c r="Q575" s="9" t="n">
        <x:f>IF(K575=0,"n.a.",M575/K575)</x:f>
        <x:v>0.5625</x:v>
      </x:c>
      <x:c r="R575" s="9" t="n">
        <x:f>IF(K575=0,"n.a.",N575/K575)</x:f>
        <x:v>0.25</x:v>
      </x:c>
      <x:c r="S575" s="7" t="n">
        <x:v>36</x:v>
      </x:c>
      <x:c r="T575" s="10" t="n">
        <x:v>0.23</x:v>
      </x:c>
      <x:c r="U575" s="7" t="n">
        <x:v>277</x:v>
      </x:c>
      <x:c r="V575" s="7" t="n">
        <x:v>850</x:v>
      </x:c>
    </x:row>
    <x:row r="576" ht="16" customHeight="1">
      <x:c r="A576" s="7" t="n">
        <x:v>573</x:v>
      </x:c>
      <x:c r="B576" s="8" t="n">
        <x:v>46094</x:v>
      </x:c>
      <x:c r="C576" s="7" t="str">
        <x:v>Breeze</x:v>
      </x:c>
      <x:c r="D576" s="7" t="str">
        <x:v>3rd</x:v>
      </x:c>
      <x:c r="E576" s="7" t="str">
        <x:v>Neon</x:v>
      </x:c>
      <x:c r="F576" s="7" t="n">
        <x:v>13</x:v>
      </x:c>
      <x:c r="G576" s="7" t="n">
        <x:v>10</x:v>
      </x:c>
      <x:c r="H576" s="7" t="str">
        <x:f>IF(F576&gt;G576,"Win",IF(F576&lt;G576,"Loss","Draw"))</x:f>
        <x:v>Win</x:v>
      </x:c>
      <x:c r="I576" s="7" t="n">
        <x:f>IF(H576="Win",1,0)</x:f>
        <x:v>1</x:v>
      </x:c>
      <x:c r="J576" s="7" t="n">
        <x:f>F576-G576</x:f>
        <x:v>3</x:v>
      </x:c>
      <x:c r="K576" s="7" t="n">
        <x:f>F576+G576</x:f>
        <x:v>23</x:v>
      </x:c>
      <x:c r="L576" s="7" t="n">
        <x:v>22</x:v>
      </x:c>
      <x:c r="M576" s="7" t="n">
        <x:v>17</x:v>
      </x:c>
      <x:c r="N576" s="7" t="n">
        <x:v>4</x:v>
      </x:c>
      <x:c r="O576" s="9" t="n">
        <x:f>IF(M576=0,"n.a.",L576/M576)</x:f>
        <x:v>1.2941176470588236</x:v>
      </x:c>
      <x:c r="P576" s="9" t="n">
        <x:f>IF(K576=0,"n.a.",L576/K576)</x:f>
        <x:v>0.9565217391304348</x:v>
      </x:c>
      <x:c r="Q576" s="9" t="n">
        <x:f>IF(K576=0,"n.a.",M576/K576)</x:f>
        <x:v>0.7391304347826086</x:v>
      </x:c>
      <x:c r="R576" s="9" t="n">
        <x:f>IF(K576=0,"n.a.",N576/K576)</x:f>
        <x:v>0.17391304347826086</x:v>
      </x:c>
      <x:c r="S576" s="7" t="n">
        <x:v>5</x:v>
      </x:c>
      <x:c r="T576" s="10" t="n">
        <x:v>0.24</x:v>
      </x:c>
      <x:c r="U576" s="7" t="n">
        <x:v>264</x:v>
      </x:c>
      <x:c r="V576" s="7" t="n">
        <x:v>665</x:v>
      </x:c>
    </x:row>
    <x:row r="577" ht="16" customHeight="1">
      <x:c r="A577" s="7" t="n">
        <x:v>574</x:v>
      </x:c>
      <x:c r="B577" s="8" t="n">
        <x:v>46094</x:v>
      </x:c>
      <x:c r="C577" s="7" t="str">
        <x:v>Split</x:v>
      </x:c>
      <x:c r="D577" s="7" t="str">
        <x:v>8th</x:v>
      </x:c>
      <x:c r="E577" s="7" t="str">
        <x:v>Sage</x:v>
      </x:c>
      <x:c r="F577" s="7" t="n">
        <x:v>13</x:v>
      </x:c>
      <x:c r="G577" s="7" t="n">
        <x:v>3</x:v>
      </x:c>
      <x:c r="H577" s="7" t="str">
        <x:f>IF(F577&gt;G577,"Win",IF(F577&lt;G577,"Loss","Draw"))</x:f>
        <x:v>Win</x:v>
      </x:c>
      <x:c r="I577" s="7" t="n">
        <x:f>IF(H577="Win",1,0)</x:f>
        <x:v>1</x:v>
      </x:c>
      <x:c r="J577" s="7" t="n">
        <x:f>F577-G577</x:f>
        <x:v>10</x:v>
      </x:c>
      <x:c r="K577" s="7" t="n">
        <x:f>F577+G577</x:f>
        <x:v>16</x:v>
      </x:c>
      <x:c r="L577" s="7" t="n">
        <x:v>9</x:v>
      </x:c>
      <x:c r="M577" s="7" t="n">
        <x:v>10</x:v>
      </x:c>
      <x:c r="N577" s="7" t="n">
        <x:v>1</x:v>
      </x:c>
      <x:c r="O577" s="9" t="n">
        <x:f>IF(M577=0,"n.a.",L577/M577)</x:f>
        <x:v>0.9</x:v>
      </x:c>
      <x:c r="P577" s="9" t="n">
        <x:f>IF(K577=0,"n.a.",L577/K577)</x:f>
        <x:v>0.5625</x:v>
      </x:c>
      <x:c r="Q577" s="9" t="n">
        <x:f>IF(K577=0,"n.a.",M577/K577)</x:f>
        <x:v>0.625</x:v>
      </x:c>
      <x:c r="R577" s="9" t="n">
        <x:f>IF(K577=0,"n.a.",N577/K577)</x:f>
        <x:v>0.0625</x:v>
      </x:c>
      <x:c r="S577" s="7" t="n">
        <x:v>-32</x:v>
      </x:c>
      <x:c r="T577" s="10" t="n">
        <x:v>0.39</x:v>
      </x:c>
      <x:c r="U577" s="7" t="n">
        <x:v>137</x:v>
      </x:c>
      <x:c r="V577" s="7" t="n">
        <x:v>515</x:v>
      </x:c>
    </x:row>
    <x:row r="578" ht="16" customHeight="1">
      <x:c r="A578" s="7" t="n">
        <x:v>575</x:v>
      </x:c>
      <x:c r="B578" s="8" t="n">
        <x:v>46095</x:v>
      </x:c>
      <x:c r="C578" s="7" t="str">
        <x:v>Split</x:v>
      </x:c>
      <x:c r="D578" s="7" t="str">
        <x:v>2nd</x:v>
      </x:c>
      <x:c r="E578" s="7" t="str">
        <x:v>Neon</x:v>
      </x:c>
      <x:c r="F578" s="7" t="n">
        <x:v>8</x:v>
      </x:c>
      <x:c r="G578" s="7" t="n">
        <x:v>13</x:v>
      </x:c>
      <x:c r="H578" s="7" t="str">
        <x:f>IF(F578&gt;G578,"Win",IF(F578&lt;G578,"Loss","Draw"))</x:f>
        <x:v>Loss</x:v>
      </x:c>
      <x:c r="I578" s="7" t="n">
        <x:f>IF(H578="Win",1,0)</x:f>
        <x:v>0</x:v>
      </x:c>
      <x:c r="J578" s="7" t="n">
        <x:f>F578-G578</x:f>
        <x:v>-5</x:v>
      </x:c>
      <x:c r="K578" s="7" t="n">
        <x:f>F578+G578</x:f>
        <x:v>21</x:v>
      </x:c>
      <x:c r="L578" s="7" t="n">
        <x:v>26</x:v>
      </x:c>
      <x:c r="M578" s="7" t="n">
        <x:v>15</x:v>
      </x:c>
      <x:c r="N578" s="7" t="n">
        <x:v>5</x:v>
      </x:c>
      <x:c r="O578" s="9" t="n">
        <x:f>IF(M578=0,"n.a.",L578/M578)</x:f>
        <x:v>1.7333333333333334</x:v>
      </x:c>
      <x:c r="P578" s="9" t="n">
        <x:f>IF(K578=0,"n.a.",L578/K578)</x:f>
        <x:v>1.2380952380952381</x:v>
      </x:c>
      <x:c r="Q578" s="9" t="n">
        <x:f>IF(K578=0,"n.a.",M578/K578)</x:f>
        <x:v>0.7142857142857143</x:v>
      </x:c>
      <x:c r="R578" s="9" t="n">
        <x:f>IF(K578=0,"n.a.",N578/K578)</x:f>
        <x:v>0.23809523809523808</x:v>
      </x:c>
      <x:c r="S578" s="7" t="n">
        <x:v>59</x:v>
      </x:c>
      <x:c r="T578" s="10" t="n">
        <x:v>0.19</x:v>
      </x:c>
      <x:c r="U578" s="7" t="n">
        <x:v>358</x:v>
      </x:c>
      <x:c r="V578" s="7" t="n">
        <x:v>824</x:v>
      </x:c>
    </x:row>
    <x:row r="579" ht="16" customHeight="1">
      <x:c r="A579" s="7" t="n">
        <x:v>576</x:v>
      </x:c>
      <x:c r="B579" s="8" t="n">
        <x:v>46095</x:v>
      </x:c>
      <x:c r="C579" s="7" t="str">
        <x:v>Pearl</x:v>
      </x:c>
      <x:c r="D579" s="7" t="str">
        <x:v>4th</x:v>
      </x:c>
      <x:c r="E579" s="7" t="str">
        <x:v>Neon</x:v>
      </x:c>
      <x:c r="F579" s="7" t="n">
        <x:v>9</x:v>
      </x:c>
      <x:c r="G579" s="7" t="n">
        <x:v>13</x:v>
      </x:c>
      <x:c r="H579" s="7" t="str">
        <x:f>IF(F579&gt;G579,"Win",IF(F579&lt;G579,"Loss","Draw"))</x:f>
        <x:v>Loss</x:v>
      </x:c>
      <x:c r="I579" s="7" t="n">
        <x:f>IF(H579="Win",1,0)</x:f>
        <x:v>0</x:v>
      </x:c>
      <x:c r="J579" s="7" t="n">
        <x:f>F579-G579</x:f>
        <x:v>-4</x:v>
      </x:c>
      <x:c r="K579" s="7" t="n">
        <x:f>F579+G579</x:f>
        <x:v>22</x:v>
      </x:c>
      <x:c r="L579" s="7" t="n">
        <x:v>18</x:v>
      </x:c>
      <x:c r="M579" s="7" t="n">
        <x:v>21</x:v>
      </x:c>
      <x:c r="N579" s="7" t="n">
        <x:v>2</x:v>
      </x:c>
      <x:c r="O579" s="9" t="n">
        <x:f>IF(M579=0,"n.a.",L579/M579)</x:f>
        <x:v>0.8571428571428571</x:v>
      </x:c>
      <x:c r="P579" s="9" t="n">
        <x:f>IF(K579=0,"n.a.",L579/K579)</x:f>
        <x:v>0.8181818181818182</x:v>
      </x:c>
      <x:c r="Q579" s="9" t="n">
        <x:f>IF(K579=0,"n.a.",M579/K579)</x:f>
        <x:v>0.9545454545454546</x:v>
      </x:c>
      <x:c r="R579" s="9" t="n">
        <x:f>IF(K579=0,"n.a.",N579/K579)</x:f>
        <x:v>0.09090909090909091</x:v>
      </x:c>
      <x:c r="S579" s="7" t="n">
        <x:v>-52</x:v>
      </x:c>
      <x:c r="T579" s="10" t="n">
        <x:v>0.17</x:v>
      </x:c>
      <x:c r="U579" s="7" t="n">
        <x:v>222</x:v>
      </x:c>
      <x:c r="V579" s="7" t="n">
        <x:v>382</x:v>
      </x:c>
    </x:row>
    <x:row r="580" ht="16" customHeight="1">
      <x:c r="A580" s="7" t="n">
        <x:v>577</x:v>
      </x:c>
      <x:c r="B580" s="8" t="n">
        <x:v>46095</x:v>
      </x:c>
      <x:c r="C580" s="7" t="str">
        <x:v>Corrode</x:v>
      </x:c>
      <x:c r="D580" s="7" t="str">
        <x:v>MVP</x:v>
      </x:c>
      <x:c r="E580" s="7" t="str">
        <x:v>Neon</x:v>
      </x:c>
      <x:c r="F580" s="7" t="n">
        <x:v>13</x:v>
      </x:c>
      <x:c r="G580" s="7" t="n">
        <x:v>6</x:v>
      </x:c>
      <x:c r="H580" s="7" t="str">
        <x:f>IF(F580&gt;G580,"Win",IF(F580&lt;G580,"Loss","Draw"))</x:f>
        <x:v>Win</x:v>
      </x:c>
      <x:c r="I580" s="7" t="n">
        <x:f>IF(H580="Win",1,0)</x:f>
        <x:v>1</x:v>
      </x:c>
      <x:c r="J580" s="7" t="n">
        <x:f>F580-G580</x:f>
        <x:v>7</x:v>
      </x:c>
      <x:c r="K580" s="7" t="n">
        <x:f>F580+G580</x:f>
        <x:v>19</x:v>
      </x:c>
      <x:c r="L580" s="7" t="n">
        <x:v>33</x:v>
      </x:c>
      <x:c r="M580" s="7" t="n">
        <x:v>7</x:v>
      </x:c>
      <x:c r="N580" s="7" t="n">
        <x:v>1</x:v>
      </x:c>
      <x:c r="O580" s="9" t="n">
        <x:f>IF(M580=0,"n.a.",L580/M580)</x:f>
        <x:v>4.714285714285714</x:v>
      </x:c>
      <x:c r="P580" s="9" t="n">
        <x:f>IF(K580=0,"n.a.",L580/K580)</x:f>
        <x:v>1.736842105263158</x:v>
      </x:c>
      <x:c r="Q580" s="9" t="n">
        <x:f>IF(K580=0,"n.a.",M580/K580)</x:f>
        <x:v>0.3684210526315789</x:v>
      </x:c>
      <x:c r="R580" s="9" t="n">
        <x:f>IF(K580=0,"n.a.",N580/K580)</x:f>
        <x:v>0.05263157894736842</x:v>
      </x:c>
      <x:c r="S580" s="7" t="n">
        <x:v>166</x:v>
      </x:c>
      <x:c r="T580" s="10" t="n">
        <x:v>0.3</x:v>
      </x:c>
      <x:c r="U580" s="7" t="n">
        <x:v>421</x:v>
      </x:c>
      <x:c r="V580" s="7" t="n">
        <x:v>1000</x:v>
      </x:c>
    </x:row>
    <x:row r="581" ht="16" customHeight="1">
      <x:c r="A581" s="7" t="n">
        <x:v>578</x:v>
      </x:c>
      <x:c r="B581" s="8" t="n">
        <x:v>46095</x:v>
      </x:c>
      <x:c r="C581" s="7" t="str">
        <x:v>Abyss</x:v>
      </x:c>
      <x:c r="D581" s="7" t="str">
        <x:v>7th</x:v>
      </x:c>
      <x:c r="E581" s="7" t="str">
        <x:v>Neon</x:v>
      </x:c>
      <x:c r="F581" s="7" t="n">
        <x:v>13</x:v>
      </x:c>
      <x:c r="G581" s="7" t="n">
        <x:v>11</x:v>
      </x:c>
      <x:c r="H581" s="7" t="str">
        <x:f>IF(F581&gt;G581,"Win",IF(F581&lt;G581,"Loss","Draw"))</x:f>
        <x:v>Win</x:v>
      </x:c>
      <x:c r="I581" s="7" t="n">
        <x:f>IF(H581="Win",1,0)</x:f>
        <x:v>1</x:v>
      </x:c>
      <x:c r="J581" s="7" t="n">
        <x:f>F581-G581</x:f>
        <x:v>2</x:v>
      </x:c>
      <x:c r="K581" s="7" t="n">
        <x:f>F581+G581</x:f>
        <x:v>24</x:v>
      </x:c>
      <x:c r="L581" s="7" t="n">
        <x:v>20</x:v>
      </x:c>
      <x:c r="M581" s="7" t="n">
        <x:v>18</x:v>
      </x:c>
      <x:c r="N581" s="7" t="n">
        <x:v>3</x:v>
      </x:c>
      <x:c r="O581" s="9" t="n">
        <x:f>IF(M581=0,"n.a.",L581/M581)</x:f>
        <x:v>1.1111111111111112</x:v>
      </x:c>
      <x:c r="P581" s="9" t="n">
        <x:f>IF(K581=0,"n.a.",L581/K581)</x:f>
        <x:v>0.8333333333333334</x:v>
      </x:c>
      <x:c r="Q581" s="9" t="n">
        <x:f>IF(K581=0,"n.a.",M581/K581)</x:f>
        <x:v>0.75</x:v>
      </x:c>
      <x:c r="R581" s="9" t="n">
        <x:f>IF(K581=0,"n.a.",N581/K581)</x:f>
        <x:v>0.125</x:v>
      </x:c>
      <x:c r="S581" s="7" t="n">
        <x:v>-26</x:v>
      </x:c>
      <x:c r="T581" s="10" t="n">
        <x:v>0.16</x:v>
      </x:c>
      <x:c r="U581" s="7" t="n">
        <x:v>209</x:v>
      </x:c>
      <x:c r="V581" s="7" t="n">
        <x:v>421</x:v>
      </x:c>
    </x:row>
    <x:row r="582" ht="16" customHeight="1">
      <x:c r="A582" s="7" t="n">
        <x:v>579</x:v>
      </x:c>
      <x:c r="B582" s="8" t="n">
        <x:v>46095</x:v>
      </x:c>
      <x:c r="C582" s="7" t="str">
        <x:v>Bind</x:v>
      </x:c>
      <x:c r="D582" s="7" t="str">
        <x:v>2nd</x:v>
      </x:c>
      <x:c r="E582" s="7" t="str">
        <x:v>Neon</x:v>
      </x:c>
      <x:c r="F582" s="7" t="n">
        <x:v>13</x:v>
      </x:c>
      <x:c r="G582" s="7" t="n">
        <x:v>5</x:v>
      </x:c>
      <x:c r="H582" s="7" t="str">
        <x:f>IF(F582&gt;G582,"Win",IF(F582&lt;G582,"Loss","Draw"))</x:f>
        <x:v>Win</x:v>
      </x:c>
      <x:c r="I582" s="7" t="n">
        <x:f>IF(H582="Win",1,0)</x:f>
        <x:v>1</x:v>
      </x:c>
      <x:c r="J582" s="7" t="n">
        <x:f>F582-G582</x:f>
        <x:v>8</x:v>
      </x:c>
      <x:c r="K582" s="7" t="n">
        <x:f>F582+G582</x:f>
        <x:v>18</x:v>
      </x:c>
      <x:c r="L582" s="7" t="n">
        <x:v>23</x:v>
      </x:c>
      <x:c r="M582" s="7" t="n">
        <x:v>11</x:v>
      </x:c>
      <x:c r="N582" s="7" t="n">
        <x:v>0</x:v>
      </x:c>
      <x:c r="O582" s="9" t="n">
        <x:f>IF(M582=0,"n.a.",L582/M582)</x:f>
        <x:v>2.090909090909091</x:v>
      </x:c>
      <x:c r="P582" s="9" t="n">
        <x:f>IF(K582=0,"n.a.",L582/K582)</x:f>
        <x:v>1.2777777777777777</x:v>
      </x:c>
      <x:c r="Q582" s="9" t="n">
        <x:f>IF(K582=0,"n.a.",M582/K582)</x:f>
        <x:v>0.6111111111111112</x:v>
      </x:c>
      <x:c r="R582" s="9" t="n">
        <x:f>IF(K582=0,"n.a.",N582/K582)</x:f>
        <x:v>0</x:v>
      </x:c>
      <x:c r="S582" s="7" t="n">
        <x:v>77</x:v>
      </x:c>
      <x:c r="T582" s="10" t="n">
        <x:v>0.24</x:v>
      </x:c>
      <x:c r="U582" s="7" t="n">
        <x:v>314</x:v>
      </x:c>
      <x:c r="V582" s="7" t="n">
        <x:v>895</x:v>
      </x:c>
    </x:row>
    <x:row r="583" ht="16" customHeight="1">
      <x:c r="A583" s="7" t="n">
        <x:v>580</x:v>
      </x:c>
      <x:c r="B583" s="8" t="n">
        <x:v>46095</x:v>
      </x:c>
      <x:c r="C583" s="7" t="str">
        <x:v>Split</x:v>
      </x:c>
      <x:c r="D583" s="7" t="str">
        <x:v>4th</x:v>
      </x:c>
      <x:c r="E583" s="7" t="str">
        <x:v>Neon</x:v>
      </x:c>
      <x:c r="F583" s="7" t="n">
        <x:v>8</x:v>
      </x:c>
      <x:c r="G583" s="7" t="n">
        <x:v>13</x:v>
      </x:c>
      <x:c r="H583" s="7" t="str">
        <x:f>IF(F583&gt;G583,"Win",IF(F583&lt;G583,"Loss","Draw"))</x:f>
        <x:v>Loss</x:v>
      </x:c>
      <x:c r="I583" s="7" t="n">
        <x:f>IF(H583="Win",1,0)</x:f>
        <x:v>0</x:v>
      </x:c>
      <x:c r="J583" s="7" t="n">
        <x:f>F583-G583</x:f>
        <x:v>-5</x:v>
      </x:c>
      <x:c r="K583" s="7" t="n">
        <x:f>F583+G583</x:f>
        <x:v>21</x:v>
      </x:c>
      <x:c r="L583" s="7" t="n">
        <x:v>20</x:v>
      </x:c>
      <x:c r="M583" s="7" t="n">
        <x:v>19</x:v>
      </x:c>
      <x:c r="N583" s="7" t="n">
        <x:v>1</x:v>
      </x:c>
      <x:c r="O583" s="9" t="n">
        <x:f>IF(M583=0,"n.a.",L583/M583)</x:f>
        <x:v>1.0526315789473684</x:v>
      </x:c>
      <x:c r="P583" s="9" t="n">
        <x:f>IF(K583=0,"n.a.",L583/K583)</x:f>
        <x:v>0.9523809523809523</x:v>
      </x:c>
      <x:c r="Q583" s="9" t="n">
        <x:f>IF(K583=0,"n.a.",M583/K583)</x:f>
        <x:v>0.9047619047619048</x:v>
      </x:c>
      <x:c r="R583" s="9" t="n">
        <x:f>IF(K583=0,"n.a.",N583/K583)</x:f>
        <x:v>0.047619047619047616</x:v>
      </x:c>
      <x:c r="S583" s="7" t="n">
        <x:v>-12</x:v>
      </x:c>
      <x:c r="T583" s="10" t="n">
        <x:v>0.28</x:v>
      </x:c>
      <x:c r="U583" s="7" t="n">
        <x:v>259</x:v>
      </x:c>
      <x:c r="V583" s="7" t="n">
        <x:v>478</x:v>
      </x:c>
    </x:row>
    <x:row r="584" ht="16" customHeight="1">
      <x:c r="A584" s="7" t="n">
        <x:v>581</x:v>
      </x:c>
      <x:c r="B584" s="8" t="n">
        <x:v>46095</x:v>
      </x:c>
      <x:c r="C584" s="7" t="str">
        <x:v>Pearl</x:v>
      </x:c>
      <x:c r="D584" s="7" t="str">
        <x:v>7th</x:v>
      </x:c>
      <x:c r="E584" s="7" t="str">
        <x:v>Neon</x:v>
      </x:c>
      <x:c r="F584" s="7" t="n">
        <x:v>13</x:v>
      </x:c>
      <x:c r="G584" s="7" t="n">
        <x:v>6</x:v>
      </x:c>
      <x:c r="H584" s="7" t="str">
        <x:f>IF(F584&gt;G584,"Win",IF(F584&lt;G584,"Loss","Draw"))</x:f>
        <x:v>Win</x:v>
      </x:c>
      <x:c r="I584" s="7" t="n">
        <x:f>IF(H584="Win",1,0)</x:f>
        <x:v>1</x:v>
      </x:c>
      <x:c r="J584" s="7" t="n">
        <x:f>F584-G584</x:f>
        <x:v>7</x:v>
      </x:c>
      <x:c r="K584" s="7" t="n">
        <x:f>F584+G584</x:f>
        <x:v>19</x:v>
      </x:c>
      <x:c r="L584" s="7" t="n">
        <x:v>12</x:v>
      </x:c>
      <x:c r="M584" s="7" t="n">
        <x:v>11</x:v>
      </x:c>
      <x:c r="N584" s="7" t="n">
        <x:v>3</x:v>
      </x:c>
      <x:c r="O584" s="9" t="n">
        <x:f>IF(M584=0,"n.a.",L584/M584)</x:f>
        <x:v>1.0909090909090908</x:v>
      </x:c>
      <x:c r="P584" s="9" t="n">
        <x:f>IF(K584=0,"n.a.",L584/K584)</x:f>
        <x:v>0.631578947368421</x:v>
      </x:c>
      <x:c r="Q584" s="9" t="n">
        <x:f>IF(K584=0,"n.a.",M584/K584)</x:f>
        <x:v>0.5789473684210527</x:v>
      </x:c>
      <x:c r="R584" s="9" t="n">
        <x:f>IF(K584=0,"n.a.",N584/K584)</x:f>
        <x:v>0.15789473684210525</x:v>
      </x:c>
      <x:c r="S584" s="7" t="n">
        <x:v>24</x:v>
      </x:c>
      <x:c r="T584" s="10" t="n">
        <x:v>0.2</x:v>
      </x:c>
      <x:c r="U584" s="7" t="n">
        <x:v>184</x:v>
      </x:c>
      <x:c r="V584" s="7" t="n">
        <x:v>535</x:v>
      </x:c>
    </x:row>
    <x:row r="585" ht="16" customHeight="1">
      <x:c r="A585" s="7" t="n">
        <x:v>582</x:v>
      </x:c>
      <x:c r="B585" s="8" t="n">
        <x:v>46096</x:v>
      </x:c>
      <x:c r="C585" s="7" t="str">
        <x:v>Breeze</x:v>
      </x:c>
      <x:c r="D585" s="7" t="str">
        <x:v>10th</x:v>
      </x:c>
      <x:c r="E585" s="7" t="str">
        <x:v>Neon</x:v>
      </x:c>
      <x:c r="F585" s="7" t="n">
        <x:v>10</x:v>
      </x:c>
      <x:c r="G585" s="7" t="n">
        <x:v>13</x:v>
      </x:c>
      <x:c r="H585" s="7" t="str">
        <x:f>IF(F585&gt;G585,"Win",IF(F585&lt;G585,"Loss","Draw"))</x:f>
        <x:v>Loss</x:v>
      </x:c>
      <x:c r="I585" s="7" t="n">
        <x:f>IF(H585="Win",1,0)</x:f>
        <x:v>0</x:v>
      </x:c>
      <x:c r="J585" s="7" t="n">
        <x:f>F585-G585</x:f>
        <x:v>-3</x:v>
      </x:c>
      <x:c r="K585" s="7" t="n">
        <x:f>F585+G585</x:f>
        <x:v>23</x:v>
      </x:c>
      <x:c r="L585" s="7" t="n">
        <x:v>11</x:v>
      </x:c>
      <x:c r="M585" s="7" t="n">
        <x:v>17</x:v>
      </x:c>
      <x:c r="N585" s="7" t="n">
        <x:v>1</x:v>
      </x:c>
      <x:c r="O585" s="9" t="n">
        <x:f>IF(M585=0,"n.a.",L585/M585)</x:f>
        <x:v>0.6470588235294118</x:v>
      </x:c>
      <x:c r="P585" s="9" t="n">
        <x:f>IF(K585=0,"n.a.",L585/K585)</x:f>
        <x:v>0.4782608695652174</x:v>
      </x:c>
      <x:c r="Q585" s="9" t="n">
        <x:f>IF(K585=0,"n.a.",M585/K585)</x:f>
        <x:v>0.7391304347826086</x:v>
      </x:c>
      <x:c r="R585" s="9" t="n">
        <x:f>IF(K585=0,"n.a.",N585/K585)</x:f>
        <x:v>0.043478260869565216</x:v>
      </x:c>
      <x:c r="S585" s="7" t="n">
        <x:v>-93</x:v>
      </x:c>
      <x:c r="T585" s="10" t="n">
        <x:v>0.19</x:v>
      </x:c>
      <x:c r="U585" s="7" t="n">
        <x:v>112</x:v>
      </x:c>
      <x:c r="V585" s="7" t="n">
        <x:v>153</x:v>
      </x:c>
    </x:row>
    <x:row r="586" ht="16" customHeight="1">
      <x:c r="A586" s="7" t="n">
        <x:v>583</x:v>
      </x:c>
      <x:c r="B586" s="8" t="n">
        <x:v>46096</x:v>
      </x:c>
      <x:c r="C586" s="7" t="str">
        <x:v>Bind</x:v>
      </x:c>
      <x:c r="D586" s="7" t="str">
        <x:v>3rd</x:v>
      </x:c>
      <x:c r="E586" s="7" t="str">
        <x:v>Neon</x:v>
      </x:c>
      <x:c r="F586" s="7" t="n">
        <x:v>13</x:v>
      </x:c>
      <x:c r="G586" s="7" t="n">
        <x:v>7</x:v>
      </x:c>
      <x:c r="H586" s="7" t="str">
        <x:f>IF(F586&gt;G586,"Win",IF(F586&lt;G586,"Loss","Draw"))</x:f>
        <x:v>Win</x:v>
      </x:c>
      <x:c r="I586" s="7" t="n">
        <x:f>IF(H586="Win",1,0)</x:f>
        <x:v>1</x:v>
      </x:c>
      <x:c r="J586" s="7" t="n">
        <x:f>F586-G586</x:f>
        <x:v>6</x:v>
      </x:c>
      <x:c r="K586" s="7" t="n">
        <x:f>F586+G586</x:f>
        <x:v>20</x:v>
      </x:c>
      <x:c r="L586" s="7" t="n">
        <x:v>19</x:v>
      </x:c>
      <x:c r="M586" s="7" t="n">
        <x:v>14</x:v>
      </x:c>
      <x:c r="N586" s="7" t="n">
        <x:v>5</x:v>
      </x:c>
      <x:c r="O586" s="9" t="n">
        <x:f>IF(M586=0,"n.a.",L586/M586)</x:f>
        <x:v>1.3571428571428572</x:v>
      </x:c>
      <x:c r="P586" s="9" t="n">
        <x:f>IF(K586=0,"n.a.",L586/K586)</x:f>
        <x:v>0.95</x:v>
      </x:c>
      <x:c r="Q586" s="9" t="n">
        <x:f>IF(K586=0,"n.a.",M586/K586)</x:f>
        <x:v>0.7</x:v>
      </x:c>
      <x:c r="R586" s="9" t="n">
        <x:f>IF(K586=0,"n.a.",N586/K586)</x:f>
        <x:v>0.25</x:v>
      </x:c>
      <x:c r="S586" s="7" t="n">
        <x:v>11</x:v>
      </x:c>
      <x:c r="T586" s="10" t="n">
        <x:v>0.23</x:v>
      </x:c>
      <x:c r="U586" s="7" t="n">
        <x:v>254</x:v>
      </x:c>
      <x:c r="V586" s="7" t="n">
        <x:v>811</x:v>
      </x:c>
    </x:row>
    <x:row r="587" ht="16" customHeight="1">
      <x:c r="A587" s="7" t="n">
        <x:v>584</x:v>
      </x:c>
      <x:c r="B587" s="8" t="n">
        <x:v>46096</x:v>
      </x:c>
      <x:c r="C587" s="7" t="str">
        <x:v>Corrode</x:v>
      </x:c>
      <x:c r="D587" s="7" t="str">
        <x:v>4th</x:v>
      </x:c>
      <x:c r="E587" s="7" t="str">
        <x:v>Neon</x:v>
      </x:c>
      <x:c r="F587" s="7" t="n">
        <x:v>10</x:v>
      </x:c>
      <x:c r="G587" s="7" t="n">
        <x:v>13</x:v>
      </x:c>
      <x:c r="H587" s="7" t="str">
        <x:f>IF(F587&gt;G587,"Win",IF(F587&lt;G587,"Loss","Draw"))</x:f>
        <x:v>Loss</x:v>
      </x:c>
      <x:c r="I587" s="7" t="n">
        <x:f>IF(H587="Win",1,0)</x:f>
        <x:v>0</x:v>
      </x:c>
      <x:c r="J587" s="7" t="n">
        <x:f>F587-G587</x:f>
        <x:v>-3</x:v>
      </x:c>
      <x:c r="K587" s="7" t="n">
        <x:f>F587+G587</x:f>
        <x:v>23</x:v>
      </x:c>
      <x:c r="L587" s="7" t="n">
        <x:v>22</x:v>
      </x:c>
      <x:c r="M587" s="7" t="n">
        <x:v>18</x:v>
      </x:c>
      <x:c r="N587" s="7" t="n">
        <x:v>1</x:v>
      </x:c>
      <x:c r="O587" s="9" t="n">
        <x:f>IF(M587=0,"n.a.",L587/M587)</x:f>
        <x:v>1.2222222222222223</x:v>
      </x:c>
      <x:c r="P587" s="9" t="n">
        <x:f>IF(K587=0,"n.a.",L587/K587)</x:f>
        <x:v>0.9565217391304348</x:v>
      </x:c>
      <x:c r="Q587" s="9" t="n">
        <x:f>IF(K587=0,"n.a.",M587/K587)</x:f>
        <x:v>0.782608695652174</x:v>
      </x:c>
      <x:c r="R587" s="9" t="n">
        <x:f>IF(K587=0,"n.a.",N587/K587)</x:f>
        <x:v>0.043478260869565216</x:v>
      </x:c>
      <x:c r="S587" s="7" t="n">
        <x:v>20</x:v>
      </x:c>
      <x:c r="T587" s="10" t="n">
        <x:v>0.23</x:v>
      </x:c>
      <x:c r="U587" s="7" t="n">
        <x:v>261</x:v>
      </x:c>
      <x:c r="V587" s="7" t="n">
        <x:v>631</x:v>
      </x:c>
    </x:row>
    <x:row r="588" ht="16" customHeight="1">
      <x:c r="A588" s="7" t="n">
        <x:v>585</x:v>
      </x:c>
      <x:c r="B588" s="8" t="n">
        <x:v>46097</x:v>
      </x:c>
      <x:c r="C588" s="7" t="str">
        <x:v>Haven</x:v>
      </x:c>
      <x:c r="D588" s="7" t="str">
        <x:v>7th</x:v>
      </x:c>
      <x:c r="E588" s="7" t="str">
        <x:v>Neon</x:v>
      </x:c>
      <x:c r="F588" s="7" t="n">
        <x:v>12</x:v>
      </x:c>
      <x:c r="G588" s="7" t="n">
        <x:v>14</x:v>
      </x:c>
      <x:c r="H588" s="7" t="str">
        <x:f>IF(F588&gt;G588,"Win",IF(F588&lt;G588,"Loss","Draw"))</x:f>
        <x:v>Loss</x:v>
      </x:c>
      <x:c r="I588" s="7" t="n">
        <x:f>IF(H588="Win",1,0)</x:f>
        <x:v>0</x:v>
      </x:c>
      <x:c r="J588" s="7" t="n">
        <x:f>F588-G588</x:f>
        <x:v>-2</x:v>
      </x:c>
      <x:c r="K588" s="7" t="n">
        <x:f>F588+G588</x:f>
        <x:v>26</x:v>
      </x:c>
      <x:c r="L588" s="7" t="n">
        <x:v>16</x:v>
      </x:c>
      <x:c r="M588" s="7" t="n">
        <x:v>21</x:v>
      </x:c>
      <x:c r="N588" s="7" t="n">
        <x:v>4</x:v>
      </x:c>
      <x:c r="O588" s="9" t="n">
        <x:f>IF(M588=0,"n.a.",L588/M588)</x:f>
        <x:v>0.7619047619047619</x:v>
      </x:c>
      <x:c r="P588" s="9" t="n">
        <x:f>IF(K588=0,"n.a.",L588/K588)</x:f>
        <x:v>0.6153846153846154</x:v>
      </x:c>
      <x:c r="Q588" s="9" t="n">
        <x:f>IF(K588=0,"n.a.",M588/K588)</x:f>
        <x:v>0.8076923076923077</x:v>
      </x:c>
      <x:c r="R588" s="9" t="n">
        <x:f>IF(K588=0,"n.a.",N588/K588)</x:f>
        <x:v>0.15384615384615385</x:v>
      </x:c>
      <x:c r="S588" s="7" t="n">
        <x:v>-42</x:v>
      </x:c>
      <x:c r="T588" s="10" t="n">
        <x:v>0.32</x:v>
      </x:c>
      <x:c r="U588" s="7" t="n">
        <x:v>170</x:v>
      </x:c>
      <x:c r="V588" s="7" t="n">
        <x:v>486</x:v>
      </x:c>
    </x:row>
    <x:row r="589" ht="16" customHeight="1">
      <x:c r="A589" s="7" t="n">
        <x:v>586</x:v>
      </x:c>
      <x:c r="B589" s="8" t="n">
        <x:v>46097</x:v>
      </x:c>
      <x:c r="C589" s="7" t="str">
        <x:v>Pearl</x:v>
      </x:c>
      <x:c r="D589" s="7" t="str">
        <x:v>5th</x:v>
      </x:c>
      <x:c r="E589" s="7" t="str">
        <x:v>Neon</x:v>
      </x:c>
      <x:c r="F589" s="7" t="n">
        <x:v>14</x:v>
      </x:c>
      <x:c r="G589" s="7" t="n">
        <x:v>12</x:v>
      </x:c>
      <x:c r="H589" s="7" t="str">
        <x:f>IF(F589&gt;G589,"Win",IF(F589&lt;G589,"Loss","Draw"))</x:f>
        <x:v>Win</x:v>
      </x:c>
      <x:c r="I589" s="7" t="n">
        <x:f>IF(H589="Win",1,0)</x:f>
        <x:v>1</x:v>
      </x:c>
      <x:c r="J589" s="7" t="n">
        <x:f>F589-G589</x:f>
        <x:v>2</x:v>
      </x:c>
      <x:c r="K589" s="7" t="n">
        <x:f>F589+G589</x:f>
        <x:v>26</x:v>
      </x:c>
      <x:c r="L589" s="7" t="n">
        <x:v>19</x:v>
      </x:c>
      <x:c r="M589" s="7" t="n">
        <x:v>18</x:v>
      </x:c>
      <x:c r="N589" s="7" t="n">
        <x:v>8</x:v>
      </x:c>
      <x:c r="O589" s="9" t="n">
        <x:f>IF(M589=0,"n.a.",L589/M589)</x:f>
        <x:v>1.0555555555555556</x:v>
      </x:c>
      <x:c r="P589" s="9" t="n">
        <x:f>IF(K589=0,"n.a.",L589/K589)</x:f>
        <x:v>0.7307692307692307</x:v>
      </x:c>
      <x:c r="Q589" s="9" t="n">
        <x:f>IF(K589=0,"n.a.",M589/K589)</x:f>
        <x:v>0.6923076923076923</x:v>
      </x:c>
      <x:c r="R589" s="9" t="n">
        <x:f>IF(K589=0,"n.a.",N589/K589)</x:f>
        <x:v>0.3076923076923077</x:v>
      </x:c>
      <x:c r="S589" s="7" t="n">
        <x:v>-1</x:v>
      </x:c>
      <x:c r="T589" s="10" t="n">
        <x:v>0.2</x:v>
      </x:c>
      <x:c r="U589" s="7" t="n">
        <x:v>213</x:v>
      </x:c>
      <x:c r="V589" s="7" t="n">
        <x:v>673</x:v>
      </x:c>
    </x:row>
    <x:row r="590" ht="16" customHeight="1">
      <x:c r="A590" s="7" t="n">
        <x:v>587</x:v>
      </x:c>
      <x:c r="B590" s="8" t="n">
        <x:v>46097</x:v>
      </x:c>
      <x:c r="C590" s="7" t="str">
        <x:v>Breeze</x:v>
      </x:c>
      <x:c r="D590" s="7" t="str">
        <x:v>3rd</x:v>
      </x:c>
      <x:c r="E590" s="7" t="str">
        <x:v>Neon</x:v>
      </x:c>
      <x:c r="F590" s="7" t="n">
        <x:v>8</x:v>
      </x:c>
      <x:c r="G590" s="7" t="n">
        <x:v>13</x:v>
      </x:c>
      <x:c r="H590" s="7" t="str">
        <x:f>IF(F590&gt;G590,"Win",IF(F590&lt;G590,"Loss","Draw"))</x:f>
        <x:v>Loss</x:v>
      </x:c>
      <x:c r="I590" s="7" t="n">
        <x:f>IF(H590="Win",1,0)</x:f>
        <x:v>0</x:v>
      </x:c>
      <x:c r="J590" s="7" t="n">
        <x:f>F590-G590</x:f>
        <x:v>-5</x:v>
      </x:c>
      <x:c r="K590" s="7" t="n">
        <x:f>F590+G590</x:f>
        <x:v>21</x:v>
      </x:c>
      <x:c r="L590" s="7" t="n">
        <x:v>19</x:v>
      </x:c>
      <x:c r="M590" s="7" t="n">
        <x:v>17</x:v>
      </x:c>
      <x:c r="N590" s="7" t="n">
        <x:v>3</x:v>
      </x:c>
      <x:c r="O590" s="9" t="n">
        <x:f>IF(M590=0,"n.a.",L590/M590)</x:f>
        <x:v>1.1176470588235294</x:v>
      </x:c>
      <x:c r="P590" s="9" t="n">
        <x:f>IF(K590=0,"n.a.",L590/K590)</x:f>
        <x:v>0.9047619047619048</x:v>
      </x:c>
      <x:c r="Q590" s="9" t="n">
        <x:f>IF(K590=0,"n.a.",M590/K590)</x:f>
        <x:v>0.8095238095238095</x:v>
      </x:c>
      <x:c r="R590" s="9" t="n">
        <x:f>IF(K590=0,"n.a.",N590/K590)</x:f>
        <x:v>0.14285714285714285</x:v>
      </x:c>
      <x:c r="S590" s="7" t="n">
        <x:v>-26</x:v>
      </x:c>
      <x:c r="T590" s="10" t="n">
        <x:v>0.22</x:v>
      </x:c>
      <x:c r="U590" s="7" t="n">
        <x:v>253</x:v>
      </x:c>
      <x:c r="V590" s="7" t="n">
        <x:v>521</x:v>
      </x:c>
    </x:row>
    <x:row r="591" ht="16" customHeight="1">
      <x:c r="A591" s="7" t="n">
        <x:v>588</x:v>
      </x:c>
      <x:c r="B591" s="8" t="n">
        <x:v>46100</x:v>
      </x:c>
      <x:c r="C591" s="7" t="str">
        <x:v>Haven</x:v>
      </x:c>
      <x:c r="D591" s="7" t="str">
        <x:v>7th</x:v>
      </x:c>
      <x:c r="E591" s="7" t="str">
        <x:v>Neon</x:v>
      </x:c>
      <x:c r="F591" s="7" t="n">
        <x:v>13</x:v>
      </x:c>
      <x:c r="G591" s="7" t="n">
        <x:v>15</x:v>
      </x:c>
      <x:c r="H591" s="7" t="str">
        <x:f>IF(F591&gt;G591,"Win",IF(F591&lt;G591,"Loss","Draw"))</x:f>
        <x:v>Loss</x:v>
      </x:c>
      <x:c r="I591" s="7" t="n">
        <x:f>IF(H591="Win",1,0)</x:f>
        <x:v>0</x:v>
      </x:c>
      <x:c r="J591" s="7" t="n">
        <x:f>F591-G591</x:f>
        <x:v>-2</x:v>
      </x:c>
      <x:c r="K591" s="7" t="n">
        <x:f>F591+G591</x:f>
        <x:v>28</x:v>
      </x:c>
      <x:c r="L591" s="7" t="n">
        <x:v>18</x:v>
      </x:c>
      <x:c r="M591" s="7" t="n">
        <x:v>25</x:v>
      </x:c>
      <x:c r="N591" s="7" t="n">
        <x:v>6</x:v>
      </x:c>
      <x:c r="O591" s="9" t="n">
        <x:f>IF(M591=0,"n.a.",L591/M591)</x:f>
        <x:v>0.72</x:v>
      </x:c>
      <x:c r="P591" s="9" t="n">
        <x:f>IF(K591=0,"n.a.",L591/K591)</x:f>
        <x:v>0.6428571428571429</x:v>
      </x:c>
      <x:c r="Q591" s="9" t="n">
        <x:f>IF(K591=0,"n.a.",M591/K591)</x:f>
        <x:v>0.8928571428571429</x:v>
      </x:c>
      <x:c r="R591" s="9" t="n">
        <x:f>IF(K591=0,"n.a.",N591/K591)</x:f>
        <x:v>0.21428571428571427</x:v>
      </x:c>
      <x:c r="S591" s="7" t="n">
        <x:v>-43</x:v>
      </x:c>
      <x:c r="T591" s="10" t="n">
        <x:v>0.21</x:v>
      </x:c>
      <x:c r="U591" s="7" t="n">
        <x:v>196</x:v>
      </x:c>
      <x:c r="V591" s="7" t="n">
        <x:v>340</x:v>
      </x:c>
    </x:row>
    <x:row r="592" ht="16" customHeight="1">
      <x:c r="A592" s="7" t="n">
        <x:v>589</x:v>
      </x:c>
      <x:c r="B592" s="8" t="n">
        <x:v>46100</x:v>
      </x:c>
      <x:c r="C592" s="7" t="str">
        <x:v>Fracture</x:v>
      </x:c>
      <x:c r="D592" s="7" t="str">
        <x:v>5th</x:v>
      </x:c>
      <x:c r="E592" s="7" t="str">
        <x:v>Neon</x:v>
      </x:c>
      <x:c r="F592" s="7" t="n">
        <x:v>12</x:v>
      </x:c>
      <x:c r="G592" s="7" t="n">
        <x:v>14</x:v>
      </x:c>
      <x:c r="H592" s="7" t="str">
        <x:f>IF(F592&gt;G592,"Win",IF(F592&lt;G592,"Loss","Draw"))</x:f>
        <x:v>Loss</x:v>
      </x:c>
      <x:c r="I592" s="7" t="n">
        <x:f>IF(H592="Win",1,0)</x:f>
        <x:v>0</x:v>
      </x:c>
      <x:c r="J592" s="7" t="n">
        <x:f>F592-G592</x:f>
        <x:v>-2</x:v>
      </x:c>
      <x:c r="K592" s="7" t="n">
        <x:f>F592+G592</x:f>
        <x:v>26</x:v>
      </x:c>
      <x:c r="L592" s="7" t="n">
        <x:v>18</x:v>
      </x:c>
      <x:c r="M592" s="7" t="n">
        <x:v>22</x:v>
      </x:c>
      <x:c r="N592" s="7" t="n">
        <x:v>4</x:v>
      </x:c>
      <x:c r="O592" s="9" t="n">
        <x:f>IF(M592=0,"n.a.",L592/M592)</x:f>
        <x:v>0.8181818181818182</x:v>
      </x:c>
      <x:c r="P592" s="9" t="n">
        <x:f>IF(K592=0,"n.a.",L592/K592)</x:f>
        <x:v>0.6923076923076923</x:v>
      </x:c>
      <x:c r="Q592" s="9" t="n">
        <x:f>IF(K592=0,"n.a.",M592/K592)</x:f>
        <x:v>0.8461538461538461</x:v>
      </x:c>
      <x:c r="R592" s="9" t="n">
        <x:f>IF(K592=0,"n.a.",N592/K592)</x:f>
        <x:v>0.15384615384615385</x:v>
      </x:c>
      <x:c r="S592" s="7" t="n">
        <x:v>-24</x:v>
      </x:c>
      <x:c r="T592" s="10" t="n">
        <x:v>0.16</x:v>
      </x:c>
      <x:c r="U592" s="7" t="n">
        <x:v>223</x:v>
      </x:c>
      <x:c r="V592" s="7" t="n">
        <x:v>438</x:v>
      </x:c>
    </x:row>
    <x:row r="593" ht="16" customHeight="1">
      <x:c r="A593" s="7" t="n">
        <x:v>590</x:v>
      </x:c>
      <x:c r="B593" s="8" t="n">
        <x:v>46100</x:v>
      </x:c>
      <x:c r="C593" s="7" t="str">
        <x:v>Breeze</x:v>
      </x:c>
      <x:c r="D593" s="7" t="str">
        <x:v>MVP</x:v>
      </x:c>
      <x:c r="E593" s="7" t="str">
        <x:v>Neon</x:v>
      </x:c>
      <x:c r="F593" s="7" t="n">
        <x:v>13</x:v>
      </x:c>
      <x:c r="G593" s="7" t="n">
        <x:v>10</x:v>
      </x:c>
      <x:c r="H593" s="7" t="str">
        <x:f>IF(F593&gt;G593,"Win",IF(F593&lt;G593,"Loss","Draw"))</x:f>
        <x:v>Win</x:v>
      </x:c>
      <x:c r="I593" s="7" t="n">
        <x:f>IF(H593="Win",1,0)</x:f>
        <x:v>1</x:v>
      </x:c>
      <x:c r="J593" s="7" t="n">
        <x:f>F593-G593</x:f>
        <x:v>3</x:v>
      </x:c>
      <x:c r="K593" s="7" t="n">
        <x:f>F593+G593</x:f>
        <x:v>23</x:v>
      </x:c>
      <x:c r="L593" s="7" t="n">
        <x:v>29</x:v>
      </x:c>
      <x:c r="M593" s="7" t="n">
        <x:v>17</x:v>
      </x:c>
      <x:c r="N593" s="7" t="n">
        <x:v>3</x:v>
      </x:c>
      <x:c r="O593" s="9" t="n">
        <x:f>IF(M593=0,"n.a.",L593/M593)</x:f>
        <x:v>1.7058823529411764</x:v>
      </x:c>
      <x:c r="P593" s="9" t="n">
        <x:f>IF(K593=0,"n.a.",L593/K593)</x:f>
        <x:v>1.2608695652173914</x:v>
      </x:c>
      <x:c r="Q593" s="9" t="n">
        <x:f>IF(K593=0,"n.a.",M593/K593)</x:f>
        <x:v>0.7391304347826086</x:v>
      </x:c>
      <x:c r="R593" s="9" t="n">
        <x:f>IF(K593=0,"n.a.",N593/K593)</x:f>
        <x:v>0.13043478260869565</x:v>
      </x:c>
      <x:c r="S593" s="7" t="n">
        <x:v>83</x:v>
      </x:c>
      <x:c r="T593" s="10" t="n">
        <x:v>0.29</x:v>
      </x:c>
      <x:c r="U593" s="7" t="n">
        <x:v>349</x:v>
      </x:c>
      <x:c r="V593" s="7" t="n">
        <x:v>861</x:v>
      </x:c>
    </x:row>
    <x:row r="594" ht="16" customHeight="1">
      <x:c r="A594" s="7" t="n">
        <x:v>591</x:v>
      </x:c>
      <x:c r="B594" s="8" t="n">
        <x:v>46100</x:v>
      </x:c>
      <x:c r="C594" s="7" t="str">
        <x:v>Haven</x:v>
      </x:c>
      <x:c r="D594" s="7" t="str">
        <x:v>3rd</x:v>
      </x:c>
      <x:c r="E594" s="7" t="str">
        <x:v>Neon</x:v>
      </x:c>
      <x:c r="F594" s="7" t="n">
        <x:v>6</x:v>
      </x:c>
      <x:c r="G594" s="7" t="n">
        <x:v>13</x:v>
      </x:c>
      <x:c r="H594" s="7" t="str">
        <x:f>IF(F594&gt;G594,"Win",IF(F594&lt;G594,"Loss","Draw"))</x:f>
        <x:v>Loss</x:v>
      </x:c>
      <x:c r="I594" s="7" t="n">
        <x:f>IF(H594="Win",1,0)</x:f>
        <x:v>0</x:v>
      </x:c>
      <x:c r="J594" s="7" t="n">
        <x:f>F594-G594</x:f>
        <x:v>-7</x:v>
      </x:c>
      <x:c r="K594" s="7" t="n">
        <x:f>F594+G594</x:f>
        <x:v>19</x:v>
      </x:c>
      <x:c r="L594" s="7" t="n">
        <x:v>15</x:v>
      </x:c>
      <x:c r="M594" s="7" t="n">
        <x:v>15</x:v>
      </x:c>
      <x:c r="N594" s="7" t="n">
        <x:v>1</x:v>
      </x:c>
      <x:c r="O594" s="9" t="n">
        <x:f>IF(M594=0,"n.a.",L594/M594)</x:f>
        <x:v>1</x:v>
      </x:c>
      <x:c r="P594" s="9" t="n">
        <x:f>IF(K594=0,"n.a.",L594/K594)</x:f>
        <x:v>0.7894736842105263</x:v>
      </x:c>
      <x:c r="Q594" s="9" t="n">
        <x:f>IF(K594=0,"n.a.",M594/K594)</x:f>
        <x:v>0.7894736842105263</x:v>
      </x:c>
      <x:c r="R594" s="9" t="n">
        <x:f>IF(K594=0,"n.a.",N594/K594)</x:f>
        <x:v>0.05263157894736842</x:v>
      </x:c>
      <x:c r="S594" s="7" t="n">
        <x:v>25</x:v>
      </x:c>
      <x:c r="T594" s="10" t="n">
        <x:v>0.25</x:v>
      </x:c>
      <x:c r="U594" s="7" t="n">
        <x:v>243</x:v>
      </x:c>
      <x:c r="V594" s="7" t="n">
        <x:v>516</x:v>
      </x:c>
    </x:row>
    <x:row r="595" ht="16" customHeight="1">
      <x:c r="A595" s="7" t="n">
        <x:v>592</x:v>
      </x:c>
      <x:c r="B595" s="8" t="n">
        <x:v>46100</x:v>
      </x:c>
      <x:c r="C595" s="7" t="str">
        <x:v>Split</x:v>
      </x:c>
      <x:c r="D595" s="7" t="str">
        <x:v>MVP</x:v>
      </x:c>
      <x:c r="E595" s="7" t="str">
        <x:v>Neon</x:v>
      </x:c>
      <x:c r="F595" s="7" t="n">
        <x:v>13</x:v>
      </x:c>
      <x:c r="G595" s="7" t="n">
        <x:v>3</x:v>
      </x:c>
      <x:c r="H595" s="7" t="str">
        <x:f>IF(F595&gt;G595,"Win",IF(F595&lt;G595,"Loss","Draw"))</x:f>
        <x:v>Win</x:v>
      </x:c>
      <x:c r="I595" s="7" t="n">
        <x:f>IF(H595="Win",1,0)</x:f>
        <x:v>1</x:v>
      </x:c>
      <x:c r="J595" s="7" t="n">
        <x:f>F595-G595</x:f>
        <x:v>10</x:v>
      </x:c>
      <x:c r="K595" s="7" t="n">
        <x:f>F595+G595</x:f>
        <x:v>16</x:v>
      </x:c>
      <x:c r="L595" s="7" t="n">
        <x:v>21</x:v>
      </x:c>
      <x:c r="M595" s="7" t="n">
        <x:v>10</x:v>
      </x:c>
      <x:c r="N595" s="7" t="n">
        <x:v>4</x:v>
      </x:c>
      <x:c r="O595" s="9" t="n">
        <x:f>IF(M595=0,"n.a.",L595/M595)</x:f>
        <x:v>2.1</x:v>
      </x:c>
      <x:c r="P595" s="9" t="n">
        <x:f>IF(K595=0,"n.a.",L595/K595)</x:f>
        <x:v>1.3125</x:v>
      </x:c>
      <x:c r="Q595" s="9" t="n">
        <x:f>IF(K595=0,"n.a.",M595/K595)</x:f>
        <x:v>0.625</x:v>
      </x:c>
      <x:c r="R595" s="9" t="n">
        <x:f>IF(K595=0,"n.a.",N595/K595)</x:f>
        <x:v>0.25</x:v>
      </x:c>
      <x:c r="S595" s="7" t="n">
        <x:v>95</x:v>
      </x:c>
      <x:c r="T595" s="10" t="n">
        <x:v>0.28</x:v>
      </x:c>
      <x:c r="U595" s="7" t="n">
        <x:v>354</x:v>
      </x:c>
      <x:c r="V595" s="7" t="n">
        <x:v>987</x:v>
      </x:c>
    </x:row>
    <x:row r="596" ht="16" customHeight="1">
      <x:c r="A596" s="7" t="n">
        <x:v>593</x:v>
      </x:c>
      <x:c r="B596" s="8" t="n">
        <x:v>46100</x:v>
      </x:c>
      <x:c r="C596" s="7" t="str">
        <x:v>Lotus</x:v>
      </x:c>
      <x:c r="D596" s="7" t="str">
        <x:v>6th</x:v>
      </x:c>
      <x:c r="E596" s="7" t="str">
        <x:v>Neon</x:v>
      </x:c>
      <x:c r="F596" s="7" t="n">
        <x:v>13</x:v>
      </x:c>
      <x:c r="G596" s="7" t="n">
        <x:v>10</x:v>
      </x:c>
      <x:c r="H596" s="7" t="str">
        <x:f>IF(F596&gt;G596,"Win",IF(F596&lt;G596,"Loss","Draw"))</x:f>
        <x:v>Win</x:v>
      </x:c>
      <x:c r="I596" s="7" t="n">
        <x:f>IF(H596="Win",1,0)</x:f>
        <x:v>1</x:v>
      </x:c>
      <x:c r="J596" s="7" t="n">
        <x:f>F596-G596</x:f>
        <x:v>3</x:v>
      </x:c>
      <x:c r="K596" s="7" t="n">
        <x:f>F596+G596</x:f>
        <x:v>23</x:v>
      </x:c>
      <x:c r="L596" s="7" t="n">
        <x:v>16</x:v>
      </x:c>
      <x:c r="M596" s="7" t="n">
        <x:v>20</x:v>
      </x:c>
      <x:c r="N596" s="7" t="n">
        <x:v>4</x:v>
      </x:c>
      <x:c r="O596" s="9" t="n">
        <x:f>IF(M596=0,"n.a.",L596/M596)</x:f>
        <x:v>0.8</x:v>
      </x:c>
      <x:c r="P596" s="9" t="n">
        <x:f>IF(K596=0,"n.a.",L596/K596)</x:f>
        <x:v>0.6956521739130435</x:v>
      </x:c>
      <x:c r="Q596" s="9" t="n">
        <x:f>IF(K596=0,"n.a.",M596/K596)</x:f>
        <x:v>0.8695652173913043</x:v>
      </x:c>
      <x:c r="R596" s="9" t="n">
        <x:f>IF(K596=0,"n.a.",N596/K596)</x:f>
        <x:v>0.17391304347826086</x:v>
      </x:c>
      <x:c r="S596" s="7" t="n">
        <x:v>-29</x:v>
      </x:c>
      <x:c r="T596" s="10" t="n">
        <x:v>0.37</x:v>
      </x:c>
      <x:c r="U596" s="7" t="n">
        <x:v>200</x:v>
      </x:c>
      <x:c r="V596" s="7" t="n">
        <x:v>459</x:v>
      </x:c>
    </x:row>
    <x:row r="597" ht="16" customHeight="1">
      <x:c r="A597" s="7" t="n">
        <x:v>594</x:v>
      </x:c>
      <x:c r="B597" s="8" t="n">
        <x:v>46101</x:v>
      </x:c>
      <x:c r="C597" s="7" t="str">
        <x:v>Haven</x:v>
      </x:c>
      <x:c r="D597" s="7" t="str">
        <x:v>9th</x:v>
      </x:c>
      <x:c r="E597" s="7" t="str">
        <x:v>Neon</x:v>
      </x:c>
      <x:c r="F597" s="7" t="n">
        <x:v>6</x:v>
      </x:c>
      <x:c r="G597" s="7" t="n">
        <x:v>13</x:v>
      </x:c>
      <x:c r="H597" s="7" t="str">
        <x:f>IF(F597&gt;G597,"Win",IF(F597&lt;G597,"Loss","Draw"))</x:f>
        <x:v>Loss</x:v>
      </x:c>
      <x:c r="I597" s="7" t="n">
        <x:f>IF(H597="Win",1,0)</x:f>
        <x:v>0</x:v>
      </x:c>
      <x:c r="J597" s="7" t="n">
        <x:f>F597-G597</x:f>
        <x:v>-7</x:v>
      </x:c>
      <x:c r="K597" s="7" t="n">
        <x:f>F597+G597</x:f>
        <x:v>19</x:v>
      </x:c>
      <x:c r="L597" s="7" t="n">
        <x:v>10</x:v>
      </x:c>
      <x:c r="M597" s="7" t="n">
        <x:v>16</x:v>
      </x:c>
      <x:c r="N597" s="7" t="n">
        <x:v>3</x:v>
      </x:c>
      <x:c r="O597" s="9" t="n">
        <x:f>IF(M597=0,"n.a.",L597/M597)</x:f>
        <x:v>0.625</x:v>
      </x:c>
      <x:c r="P597" s="9" t="n">
        <x:f>IF(K597=0,"n.a.",L597/K597)</x:f>
        <x:v>0.5263157894736842</x:v>
      </x:c>
      <x:c r="Q597" s="9" t="n">
        <x:f>IF(K597=0,"n.a.",M597/K597)</x:f>
        <x:v>0.8421052631578947</x:v>
      </x:c>
      <x:c r="R597" s="9" t="n">
        <x:f>IF(K597=0,"n.a.",N597/K597)</x:f>
        <x:v>0.15789473684210525</x:v>
      </x:c>
      <x:c r="S597" s="7" t="n">
        <x:v>-35</x:v>
      </x:c>
      <x:c r="T597" s="10" t="n">
        <x:v>0.18</x:v>
      </x:c>
      <x:c r="U597" s="7" t="n">
        <x:v>161</x:v>
      </x:c>
      <x:c r="V597" s="7" t="n">
        <x:v>195</x:v>
      </x:c>
    </x:row>
    <x:row r="598" ht="16" customHeight="1">
      <x:c r="A598" s="7" t="n">
        <x:v>595</x:v>
      </x:c>
      <x:c r="B598" s="8" t="n">
        <x:v>46101</x:v>
      </x:c>
      <x:c r="C598" s="7" t="str">
        <x:v>Split</x:v>
      </x:c>
      <x:c r="D598" s="7" t="str">
        <x:v>5th</x:v>
      </x:c>
      <x:c r="E598" s="7" t="str">
        <x:v>Neon</x:v>
      </x:c>
      <x:c r="F598" s="7" t="n">
        <x:v>13</x:v>
      </x:c>
      <x:c r="G598" s="7" t="n">
        <x:v>11</x:v>
      </x:c>
      <x:c r="H598" s="7" t="str">
        <x:f>IF(F598&gt;G598,"Win",IF(F598&lt;G598,"Loss","Draw"))</x:f>
        <x:v>Win</x:v>
      </x:c>
      <x:c r="I598" s="7" t="n">
        <x:f>IF(H598="Win",1,0)</x:f>
        <x:v>1</x:v>
      </x:c>
      <x:c r="J598" s="7" t="n">
        <x:f>F598-G598</x:f>
        <x:v>2</x:v>
      </x:c>
      <x:c r="K598" s="7" t="n">
        <x:f>F598+G598</x:f>
        <x:v>24</x:v>
      </x:c>
      <x:c r="L598" s="7" t="n">
        <x:v>16</x:v>
      </x:c>
      <x:c r="M598" s="7" t="n">
        <x:v>21</x:v>
      </x:c>
      <x:c r="N598" s="7" t="n">
        <x:v>3</x:v>
      </x:c>
      <x:c r="O598" s="9" t="n">
        <x:f>IF(M598=0,"n.a.",L598/M598)</x:f>
        <x:v>0.7619047619047619</x:v>
      </x:c>
      <x:c r="P598" s="9" t="n">
        <x:f>IF(K598=0,"n.a.",L598/K598)</x:f>
        <x:v>0.6666666666666666</x:v>
      </x:c>
      <x:c r="Q598" s="9" t="n">
        <x:f>IF(K598=0,"n.a.",M598/K598)</x:f>
        <x:v>0.875</x:v>
      </x:c>
      <x:c r="R598" s="9" t="n">
        <x:f>IF(K598=0,"n.a.",N598/K598)</x:f>
        <x:v>0.125</x:v>
      </x:c>
      <x:c r="S598" s="7" t="n">
        <x:v>-14</x:v>
      </x:c>
      <x:c r="T598" s="10" t="n">
        <x:v>0.19</x:v>
      </x:c>
      <x:c r="U598" s="7" t="n">
        <x:v>204</x:v>
      </x:c>
      <x:c r="V598" s="7" t="n">
        <x:v>457</x:v>
      </x:c>
    </x:row>
    <x:row r="599" ht="16" customHeight="1">
      <x:c r="A599" s="7" t="n">
        <x:v>596</x:v>
      </x:c>
      <x:c r="B599" s="8" t="n">
        <x:v>46101</x:v>
      </x:c>
      <x:c r="C599" s="7" t="str">
        <x:v>Lotus</x:v>
      </x:c>
      <x:c r="D599" s="7" t="str">
        <x:v>MVP</x:v>
      </x:c>
      <x:c r="E599" s="7" t="str">
        <x:v>Neon</x:v>
      </x:c>
      <x:c r="F599" s="7" t="n">
        <x:v>13</x:v>
      </x:c>
      <x:c r="G599" s="7" t="n">
        <x:v>9</x:v>
      </x:c>
      <x:c r="H599" s="7" t="str">
        <x:f>IF(F599&gt;G599,"Win",IF(F599&lt;G599,"Loss","Draw"))</x:f>
        <x:v>Win</x:v>
      </x:c>
      <x:c r="I599" s="7" t="n">
        <x:f>IF(H599="Win",1,0)</x:f>
        <x:v>1</x:v>
      </x:c>
      <x:c r="J599" s="7" t="n">
        <x:f>F599-G599</x:f>
        <x:v>4</x:v>
      </x:c>
      <x:c r="K599" s="7" t="n">
        <x:f>F599+G599</x:f>
        <x:v>22</x:v>
      </x:c>
      <x:c r="L599" s="7" t="n">
        <x:v>19</x:v>
      </x:c>
      <x:c r="M599" s="7" t="n">
        <x:v>19</x:v>
      </x:c>
      <x:c r="N599" s="7" t="n">
        <x:v>3</x:v>
      </x:c>
      <x:c r="O599" s="9" t="n">
        <x:f>IF(M599=0,"n.a.",L599/M599)</x:f>
        <x:v>1</x:v>
      </x:c>
      <x:c r="P599" s="9" t="n">
        <x:f>IF(K599=0,"n.a.",L599/K599)</x:f>
        <x:v>0.8636363636363636</x:v>
      </x:c>
      <x:c r="Q599" s="9" t="n">
        <x:f>IF(K599=0,"n.a.",M599/K599)</x:f>
        <x:v>0.8636363636363636</x:v>
      </x:c>
      <x:c r="R599" s="9" t="n">
        <x:f>IF(K599=0,"n.a.",N599/K599)</x:f>
        <x:v>0.13636363636363635</x:v>
      </x:c>
      <x:c r="S599" s="7" t="n">
        <x:v>-7</x:v>
      </x:c>
      <x:c r="T599" s="10" t="n">
        <x:v>0.19</x:v>
      </x:c>
      <x:c r="U599" s="7" t="n">
        <x:v>251</x:v>
      </x:c>
      <x:c r="V599" s="7" t="n">
        <x:v>756</x:v>
      </x:c>
    </x:row>
    <x:row r="600" ht="16" customHeight="1">
      <x:c r="A600" s="7" t="n">
        <x:v>597</x:v>
      </x:c>
      <x:c r="B600" s="8" t="n">
        <x:v>46101</x:v>
      </x:c>
      <x:c r="C600" s="7" t="str">
        <x:v>Fracture</x:v>
      </x:c>
      <x:c r="D600" s="7" t="str">
        <x:v>8th</x:v>
      </x:c>
      <x:c r="E600" s="7" t="str">
        <x:v>Neon</x:v>
      </x:c>
      <x:c r="F600" s="7" t="n">
        <x:v>7</x:v>
      </x:c>
      <x:c r="G600" s="7" t="n">
        <x:v>13</x:v>
      </x:c>
      <x:c r="H600" s="7" t="str">
        <x:f>IF(F600&gt;G600,"Win",IF(F600&lt;G600,"Loss","Draw"))</x:f>
        <x:v>Loss</x:v>
      </x:c>
      <x:c r="I600" s="7" t="n">
        <x:f>IF(H600="Win",1,0)</x:f>
        <x:v>0</x:v>
      </x:c>
      <x:c r="J600" s="7" t="n">
        <x:f>F600-G600</x:f>
        <x:v>-6</x:v>
      </x:c>
      <x:c r="K600" s="7" t="n">
        <x:f>F600+G600</x:f>
        <x:v>20</x:v>
      </x:c>
      <x:c r="L600" s="7" t="n">
        <x:v>11</x:v>
      </x:c>
      <x:c r="M600" s="7" t="n">
        <x:v>16</x:v>
      </x:c>
      <x:c r="N600" s="7" t="n">
        <x:v>2</x:v>
      </x:c>
      <x:c r="O600" s="9" t="n">
        <x:f>IF(M600=0,"n.a.",L600/M600)</x:f>
        <x:v>0.6875</x:v>
      </x:c>
      <x:c r="P600" s="9" t="n">
        <x:f>IF(K600=0,"n.a.",L600/K600)</x:f>
        <x:v>0.55</x:v>
      </x:c>
      <x:c r="Q600" s="9" t="n">
        <x:f>IF(K600=0,"n.a.",M600/K600)</x:f>
        <x:v>0.8</x:v>
      </x:c>
      <x:c r="R600" s="9" t="n">
        <x:f>IF(K600=0,"n.a.",N600/K600)</x:f>
        <x:v>0.1</x:v>
      </x:c>
      <x:c r="S600" s="7" t="n">
        <x:v>-57</x:v>
      </x:c>
      <x:c r="T600" s="10" t="n">
        <x:v>0.12</x:v>
      </x:c>
      <x:c r="U600" s="7" t="n">
        <x:v>158</x:v>
      </x:c>
      <x:c r="V600" s="7" t="n">
        <x:v>163</x:v>
      </x:c>
    </x:row>
    <x:row r="601" ht="16" customHeight="1">
      <x:c r="A601" s="7" t="n">
        <x:v>598</x:v>
      </x:c>
      <x:c r="B601" s="8" t="n">
        <x:v>46101</x:v>
      </x:c>
      <x:c r="C601" s="7" t="str">
        <x:v>Lotus</x:v>
      </x:c>
      <x:c r="D601" s="7" t="str">
        <x:v>9th</x:v>
      </x:c>
      <x:c r="E601" s="7" t="str">
        <x:v>Neon</x:v>
      </x:c>
      <x:c r="F601" s="7" t="n">
        <x:v>13</x:v>
      </x:c>
      <x:c r="G601" s="7" t="n">
        <x:v>7</x:v>
      </x:c>
      <x:c r="H601" s="7" t="str">
        <x:f>IF(F601&gt;G601,"Win",IF(F601&lt;G601,"Loss","Draw"))</x:f>
        <x:v>Win</x:v>
      </x:c>
      <x:c r="I601" s="7" t="n">
        <x:f>IF(H601="Win",1,0)</x:f>
        <x:v>1</x:v>
      </x:c>
      <x:c r="J601" s="7" t="n">
        <x:f>F601-G601</x:f>
        <x:v>6</x:v>
      </x:c>
      <x:c r="K601" s="7" t="n">
        <x:f>F601+G601</x:f>
        <x:v>20</x:v>
      </x:c>
      <x:c r="L601" s="7" t="n">
        <x:v>12</x:v>
      </x:c>
      <x:c r="M601" s="7" t="n">
        <x:v>15</x:v>
      </x:c>
      <x:c r="N601" s="7" t="n">
        <x:v>4</x:v>
      </x:c>
      <x:c r="O601" s="9" t="n">
        <x:f>IF(M601=0,"n.a.",L601/M601)</x:f>
        <x:v>0.8</x:v>
      </x:c>
      <x:c r="P601" s="9" t="n">
        <x:f>IF(K601=0,"n.a.",L601/K601)</x:f>
        <x:v>0.6</x:v>
      </x:c>
      <x:c r="Q601" s="9" t="n">
        <x:f>IF(K601=0,"n.a.",M601/K601)</x:f>
        <x:v>0.75</x:v>
      </x:c>
      <x:c r="R601" s="9" t="n">
        <x:f>IF(K601=0,"n.a.",N601/K601)</x:f>
        <x:v>0.2</x:v>
      </x:c>
      <x:c r="S601" s="7" t="n">
        <x:v>-32</x:v>
      </x:c>
      <x:c r="T601" s="10" t="n">
        <x:v>0.16</x:v>
      </x:c>
      <x:c r="U601" s="7" t="n">
        <x:v>161</x:v>
      </x:c>
      <x:c r="V601" s="7" t="n">
        <x:v>494</x:v>
      </x:c>
    </x:row>
    <x:row r="602" ht="16" customHeight="1">
      <x:c r="A602" s="7" t="n">
        <x:v>599</x:v>
      </x:c>
      <x:c r="B602" s="8" t="n">
        <x:v>46108</x:v>
      </x:c>
      <x:c r="C602" s="7" t="str">
        <x:v>Haven</x:v>
      </x:c>
      <x:c r="D602" s="7" t="str">
        <x:v>8th</x:v>
      </x:c>
      <x:c r="E602" s="7" t="str">
        <x:v>Neon</x:v>
      </x:c>
      <x:c r="F602" s="7" t="n">
        <x:v>13</x:v>
      </x:c>
      <x:c r="G602" s="7" t="n">
        <x:v>15</x:v>
      </x:c>
      <x:c r="H602" s="7" t="str">
        <x:f>IF(F602&gt;G602,"Win",IF(F602&lt;G602,"Loss","Draw"))</x:f>
        <x:v>Loss</x:v>
      </x:c>
      <x:c r="I602" s="7" t="n">
        <x:f>IF(H602="Win",1,0)</x:f>
        <x:v>0</x:v>
      </x:c>
      <x:c r="J602" s="7" t="n">
        <x:f>F602-G602</x:f>
        <x:v>-2</x:v>
      </x:c>
      <x:c r="K602" s="7" t="n">
        <x:f>F602+G602</x:f>
        <x:v>28</x:v>
      </x:c>
      <x:c r="L602" s="7" t="n">
        <x:v>15</x:v>
      </x:c>
      <x:c r="M602" s="7" t="n">
        <x:v>25</x:v>
      </x:c>
      <x:c r="N602" s="7" t="n">
        <x:v>4</x:v>
      </x:c>
      <x:c r="O602" s="9" t="n">
        <x:f>IF(M602=0,"n.a.",L602/M602)</x:f>
        <x:v>0.6</x:v>
      </x:c>
      <x:c r="P602" s="9" t="n">
        <x:f>IF(K602=0,"n.a.",L602/K602)</x:f>
        <x:v>0.5357142857142857</x:v>
      </x:c>
      <x:c r="Q602" s="9" t="n">
        <x:f>IF(K602=0,"n.a.",M602/K602)</x:f>
        <x:v>0.8928571428571429</x:v>
      </x:c>
      <x:c r="R602" s="9" t="n">
        <x:f>IF(K602=0,"n.a.",N602/K602)</x:f>
        <x:v>0.14285714285714285</x:v>
      </x:c>
      <x:c r="S602" s="7" t="n">
        <x:v>-72</x:v>
      </x:c>
      <x:c r="T602" s="10" t="n">
        <x:v>0.12</x:v>
      </x:c>
      <x:c r="U602" s="7" t="n">
        <x:v>176</x:v>
      </x:c>
      <x:c r="V602" s="7" t="n">
        <x:v>291</x:v>
      </x:c>
    </x:row>
    <x:row r="603" ht="16" customHeight="1">
      <x:c r="A603" s="7" t="n">
        <x:v>600</x:v>
      </x:c>
      <x:c r="B603" s="8" t="n">
        <x:v>46108</x:v>
      </x:c>
      <x:c r="C603" s="7" t="str">
        <x:v>Split</x:v>
      </x:c>
      <x:c r="D603" s="7" t="str">
        <x:v>6th</x:v>
      </x:c>
      <x:c r="E603" s="7" t="str">
        <x:v>Neon</x:v>
      </x:c>
      <x:c r="F603" s="7" t="n">
        <x:v>2</x:v>
      </x:c>
      <x:c r="G603" s="7" t="n">
        <x:v>13</x:v>
      </x:c>
      <x:c r="H603" s="7" t="str">
        <x:f>IF(F603&gt;G603,"Win",IF(F603&lt;G603,"Loss","Draw"))</x:f>
        <x:v>Loss</x:v>
      </x:c>
      <x:c r="I603" s="7" t="n">
        <x:f>IF(H603="Win",1,0)</x:f>
        <x:v>0</x:v>
      </x:c>
      <x:c r="J603" s="7" t="n">
        <x:f>F603-G603</x:f>
        <x:v>-11</x:v>
      </x:c>
      <x:c r="K603" s="7" t="n">
        <x:f>F603+G603</x:f>
        <x:v>15</x:v>
      </x:c>
      <x:c r="L603" s="7" t="n">
        <x:v>11</x:v>
      </x:c>
      <x:c r="M603" s="7" t="n">
        <x:v>14</x:v>
      </x:c>
      <x:c r="N603" s="7" t="n">
        <x:v>3</x:v>
      </x:c>
      <x:c r="O603" s="9" t="n">
        <x:f>IF(M603=0,"n.a.",L603/M603)</x:f>
        <x:v>0.7857142857142857</x:v>
      </x:c>
      <x:c r="P603" s="9" t="n">
        <x:f>IF(K603=0,"n.a.",L603/K603)</x:f>
        <x:v>0.7333333333333333</x:v>
      </x:c>
      <x:c r="Q603" s="9" t="n">
        <x:f>IF(K603=0,"n.a.",M603/K603)</x:f>
        <x:v>0.9333333333333333</x:v>
      </x:c>
      <x:c r="R603" s="9" t="n">
        <x:f>IF(K603=0,"n.a.",N603/K603)</x:f>
        <x:v>0.2</x:v>
      </x:c>
      <x:c r="S603" s="7" t="n">
        <x:v>-61</x:v>
      </x:c>
      <x:c r="T603" s="10" t="n">
        <x:v>0.19</x:v>
      </x:c>
      <x:c r="U603" s="7" t="n">
        <x:v>199</x:v>
      </x:c>
      <x:c r="V603" s="7" t="n">
        <x:v>287</x:v>
      </x:c>
    </x:row>
    <x:row r="604" ht="16" customHeight="1">
      <x:c r="A604" s="7" t="n">
        <x:v>601</x:v>
      </x:c>
      <x:c r="B604" s="8" t="n">
        <x:v>46108</x:v>
      </x:c>
      <x:c r="C604" s="7" t="str">
        <x:v>Bind</x:v>
      </x:c>
      <x:c r="D604" s="7" t="str">
        <x:v>MVP</x:v>
      </x:c>
      <x:c r="E604" s="7" t="str">
        <x:v>Neon</x:v>
      </x:c>
      <x:c r="F604" s="7" t="n">
        <x:v>13</x:v>
      </x:c>
      <x:c r="G604" s="7" t="n">
        <x:v>7</x:v>
      </x:c>
      <x:c r="H604" s="7" t="str">
        <x:f>IF(F604&gt;G604,"Win",IF(F604&lt;G604,"Loss","Draw"))</x:f>
        <x:v>Win</x:v>
      </x:c>
      <x:c r="I604" s="7" t="n">
        <x:f>IF(H604="Win",1,0)</x:f>
        <x:v>1</x:v>
      </x:c>
      <x:c r="J604" s="7" t="n">
        <x:f>F604-G604</x:f>
        <x:v>6</x:v>
      </x:c>
      <x:c r="K604" s="7" t="n">
        <x:f>F604+G604</x:f>
        <x:v>20</x:v>
      </x:c>
      <x:c r="L604" s="7" t="n">
        <x:v>23</x:v>
      </x:c>
      <x:c r="M604" s="7" t="n">
        <x:v>12</x:v>
      </x:c>
      <x:c r="N604" s="7" t="n">
        <x:v>1</x:v>
      </x:c>
      <x:c r="O604" s="9" t="n">
        <x:f>IF(M604=0,"n.a.",L604/M604)</x:f>
        <x:v>1.9166666666666667</x:v>
      </x:c>
      <x:c r="P604" s="9" t="n">
        <x:f>IF(K604=0,"n.a.",L604/K604)</x:f>
        <x:v>1.15</x:v>
      </x:c>
      <x:c r="Q604" s="9" t="n">
        <x:f>IF(K604=0,"n.a.",M604/K604)</x:f>
        <x:v>0.6</x:v>
      </x:c>
      <x:c r="R604" s="9" t="n">
        <x:f>IF(K604=0,"n.a.",N604/K604)</x:f>
        <x:v>0.05</x:v>
      </x:c>
      <x:c r="S604" s="7" t="n">
        <x:v>80</x:v>
      </x:c>
      <x:c r="T604" s="10" t="n">
        <x:v>0.19</x:v>
      </x:c>
      <x:c r="U604" s="7" t="n">
        <x:v>311</x:v>
      </x:c>
      <x:c r="V604" s="7" t="n">
        <x:v>713</x:v>
      </x:c>
    </x:row>
    <x:row r="605" ht="16" customHeight="1">
      <x:c r="A605" s="7" t="n">
        <x:v>602</x:v>
      </x:c>
      <x:c r="B605" s="8" t="n">
        <x:v>46108</x:v>
      </x:c>
      <x:c r="C605" s="7" t="str">
        <x:v>Breeze</x:v>
      </x:c>
      <x:c r="D605" s="7" t="str">
        <x:v>4th</x:v>
      </x:c>
      <x:c r="E605" s="7" t="str">
        <x:v>Omen</x:v>
      </x:c>
      <x:c r="F605" s="7" t="n">
        <x:v>5</x:v>
      </x:c>
      <x:c r="G605" s="7" t="n">
        <x:v>13</x:v>
      </x:c>
      <x:c r="H605" s="7" t="str">
        <x:f>IF(F605&gt;G605,"Win",IF(F605&lt;G605,"Loss","Draw"))</x:f>
        <x:v>Loss</x:v>
      </x:c>
      <x:c r="I605" s="7" t="n">
        <x:f>IF(H605="Win",1,0)</x:f>
        <x:v>0</x:v>
      </x:c>
      <x:c r="J605" s="7" t="n">
        <x:f>F605-G605</x:f>
        <x:v>-8</x:v>
      </x:c>
      <x:c r="K605" s="7" t="n">
        <x:f>F605+G605</x:f>
        <x:v>18</x:v>
      </x:c>
      <x:c r="L605" s="7" t="n">
        <x:v>18</x:v>
      </x:c>
      <x:c r="M605" s="7" t="n">
        <x:v>15</x:v>
      </x:c>
      <x:c r="N605" s="7" t="n">
        <x:v>1</x:v>
      </x:c>
      <x:c r="O605" s="9" t="n">
        <x:f>IF(M605=0,"n.a.",L605/M605)</x:f>
        <x:v>1.2</x:v>
      </x:c>
      <x:c r="P605" s="9" t="n">
        <x:f>IF(K605=0,"n.a.",L605/K605)</x:f>
        <x:v>1</x:v>
      </x:c>
      <x:c r="Q605" s="9" t="n">
        <x:f>IF(K605=0,"n.a.",M605/K605)</x:f>
        <x:v>0.8333333333333334</x:v>
      </x:c>
      <x:c r="R605" s="9" t="n">
        <x:f>IF(K605=0,"n.a.",N605/K605)</x:f>
        <x:v>0.05555555555555555</x:v>
      </x:c>
      <x:c r="S605" s="7" t="n">
        <x:v>37</x:v>
      </x:c>
      <x:c r="T605" s="10" t="n">
        <x:v>0.26</x:v>
      </x:c>
      <x:c r="U605" s="7" t="n">
        <x:v>255</x:v>
      </x:c>
      <x:c r="V605" s="7" t="n">
        <x:v>678</x:v>
      </x:c>
    </x:row>
    <x:row r="606" ht="16" customHeight="1">
      <x:c r="A606" s="7" t="n">
        <x:v>603</x:v>
      </x:c>
      <x:c r="B606" s="8" t="n">
        <x:v>46109</x:v>
      </x:c>
      <x:c r="C606" s="7" t="str">
        <x:v>Pearl</x:v>
      </x:c>
      <x:c r="D606" s="7" t="str">
        <x:v>7th</x:v>
      </x:c>
      <x:c r="E606" s="7" t="str">
        <x:v>Neon</x:v>
      </x:c>
      <x:c r="F606" s="7" t="n">
        <x:v>14</x:v>
      </x:c>
      <x:c r="G606" s="7" t="n">
        <x:v>14</x:v>
      </x:c>
      <x:c r="H606" s="7" t="str">
        <x:f>IF(F606&gt;G606,"Win",IF(F606&lt;G606,"Loss","Draw"))</x:f>
        <x:v>Draw</x:v>
      </x:c>
      <x:c r="I606" s="7" t="n">
        <x:f>IF(H606="Win",1,0)</x:f>
        <x:v>0</x:v>
      </x:c>
      <x:c r="J606" s="7" t="n">
        <x:f>F606-G606</x:f>
        <x:v>0</x:v>
      </x:c>
      <x:c r="K606" s="7" t="n">
        <x:f>F606+G606</x:f>
        <x:v>28</x:v>
      </x:c>
      <x:c r="L606" s="7" t="n">
        <x:v>22</x:v>
      </x:c>
      <x:c r="M606" s="7" t="n">
        <x:v>20</x:v>
      </x:c>
      <x:c r="N606" s="7" t="n">
        <x:v>3</x:v>
      </x:c>
      <x:c r="O606" s="9" t="n">
        <x:f>IF(M606=0,"n.a.",L606/M606)</x:f>
        <x:v>1.1</x:v>
      </x:c>
      <x:c r="P606" s="9" t="n">
        <x:f>IF(K606=0,"n.a.",L606/K606)</x:f>
        <x:v>0.7857142857142857</x:v>
      </x:c>
      <x:c r="Q606" s="9" t="n">
        <x:f>IF(K606=0,"n.a.",M606/K606)</x:f>
        <x:v>0.7142857142857143</x:v>
      </x:c>
      <x:c r="R606" s="9" t="n">
        <x:f>IF(K606=0,"n.a.",N606/K606)</x:f>
        <x:v>0.10714285714285714</x:v>
      </x:c>
      <x:c r="S606" s="7" t="n">
        <x:v>-25</x:v>
      </x:c>
      <x:c r="T606" s="10" t="n">
        <x:v>0.22</x:v>
      </x:c>
      <x:c r="U606" s="7" t="n">
        <x:v>210</x:v>
      </x:c>
      <x:c r="V606" s="7" t="n">
        <x:v>517</x:v>
      </x:c>
    </x:row>
    <x:row r="607" ht="16" customHeight="1">
      <x:c r="A607" s="7" t="n">
        <x:v>604</x:v>
      </x:c>
      <x:c r="B607" s="8" t="n">
        <x:v>46109</x:v>
      </x:c>
      <x:c r="C607" s="7" t="str">
        <x:v>Lotus</x:v>
      </x:c>
      <x:c r="D607" s="7" t="str">
        <x:v>2nd</x:v>
      </x:c>
      <x:c r="E607" s="7" t="str">
        <x:v>Neon</x:v>
      </x:c>
      <x:c r="F607" s="7" t="n">
        <x:v>13</x:v>
      </x:c>
      <x:c r="G607" s="7" t="n">
        <x:v>6</x:v>
      </x:c>
      <x:c r="H607" s="7" t="str">
        <x:f>IF(F607&gt;G607,"Win",IF(F607&lt;G607,"Loss","Draw"))</x:f>
        <x:v>Win</x:v>
      </x:c>
      <x:c r="I607" s="7" t="n">
        <x:f>IF(H607="Win",1,0)</x:f>
        <x:v>1</x:v>
      </x:c>
      <x:c r="J607" s="7" t="n">
        <x:f>F607-G607</x:f>
        <x:v>7</x:v>
      </x:c>
      <x:c r="K607" s="7" t="n">
        <x:f>F607+G607</x:f>
        <x:v>19</x:v>
      </x:c>
      <x:c r="L607" s="7" t="n">
        <x:v>18</x:v>
      </x:c>
      <x:c r="M607" s="7" t="n">
        <x:v>16</x:v>
      </x:c>
      <x:c r="N607" s="7" t="n">
        <x:v>0</x:v>
      </x:c>
      <x:c r="O607" s="9" t="n">
        <x:f>IF(M607=0,"n.a.",L607/M607)</x:f>
        <x:v>1.125</x:v>
      </x:c>
      <x:c r="P607" s="9" t="n">
        <x:f>IF(K607=0,"n.a.",L607/K607)</x:f>
        <x:v>0.9473684210526315</x:v>
      </x:c>
      <x:c r="Q607" s="9" t="n">
        <x:f>IF(K607=0,"n.a.",M607/K607)</x:f>
        <x:v>0.8421052631578947</x:v>
      </x:c>
      <x:c r="R607" s="9" t="n">
        <x:f>IF(K607=0,"n.a.",N607/K607)</x:f>
        <x:v>0</x:v>
      </x:c>
      <x:c r="S607" s="7" t="n">
        <x:v>18</x:v>
      </x:c>
      <x:c r="T607" s="10" t="n">
        <x:v>0.13</x:v>
      </x:c>
      <x:c r="U607" s="7" t="n">
        <x:v>268</x:v>
      </x:c>
      <x:c r="V607" s="7" t="n">
        <x:v>658</x:v>
      </x:c>
    </x:row>
    <x:row r="608" ht="16" customHeight="1">
      <x:c r="A608" s="7" t="n">
        <x:v>605</x:v>
      </x:c>
      <x:c r="B608" s="8" t="n">
        <x:v>46110</x:v>
      </x:c>
      <x:c r="C608" s="7" t="str">
        <x:v>Fracture</x:v>
      </x:c>
      <x:c r="D608" s="7" t="str">
        <x:v>4th</x:v>
      </x:c>
      <x:c r="E608" s="7" t="str">
        <x:v>Neon</x:v>
      </x:c>
      <x:c r="F608" s="7" t="n">
        <x:v>13</x:v>
      </x:c>
      <x:c r="G608" s="7" t="n">
        <x:v>10</x:v>
      </x:c>
      <x:c r="H608" s="7" t="str">
        <x:f>IF(F608&gt;G608,"Win",IF(F608&lt;G608,"Loss","Draw"))</x:f>
        <x:v>Win</x:v>
      </x:c>
      <x:c r="I608" s="7" t="n">
        <x:f>IF(H608="Win",1,0)</x:f>
        <x:v>1</x:v>
      </x:c>
      <x:c r="J608" s="7" t="n">
        <x:f>F608-G608</x:f>
        <x:v>3</x:v>
      </x:c>
      <x:c r="K608" s="7" t="n">
        <x:f>F608+G608</x:f>
        <x:v>23</x:v>
      </x:c>
      <x:c r="L608" s="7" t="n">
        <x:v>19</x:v>
      </x:c>
      <x:c r="M608" s="7" t="n">
        <x:v>19</x:v>
      </x:c>
      <x:c r="N608" s="7" t="n">
        <x:v>3</x:v>
      </x:c>
      <x:c r="O608" s="9" t="n">
        <x:f>IF(M608=0,"n.a.",L608/M608)</x:f>
        <x:v>1</x:v>
      </x:c>
      <x:c r="P608" s="9" t="n">
        <x:f>IF(K608=0,"n.a.",L608/K608)</x:f>
        <x:v>0.8260869565217391</x:v>
      </x:c>
      <x:c r="Q608" s="9" t="n">
        <x:f>IF(K608=0,"n.a.",M608/K608)</x:f>
        <x:v>0.8260869565217391</x:v>
      </x:c>
      <x:c r="R608" s="9" t="n">
        <x:f>IF(K608=0,"n.a.",N608/K608)</x:f>
        <x:v>0.13043478260869565</x:v>
      </x:c>
      <x:c r="S608" s="7" t="n">
        <x:v>-21</x:v>
      </x:c>
      <x:c r="T608" s="10" t="n">
        <x:v>0.28</x:v>
      </x:c>
      <x:c r="U608" s="7" t="n">
        <x:v>226</x:v>
      </x:c>
      <x:c r="V608" s="7" t="n">
        <x:v>472</x:v>
      </x:c>
    </x:row>
    <x:row r="609" ht="16" customHeight="1">
      <x:c r="A609" s="7" t="n">
        <x:v>606</x:v>
      </x:c>
      <x:c r="B609" s="8" t="n">
        <x:v>46112</x:v>
      </x:c>
      <x:c r="C609" s="7" t="str">
        <x:v>Breeze</x:v>
      </x:c>
      <x:c r="D609" s="7" t="str">
        <x:v>2nd</x:v>
      </x:c>
      <x:c r="E609" s="7" t="str">
        <x:v>Iso</x:v>
      </x:c>
      <x:c r="F609" s="7" t="n">
        <x:v>10</x:v>
      </x:c>
      <x:c r="G609" s="7" t="n">
        <x:v>13</x:v>
      </x:c>
      <x:c r="H609" s="7" t="str">
        <x:f>IF(F609&gt;G609,"Win",IF(F609&lt;G609,"Loss","Draw"))</x:f>
        <x:v>Loss</x:v>
      </x:c>
      <x:c r="I609" s="7" t="n">
        <x:f>IF(H609="Win",1,0)</x:f>
        <x:v>0</x:v>
      </x:c>
      <x:c r="J609" s="7" t="n">
        <x:f>F609-G609</x:f>
        <x:v>-3</x:v>
      </x:c>
      <x:c r="K609" s="7" t="n">
        <x:f>F609+G609</x:f>
        <x:v>23</x:v>
      </x:c>
      <x:c r="L609" s="7" t="n">
        <x:v>24</x:v>
      </x:c>
      <x:c r="M609" s="7" t="n">
        <x:v>19</x:v>
      </x:c>
      <x:c r="N609" s="7" t="n">
        <x:v>2</x:v>
      </x:c>
      <x:c r="O609" s="9" t="n">
        <x:f>IF(M609=0,"n.a.",L609/M609)</x:f>
        <x:v>1.263157894736842</x:v>
      </x:c>
      <x:c r="P609" s="9" t="n">
        <x:f>IF(K609=0,"n.a.",L609/K609)</x:f>
        <x:v>1.0434782608695652</x:v>
      </x:c>
      <x:c r="Q609" s="9" t="n">
        <x:f>IF(K609=0,"n.a.",M609/K609)</x:f>
        <x:v>0.8260869565217391</x:v>
      </x:c>
      <x:c r="R609" s="9" t="n">
        <x:f>IF(K609=0,"n.a.",N609/K609)</x:f>
        <x:v>0.08695652173913043</x:v>
      </x:c>
      <x:c r="S609" s="7" t="n">
        <x:v>39</x:v>
      </x:c>
      <x:c r="T609" s="10" t="n">
        <x:v>0.21</x:v>
      </x:c>
      <x:c r="U609" s="7" t="n">
        <x:v>301</x:v>
      </x:c>
      <x:c r="V609" s="7" t="n">
        <x:v>779</x:v>
      </x:c>
    </x:row>
    <x:row r="610" ht="16" customHeight="1">
      <x:c r="A610" s="7" t="n">
        <x:v>607</x:v>
      </x:c>
      <x:c r="B610" s="8" t="n">
        <x:v>46112</x:v>
      </x:c>
      <x:c r="C610" s="7" t="str">
        <x:v>Bind</x:v>
      </x:c>
      <x:c r="D610" s="7" t="str">
        <x:v>9th</x:v>
      </x:c>
      <x:c r="E610" s="7" t="str">
        <x:v>Neon</x:v>
      </x:c>
      <x:c r="F610" s="7" t="n">
        <x:v>13</x:v>
      </x:c>
      <x:c r="G610" s="7" t="n">
        <x:v>10</x:v>
      </x:c>
      <x:c r="H610" s="7" t="str">
        <x:f>IF(F610&gt;G610,"Win",IF(F610&lt;G610,"Loss","Draw"))</x:f>
        <x:v>Win</x:v>
      </x:c>
      <x:c r="I610" s="7" t="n">
        <x:f>IF(H610="Win",1,0)</x:f>
        <x:v>1</x:v>
      </x:c>
      <x:c r="J610" s="7" t="n">
        <x:f>F610-G610</x:f>
        <x:v>3</x:v>
      </x:c>
      <x:c r="K610" s="7" t="n">
        <x:f>F610+G610</x:f>
        <x:v>23</x:v>
      </x:c>
      <x:c r="L610" s="7" t="n">
        <x:v>12</x:v>
      </x:c>
      <x:c r="M610" s="7" t="n">
        <x:v>20</x:v>
      </x:c>
      <x:c r="N610" s="7" t="n">
        <x:v>0</x:v>
      </x:c>
      <x:c r="O610" s="9" t="n">
        <x:f>IF(M610=0,"n.a.",L610/M610)</x:f>
        <x:v>0.6</x:v>
      </x:c>
      <x:c r="P610" s="9" t="n">
        <x:f>IF(K610=0,"n.a.",L610/K610)</x:f>
        <x:v>0.5217391304347826</x:v>
      </x:c>
      <x:c r="Q610" s="9" t="n">
        <x:f>IF(K610=0,"n.a.",M610/K610)</x:f>
        <x:v>0.8695652173913043</x:v>
      </x:c>
      <x:c r="R610" s="9" t="n">
        <x:f>IF(K610=0,"n.a.",N610/K610)</x:f>
        <x:v>0</x:v>
      </x:c>
      <x:c r="S610" s="7" t="n">
        <x:v>-76</x:v>
      </x:c>
      <x:c r="T610" s="10" t="n">
        <x:v>0.24</x:v>
      </x:c>
      <x:c r="U610" s="7" t="n">
        <x:v>141</x:v>
      </x:c>
      <x:c r="V610" s="7" t="n">
        <x:v>215</x:v>
      </x:c>
    </x:row>
    <x:row r="611" ht="16" customHeight="1">
      <x:c r="A611" s="7" t="n">
        <x:v>608</x:v>
      </x:c>
      <x:c r="B611" s="8" t="n">
        <x:v>46112</x:v>
      </x:c>
      <x:c r="C611" s="7" t="str">
        <x:v>Breeze</x:v>
      </x:c>
      <x:c r="D611" s="7" t="str">
        <x:v>4th</x:v>
      </x:c>
      <x:c r="E611" s="7" t="str">
        <x:v>Neon</x:v>
      </x:c>
      <x:c r="F611" s="7" t="n">
        <x:v>13</x:v>
      </x:c>
      <x:c r="G611" s="7" t="n">
        <x:v>4</x:v>
      </x:c>
      <x:c r="H611" s="7" t="str">
        <x:f>IF(F611&gt;G611,"Win",IF(F611&lt;G611,"Loss","Draw"))</x:f>
        <x:v>Win</x:v>
      </x:c>
      <x:c r="I611" s="7" t="n">
        <x:f>IF(H611="Win",1,0)</x:f>
        <x:v>1</x:v>
      </x:c>
      <x:c r="J611" s="7" t="n">
        <x:f>F611-G611</x:f>
        <x:v>9</x:v>
      </x:c>
      <x:c r="K611" s="7" t="n">
        <x:f>F611+G611</x:f>
        <x:v>17</x:v>
      </x:c>
      <x:c r="L611" s="7" t="n">
        <x:v>16</x:v>
      </x:c>
      <x:c r="M611" s="7" t="n">
        <x:v>12</x:v>
      </x:c>
      <x:c r="N611" s="7" t="n">
        <x:v>6</x:v>
      </x:c>
      <x:c r="O611" s="9" t="n">
        <x:f>IF(M611=0,"n.a.",L611/M611)</x:f>
        <x:v>1.3333333333333333</x:v>
      </x:c>
      <x:c r="P611" s="9" t="n">
        <x:f>IF(K611=0,"n.a.",L611/K611)</x:f>
        <x:v>0.9411764705882353</x:v>
      </x:c>
      <x:c r="Q611" s="9" t="n">
        <x:f>IF(K611=0,"n.a.",M611/K611)</x:f>
        <x:v>0.7058823529411765</x:v>
      </x:c>
      <x:c r="R611" s="9" t="n">
        <x:f>IF(K611=0,"n.a.",N611/K611)</x:f>
        <x:v>0.35294117647058826</x:v>
      </x:c>
      <x:c r="S611" s="7" t="n">
        <x:v>16</x:v>
      </x:c>
      <x:c r="T611" s="10" t="n">
        <x:v>0.2</x:v>
      </x:c>
      <x:c r="U611" s="7" t="n">
        <x:v>255</x:v>
      </x:c>
      <x:c r="V611" s="7" t="n">
        <x:v>853</x:v>
      </x:c>
    </x:row>
    <x:row r="612" ht="16" customHeight="1">
      <x:c r="A612" s="7" t="n">
        <x:v>609</x:v>
      </x:c>
      <x:c r="B612" s="8" t="n">
        <x:v>46112</x:v>
      </x:c>
      <x:c r="C612" s="7" t="str">
        <x:v>Fracture</x:v>
      </x:c>
      <x:c r="D612" s="7" t="str">
        <x:v>9th</x:v>
      </x:c>
      <x:c r="E612" s="7" t="str">
        <x:v>Neon</x:v>
      </x:c>
      <x:c r="F612" s="7" t="n">
        <x:v>3</x:v>
      </x:c>
      <x:c r="G612" s="7" t="n">
        <x:v>13</x:v>
      </x:c>
      <x:c r="H612" s="7" t="str">
        <x:f>IF(F612&gt;G612,"Win",IF(F612&lt;G612,"Loss","Draw"))</x:f>
        <x:v>Loss</x:v>
      </x:c>
      <x:c r="I612" s="7" t="n">
        <x:f>IF(H612="Win",1,0)</x:f>
        <x:v>0</x:v>
      </x:c>
      <x:c r="J612" s="7" t="n">
        <x:f>F612-G612</x:f>
        <x:v>-10</x:v>
      </x:c>
      <x:c r="K612" s="7" t="n">
        <x:f>F612+G612</x:f>
        <x:v>16</x:v>
      </x:c>
      <x:c r="L612" s="7" t="n">
        <x:v>8</x:v>
      </x:c>
      <x:c r="M612" s="7" t="n">
        <x:v>16</x:v>
      </x:c>
      <x:c r="N612" s="7" t="n">
        <x:v>1</x:v>
      </x:c>
      <x:c r="O612" s="9" t="n">
        <x:f>IF(M612=0,"n.a.",L612/M612)</x:f>
        <x:v>0.5</x:v>
      </x:c>
      <x:c r="P612" s="9" t="n">
        <x:f>IF(K612=0,"n.a.",L612/K612)</x:f>
        <x:v>0.5</x:v>
      </x:c>
      <x:c r="Q612" s="9" t="n">
        <x:f>IF(K612=0,"n.a.",M612/K612)</x:f>
        <x:v>1</x:v>
      </x:c>
      <x:c r="R612" s="9" t="n">
        <x:f>IF(K612=0,"n.a.",N612/K612)</x:f>
        <x:v>0.0625</x:v>
      </x:c>
      <x:c r="S612" s="7" t="n">
        <x:v>-67</x:v>
      </x:c>
      <x:c r="T612" s="10" t="n">
        <x:v>0.24</x:v>
      </x:c>
      <x:c r="U612" s="7" t="n">
        <x:v>146</x:v>
      </x:c>
      <x:c r="V612" s="7" t="n">
        <x:v>109</x:v>
      </x:c>
    </x:row>
    <x:row r="613" ht="16" customHeight="1">
      <x:c r="A613" s="7" t="n">
        <x:v>610</x:v>
      </x:c>
      <x:c r="B613" s="8" t="n">
        <x:v>46113</x:v>
      </x:c>
      <x:c r="C613" s="7" t="str">
        <x:v>Pearl</x:v>
      </x:c>
      <x:c r="D613" s="7" t="str">
        <x:v>10th</x:v>
      </x:c>
      <x:c r="E613" s="7" t="str">
        <x:v>Neon</x:v>
      </x:c>
      <x:c r="F613" s="7" t="n">
        <x:v>13</x:v>
      </x:c>
      <x:c r="G613" s="7" t="n">
        <x:v>4</x:v>
      </x:c>
      <x:c r="H613" s="7" t="str">
        <x:f>IF(F613&gt;G613,"Win",IF(F613&lt;G613,"Loss","Draw"))</x:f>
        <x:v>Win</x:v>
      </x:c>
      <x:c r="I613" s="7" t="n">
        <x:f>IF(H613="Win",1,0)</x:f>
        <x:v>1</x:v>
      </x:c>
      <x:c r="J613" s="7" t="n">
        <x:f>F613-G613</x:f>
        <x:v>9</x:v>
      </x:c>
      <x:c r="K613" s="7" t="n">
        <x:f>F613+G613</x:f>
        <x:v>17</x:v>
      </x:c>
      <x:c r="L613" s="7" t="n">
        <x:v>8</x:v>
      </x:c>
      <x:c r="M613" s="7" t="n">
        <x:v>17</x:v>
      </x:c>
      <x:c r="N613" s="7" t="n">
        <x:v>6</x:v>
      </x:c>
      <x:c r="O613" s="9" t="n">
        <x:f>IF(M613=0,"n.a.",L613/M613)</x:f>
        <x:v>0.47058823529411764</x:v>
      </x:c>
      <x:c r="P613" s="9" t="n">
        <x:f>IF(K613=0,"n.a.",L613/K613)</x:f>
        <x:v>0.47058823529411764</x:v>
      </x:c>
      <x:c r="Q613" s="9" t="n">
        <x:f>IF(K613=0,"n.a.",M613/K613)</x:f>
        <x:v>1</x:v>
      </x:c>
      <x:c r="R613" s="9" t="n">
        <x:f>IF(K613=0,"n.a.",N613/K613)</x:f>
        <x:v>0.35294117647058826</x:v>
      </x:c>
      <x:c r="S613" s="7" t="n">
        <x:v>-69</x:v>
      </x:c>
      <x:c r="T613" s="10" t="n">
        <x:v>0.23</x:v>
      </x:c>
      <x:c r="U613" s="7" t="n">
        <x:v>147</x:v>
      </x:c>
      <x:c r="V613" s="7" t="n">
        <x:v>326</x:v>
      </x:c>
    </x:row>
    <x:row r="614" ht="16" customHeight="1">
      <x:c r="A614" s="7" t="n">
        <x:v>611</x:v>
      </x:c>
      <x:c r="B614" s="8" t="n">
        <x:v>46114</x:v>
      </x:c>
      <x:c r="C614" s="7" t="str">
        <x:v>Lotus</x:v>
      </x:c>
      <x:c r="D614" s="7" t="str">
        <x:v>4th</x:v>
      </x:c>
      <x:c r="E614" s="7" t="str">
        <x:v>Neon</x:v>
      </x:c>
      <x:c r="F614" s="7" t="n">
        <x:v>5</x:v>
      </x:c>
      <x:c r="G614" s="7" t="n">
        <x:v>13</x:v>
      </x:c>
      <x:c r="H614" s="7" t="str">
        <x:f>IF(F614&gt;G614,"Win",IF(F614&lt;G614,"Loss","Draw"))</x:f>
        <x:v>Loss</x:v>
      </x:c>
      <x:c r="I614" s="7" t="n">
        <x:f>IF(H614="Win",1,0)</x:f>
        <x:v>0</x:v>
      </x:c>
      <x:c r="J614" s="7" t="n">
        <x:f>F614-G614</x:f>
        <x:v>-8</x:v>
      </x:c>
      <x:c r="K614" s="7" t="n">
        <x:f>F614+G614</x:f>
        <x:v>18</x:v>
      </x:c>
      <x:c r="L614" s="7" t="n">
        <x:v>17</x:v>
      </x:c>
      <x:c r="M614" s="7" t="n">
        <x:v>17</x:v>
      </x:c>
      <x:c r="N614" s="7" t="n">
        <x:v>1</x:v>
      </x:c>
      <x:c r="O614" s="9" t="n">
        <x:f>IF(M614=0,"n.a.",L614/M614)</x:f>
        <x:v>1</x:v>
      </x:c>
      <x:c r="P614" s="9" t="n">
        <x:f>IF(K614=0,"n.a.",L614/K614)</x:f>
        <x:v>0.9444444444444444</x:v>
      </x:c>
      <x:c r="Q614" s="9" t="n">
        <x:f>IF(K614=0,"n.a.",M614/K614)</x:f>
        <x:v>0.9444444444444444</x:v>
      </x:c>
      <x:c r="R614" s="9" t="n">
        <x:f>IF(K614=0,"n.a.",N614/K614)</x:f>
        <x:v>0.05555555555555555</x:v>
      </x:c>
      <x:c r="S614" s="7" t="n">
        <x:v>-14</x:v>
      </x:c>
      <x:c r="T614" s="10" t="n">
        <x:v>0.26</x:v>
      </x:c>
      <x:c r="U614" s="7" t="n">
        <x:v>264</x:v>
      </x:c>
      <x:c r="V614" s="7" t="n">
        <x:v>481</x:v>
      </x:c>
    </x:row>
    <x:row r="615" ht="16" customHeight="1">
      <x:c r="A615" s="7" t="n">
        <x:v>612</x:v>
      </x:c>
      <x:c r="B615" s="8" t="n">
        <x:v>46114</x:v>
      </x:c>
      <x:c r="C615" s="7" t="str">
        <x:v>Split</x:v>
      </x:c>
      <x:c r="D615" s="7" t="str">
        <x:v>3rd</x:v>
      </x:c>
      <x:c r="E615" s="7" t="str">
        <x:v>Chamber</x:v>
      </x:c>
      <x:c r="F615" s="7" t="n">
        <x:v>11</x:v>
      </x:c>
      <x:c r="G615" s="7" t="n">
        <x:v>13</x:v>
      </x:c>
      <x:c r="H615" s="7" t="str">
        <x:f>IF(F615&gt;G615,"Win",IF(F615&lt;G615,"Loss","Draw"))</x:f>
        <x:v>Loss</x:v>
      </x:c>
      <x:c r="I615" s="7" t="n">
        <x:f>IF(H615="Win",1,0)</x:f>
        <x:v>0</x:v>
      </x:c>
      <x:c r="J615" s="7" t="n">
        <x:f>F615-G615</x:f>
        <x:v>-2</x:v>
      </x:c>
      <x:c r="K615" s="7" t="n">
        <x:f>F615+G615</x:f>
        <x:v>24</x:v>
      </x:c>
      <x:c r="L615" s="7" t="n">
        <x:v>19</x:v>
      </x:c>
      <x:c r="M615" s="7" t="n">
        <x:v>19</x:v>
      </x:c>
      <x:c r="N615" s="7" t="n">
        <x:v>5</x:v>
      </x:c>
      <x:c r="O615" s="9" t="n">
        <x:f>IF(M615=0,"n.a.",L615/M615)</x:f>
        <x:v>1</x:v>
      </x:c>
      <x:c r="P615" s="9" t="n">
        <x:f>IF(K615=0,"n.a.",L615/K615)</x:f>
        <x:v>0.7916666666666666</x:v>
      </x:c>
      <x:c r="Q615" s="9" t="n">
        <x:f>IF(K615=0,"n.a.",M615/K615)</x:f>
        <x:v>0.7916666666666666</x:v>
      </x:c>
      <x:c r="R615" s="9" t="n">
        <x:f>IF(K615=0,"n.a.",N615/K615)</x:f>
        <x:v>0.20833333333333334</x:v>
      </x:c>
      <x:c r="S615" s="7" t="n">
        <x:v>2</x:v>
      </x:c>
      <x:c r="T615" s="10" t="n">
        <x:v>0.26</x:v>
      </x:c>
      <x:c r="U615" s="7" t="n">
        <x:v>233</x:v>
      </x:c>
      <x:c r="V615" s="7" t="n">
        <x:v>506</x:v>
      </x:c>
    </x:row>
    <x:row r="616" ht="16" customHeight="1">
      <x:c r="A616" s="7" t="n">
        <x:v>613</x:v>
      </x:c>
      <x:c r="B616" s="8" t="n">
        <x:v>46114</x:v>
      </x:c>
      <x:c r="C616" s="7" t="str">
        <x:v>Split</x:v>
      </x:c>
      <x:c r="D616" s="7" t="str">
        <x:v>MVP</x:v>
      </x:c>
      <x:c r="E616" s="7" t="str">
        <x:v>Neon</x:v>
      </x:c>
      <x:c r="F616" s="7" t="n">
        <x:v>13</x:v>
      </x:c>
      <x:c r="G616" s="7" t="n">
        <x:v>5</x:v>
      </x:c>
      <x:c r="H616" s="7" t="str">
        <x:f>IF(F616&gt;G616,"Win",IF(F616&lt;G616,"Loss","Draw"))</x:f>
        <x:v>Win</x:v>
      </x:c>
      <x:c r="I616" s="7" t="n">
        <x:f>IF(H616="Win",1,0)</x:f>
        <x:v>1</x:v>
      </x:c>
      <x:c r="J616" s="7" t="n">
        <x:f>F616-G616</x:f>
        <x:v>8</x:v>
      </x:c>
      <x:c r="K616" s="7" t="n">
        <x:f>F616+G616</x:f>
        <x:v>18</x:v>
      </x:c>
      <x:c r="L616" s="7" t="n">
        <x:v>18</x:v>
      </x:c>
      <x:c r="M616" s="7" t="n">
        <x:v>11</x:v>
      </x:c>
      <x:c r="N616" s="7" t="n">
        <x:v>4</x:v>
      </x:c>
      <x:c r="O616" s="9" t="n">
        <x:f>IF(M616=0,"n.a.",L616/M616)</x:f>
        <x:v>1.6363636363636365</x:v>
      </x:c>
      <x:c r="P616" s="9" t="n">
        <x:f>IF(K616=0,"n.a.",L616/K616)</x:f>
        <x:v>1</x:v>
      </x:c>
      <x:c r="Q616" s="9" t="n">
        <x:f>IF(K616=0,"n.a.",M616/K616)</x:f>
        <x:v>0.6111111111111112</x:v>
      </x:c>
      <x:c r="R616" s="9" t="n">
        <x:f>IF(K616=0,"n.a.",N616/K616)</x:f>
        <x:v>0.2222222222222222</x:v>
      </x:c>
      <x:c r="S616" s="7" t="n">
        <x:v>33</x:v>
      </x:c>
      <x:c r="T616" s="10" t="n">
        <x:v>0.26</x:v>
      </x:c>
      <x:c r="U616" s="7" t="n">
        <x:v>280</x:v>
      </x:c>
      <x:c r="V616" s="7" t="n">
        <x:v>866</x:v>
      </x:c>
    </x:row>
    <x:row r="617" ht="16" customHeight="1">
      <x:c r="A617" s="7" t="n">
        <x:v>614</x:v>
      </x:c>
      <x:c r="B617" s="8" t="n">
        <x:v>46114</x:v>
      </x:c>
      <x:c r="C617" s="7" t="str">
        <x:v>Haven</x:v>
      </x:c>
      <x:c r="D617" s="7" t="str">
        <x:v>6th</x:v>
      </x:c>
      <x:c r="E617" s="7" t="str">
        <x:v>Neon</x:v>
      </x:c>
      <x:c r="F617" s="7" t="n">
        <x:v>2</x:v>
      </x:c>
      <x:c r="G617" s="7" t="n">
        <x:v>13</x:v>
      </x:c>
      <x:c r="H617" s="7" t="str">
        <x:f>IF(F617&gt;G617,"Win",IF(F617&lt;G617,"Loss","Draw"))</x:f>
        <x:v>Loss</x:v>
      </x:c>
      <x:c r="I617" s="7" t="n">
        <x:f>IF(H617="Win",1,0)</x:f>
        <x:v>0</x:v>
      </x:c>
      <x:c r="J617" s="7" t="n">
        <x:f>F617-G617</x:f>
        <x:v>-11</x:v>
      </x:c>
      <x:c r="K617" s="7" t="n">
        <x:f>F617+G617</x:f>
        <x:v>15</x:v>
      </x:c>
      <x:c r="L617" s="7" t="n">
        <x:v>9</x:v>
      </x:c>
      <x:c r="M617" s="7" t="n">
        <x:v>15</x:v>
      </x:c>
      <x:c r="N617" s="7" t="n">
        <x:v>1</x:v>
      </x:c>
      <x:c r="O617" s="9" t="n">
        <x:f>IF(M617=0,"n.a.",L617/M617)</x:f>
        <x:v>0.6</x:v>
      </x:c>
      <x:c r="P617" s="9" t="n">
        <x:f>IF(K617=0,"n.a.",L617/K617)</x:f>
        <x:v>0.6</x:v>
      </x:c>
      <x:c r="Q617" s="9" t="n">
        <x:f>IF(K617=0,"n.a.",M617/K617)</x:f>
        <x:v>1</x:v>
      </x:c>
      <x:c r="R617" s="9" t="n">
        <x:f>IF(K617=0,"n.a.",N617/K617)</x:f>
        <x:v>0.06666666666666667</x:v>
      </x:c>
      <x:c r="S617" s="7" t="n">
        <x:v>-82</x:v>
      </x:c>
      <x:c r="T617" s="10" t="n">
        <x:v>0.1</x:v>
      </x:c>
      <x:c r="U617" s="7" t="n">
        <x:v>190</x:v>
      </x:c>
      <x:c r="V617" s="7" t="n">
        <x:v>175</x:v>
      </x:c>
    </x:row>
    <x:row r="618" ht="16" customHeight="1">
      <x:c r="A618" s="7" t="n">
        <x:v>615</x:v>
      </x:c>
      <x:c r="B618" s="8" t="n">
        <x:v>46115</x:v>
      </x:c>
      <x:c r="C618" s="7" t="str">
        <x:v>Bind</x:v>
      </x:c>
      <x:c r="D618" s="7" t="str">
        <x:v>4th</x:v>
      </x:c>
      <x:c r="E618" s="7" t="str">
        <x:v>Neon</x:v>
      </x:c>
      <x:c r="F618" s="7" t="n">
        <x:v>15</x:v>
      </x:c>
      <x:c r="G618" s="7" t="n">
        <x:v>13</x:v>
      </x:c>
      <x:c r="H618" s="7" t="str">
        <x:f>IF(F618&gt;G618,"Win",IF(F618&lt;G618,"Loss","Draw"))</x:f>
        <x:v>Win</x:v>
      </x:c>
      <x:c r="I618" s="7" t="n">
        <x:f>IF(H618="Win",1,0)</x:f>
        <x:v>1</x:v>
      </x:c>
      <x:c r="J618" s="7" t="n">
        <x:f>F618-G618</x:f>
        <x:v>2</x:v>
      </x:c>
      <x:c r="K618" s="7" t="n">
        <x:f>F618+G618</x:f>
        <x:v>28</x:v>
      </x:c>
      <x:c r="L618" s="7" t="n">
        <x:v>27</x:v>
      </x:c>
      <x:c r="M618" s="7" t="n">
        <x:v>23</x:v>
      </x:c>
      <x:c r="N618" s="7" t="n">
        <x:v>4</x:v>
      </x:c>
      <x:c r="O618" s="9" t="n">
        <x:f>IF(M618=0,"n.a.",L618/M618)</x:f>
        <x:v>1.173913043478261</x:v>
      </x:c>
      <x:c r="P618" s="9" t="n">
        <x:f>IF(K618=0,"n.a.",L618/K618)</x:f>
        <x:v>0.9642857142857143</x:v>
      </x:c>
      <x:c r="Q618" s="9" t="n">
        <x:f>IF(K618=0,"n.a.",M618/K618)</x:f>
        <x:v>0.8214285714285714</x:v>
      </x:c>
      <x:c r="R618" s="9" t="n">
        <x:f>IF(K618=0,"n.a.",N618/K618)</x:f>
        <x:v>0.14285714285714285</x:v>
      </x:c>
      <x:c r="S618" s="7" t="n">
        <x:v>-6</x:v>
      </x:c>
      <x:c r="T618" s="10" t="n">
        <x:v>0.19</x:v>
      </x:c>
      <x:c r="U618" s="7" t="n">
        <x:v>271</x:v>
      </x:c>
      <x:c r="V618" s="7" t="n">
        <x:v>686</x:v>
      </x:c>
    </x:row>
    <x:row r="619" ht="16" customHeight="1">
      <x:c r="A619" s="7" t="n">
        <x:v>616</x:v>
      </x:c>
      <x:c r="B619" s="8" t="n">
        <x:v>46115</x:v>
      </x:c>
      <x:c r="C619" s="7" t="str">
        <x:v>Haven</x:v>
      </x:c>
      <x:c r="D619" s="7" t="str">
        <x:v>9th</x:v>
      </x:c>
      <x:c r="E619" s="7" t="str">
        <x:v>Neon</x:v>
      </x:c>
      <x:c r="F619" s="7" t="n">
        <x:v>14</x:v>
      </x:c>
      <x:c r="G619" s="7" t="n">
        <x:v>16</x:v>
      </x:c>
      <x:c r="H619" s="7" t="str">
        <x:f>IF(F619&gt;G619,"Win",IF(F619&lt;G619,"Loss","Draw"))</x:f>
        <x:v>Loss</x:v>
      </x:c>
      <x:c r="I619" s="7" t="n">
        <x:f>IF(H619="Win",1,0)</x:f>
        <x:v>0</x:v>
      </x:c>
      <x:c r="J619" s="7" t="n">
        <x:f>F619-G619</x:f>
        <x:v>-2</x:v>
      </x:c>
      <x:c r="K619" s="7" t="n">
        <x:f>F619+G619</x:f>
        <x:v>30</x:v>
      </x:c>
      <x:c r="L619" s="7" t="n">
        <x:v>19</x:v>
      </x:c>
      <x:c r="M619" s="7" t="n">
        <x:v>25</x:v>
      </x:c>
      <x:c r="N619" s="7" t="n">
        <x:v>4</x:v>
      </x:c>
      <x:c r="O619" s="9" t="n">
        <x:f>IF(M619=0,"n.a.",L619/M619)</x:f>
        <x:v>0.76</x:v>
      </x:c>
      <x:c r="P619" s="9" t="n">
        <x:f>IF(K619=0,"n.a.",L619/K619)</x:f>
        <x:v>0.6333333333333333</x:v>
      </x:c>
      <x:c r="Q619" s="9" t="n">
        <x:f>IF(K619=0,"n.a.",M619/K619)</x:f>
        <x:v>0.8333333333333334</x:v>
      </x:c>
      <x:c r="R619" s="9" t="n">
        <x:f>IF(K619=0,"n.a.",N619/K619)</x:f>
        <x:v>0.13333333333333333</x:v>
      </x:c>
      <x:c r="S619" s="7" t="n">
        <x:v>-29</x:v>
      </x:c>
      <x:c r="T619" s="10" t="n">
        <x:v>0.3</x:v>
      </x:c>
      <x:c r="U619" s="7" t="n">
        <x:v>191</x:v>
      </x:c>
      <x:c r="V619" s="7" t="n">
        <x:v>383</x:v>
      </x:c>
    </x:row>
    <x:row r="620" ht="16" customHeight="1">
      <x:c r="A620" s="7" t="n">
        <x:v>617</x:v>
      </x:c>
      <x:c r="B620" s="8" t="n">
        <x:v>46116</x:v>
      </x:c>
      <x:c r="C620" s="7" t="str">
        <x:v>Lotus</x:v>
      </x:c>
      <x:c r="D620" s="7" t="str">
        <x:v>2nd</x:v>
      </x:c>
      <x:c r="E620" s="7" t="str">
        <x:v>Neon</x:v>
      </x:c>
      <x:c r="F620" s="7" t="n">
        <x:v>9</x:v>
      </x:c>
      <x:c r="G620" s="7" t="n">
        <x:v>13</x:v>
      </x:c>
      <x:c r="H620" s="7" t="str">
        <x:f>IF(F620&gt;G620,"Win",IF(F620&lt;G620,"Loss","Draw"))</x:f>
        <x:v>Loss</x:v>
      </x:c>
      <x:c r="I620" s="7" t="n">
        <x:f>IF(H620="Win",1,0)</x:f>
        <x:v>0</x:v>
      </x:c>
      <x:c r="J620" s="7" t="n">
        <x:f>F620-G620</x:f>
        <x:v>-4</x:v>
      </x:c>
      <x:c r="K620" s="7" t="n">
        <x:f>F620+G620</x:f>
        <x:v>22</x:v>
      </x:c>
      <x:c r="L620" s="7" t="n">
        <x:v>21</x:v>
      </x:c>
      <x:c r="M620" s="7" t="n">
        <x:v>17</x:v>
      </x:c>
      <x:c r="N620" s="7" t="n">
        <x:v>2</x:v>
      </x:c>
      <x:c r="O620" s="9" t="n">
        <x:f>IF(M620=0,"n.a.",L620/M620)</x:f>
        <x:v>1.2352941176470589</x:v>
      </x:c>
      <x:c r="P620" s="9" t="n">
        <x:f>IF(K620=0,"n.a.",L620/K620)</x:f>
        <x:v>0.9545454545454546</x:v>
      </x:c>
      <x:c r="Q620" s="9" t="n">
        <x:f>IF(K620=0,"n.a.",M620/K620)</x:f>
        <x:v>0.7727272727272727</x:v>
      </x:c>
      <x:c r="R620" s="9" t="n">
        <x:f>IF(K620=0,"n.a.",N620/K620)</x:f>
        <x:v>0.09090909090909091</x:v>
      </x:c>
      <x:c r="S620" s="7" t="n">
        <x:v>34</x:v>
      </x:c>
      <x:c r="T620" s="10" t="n">
        <x:v>0.22</x:v>
      </x:c>
      <x:c r="U620" s="7" t="n">
        <x:v>280</x:v>
      </x:c>
      <x:c r="V620" s="7" t="n">
        <x:v>607</x:v>
      </x:c>
    </x:row>
    <x:row r="621" ht="16" customHeight="1">
      <x:c r="A621" s="7" t="n">
        <x:v>618</x:v>
      </x:c>
      <x:c r="B621" s="8" t="n">
        <x:v>46116</x:v>
      </x:c>
      <x:c r="C621" s="7" t="str">
        <x:v>Pearl</x:v>
      </x:c>
      <x:c r="D621" s="7" t="str">
        <x:v>9th</x:v>
      </x:c>
      <x:c r="E621" s="7" t="str">
        <x:v>Neon</x:v>
      </x:c>
      <x:c r="F621" s="7" t="n">
        <x:v>13</x:v>
      </x:c>
      <x:c r="G621" s="7" t="n">
        <x:v>10</x:v>
      </x:c>
      <x:c r="H621" s="7" t="str">
        <x:f>IF(F621&gt;G621,"Win",IF(F621&lt;G621,"Loss","Draw"))</x:f>
        <x:v>Win</x:v>
      </x:c>
      <x:c r="I621" s="7" t="n">
        <x:f>IF(H621="Win",1,0)</x:f>
        <x:v>1</x:v>
      </x:c>
      <x:c r="J621" s="7" t="n">
        <x:f>F621-G621</x:f>
        <x:v>3</x:v>
      </x:c>
      <x:c r="K621" s="7" t="n">
        <x:f>F621+G621</x:f>
        <x:v>23</x:v>
      </x:c>
      <x:c r="L621" s="7" t="n">
        <x:v>11</x:v>
      </x:c>
      <x:c r="M621" s="7" t="n">
        <x:v>18</x:v>
      </x:c>
      <x:c r="N621" s="7" t="n">
        <x:v>2</x:v>
      </x:c>
      <x:c r="O621" s="9" t="n">
        <x:f>IF(M621=0,"n.a.",L621/M621)</x:f>
        <x:v>0.6111111111111112</x:v>
      </x:c>
      <x:c r="P621" s="9" t="n">
        <x:f>IF(K621=0,"n.a.",L621/K621)</x:f>
        <x:v>0.4782608695652174</x:v>
      </x:c>
      <x:c r="Q621" s="9" t="n">
        <x:f>IF(K621=0,"n.a.",M621/K621)</x:f>
        <x:v>0.782608695652174</x:v>
      </x:c>
      <x:c r="R621" s="9" t="n">
        <x:f>IF(K621=0,"n.a.",N621/K621)</x:f>
        <x:v>0.08695652173913043</x:v>
      </x:c>
      <x:c r="S621" s="7" t="n">
        <x:v>-48</x:v>
      </x:c>
      <x:c r="T621" s="10" t="n">
        <x:v>0.24</x:v>
      </x:c>
      <x:c r="U621" s="7" t="n">
        <x:v>129</x:v>
      </x:c>
      <x:c r="V621" s="7" t="n">
        <x:v>316</x:v>
      </x:c>
    </x:row>
    <x:row r="622" ht="16" customHeight="1">
      <x:c r="A622" s="7" t="n">
        <x:v>619</x:v>
      </x:c>
      <x:c r="B622" s="8" t="n">
        <x:v>46116</x:v>
      </x:c>
      <x:c r="C622" s="7" t="str">
        <x:v>Haven</x:v>
      </x:c>
      <x:c r="D622" s="7" t="str">
        <x:v>6th</x:v>
      </x:c>
      <x:c r="E622" s="7" t="str">
        <x:v>Neon</x:v>
      </x:c>
      <x:c r="F622" s="7" t="n">
        <x:v>13</x:v>
      </x:c>
      <x:c r="G622" s="7" t="n">
        <x:v>8</x:v>
      </x:c>
      <x:c r="H622" s="7" t="str">
        <x:f>IF(F622&gt;G622,"Win",IF(F622&lt;G622,"Loss","Draw"))</x:f>
        <x:v>Win</x:v>
      </x:c>
      <x:c r="I622" s="7" t="n">
        <x:f>IF(H622="Win",1,0)</x:f>
        <x:v>1</x:v>
      </x:c>
      <x:c r="J622" s="7" t="n">
        <x:f>F622-G622</x:f>
        <x:v>5</x:v>
      </x:c>
      <x:c r="K622" s="7" t="n">
        <x:f>F622+G622</x:f>
        <x:v>21</x:v>
      </x:c>
      <x:c r="L622" s="7" t="n">
        <x:v>14</x:v>
      </x:c>
      <x:c r="M622" s="7" t="n">
        <x:v>17</x:v>
      </x:c>
      <x:c r="N622" s="7" t="n">
        <x:v>2</x:v>
      </x:c>
      <x:c r="O622" s="9" t="n">
        <x:f>IF(M622=0,"n.a.",L622/M622)</x:f>
        <x:v>0.8235294117647058</x:v>
      </x:c>
      <x:c r="P622" s="9" t="n">
        <x:f>IF(K622=0,"n.a.",L622/K622)</x:f>
        <x:v>0.6666666666666666</x:v>
      </x:c>
      <x:c r="Q622" s="9" t="n">
        <x:f>IF(K622=0,"n.a.",M622/K622)</x:f>
        <x:v>0.8095238095238095</x:v>
      </x:c>
      <x:c r="R622" s="9" t="n">
        <x:f>IF(K622=0,"n.a.",N622/K622)</x:f>
        <x:v>0.09523809523809523</x:v>
      </x:c>
      <x:c r="S622" s="7" t="n">
        <x:v>-30</x:v>
      </x:c>
      <x:c r="T622" s="10" t="n">
        <x:v>0.18</x:v>
      </x:c>
      <x:c r="U622" s="7" t="n">
        <x:v>213</x:v>
      </x:c>
      <x:c r="V622" s="7" t="n">
        <x:v>443</x:v>
      </x:c>
    </x:row>
    <x:row r="623" ht="16" customHeight="1">
      <x:c r="A623" s="7" t="n">
        <x:v>620</x:v>
      </x:c>
      <x:c r="B623" s="8" t="n">
        <x:v>46116</x:v>
      </x:c>
      <x:c r="C623" s="7" t="str">
        <x:v>Bind</x:v>
      </x:c>
      <x:c r="D623" s="7" t="str">
        <x:v>5th</x:v>
      </x:c>
      <x:c r="E623" s="7" t="str">
        <x:v>Neon</x:v>
      </x:c>
      <x:c r="F623" s="7" t="n">
        <x:v>8</x:v>
      </x:c>
      <x:c r="G623" s="7" t="n">
        <x:v>13</x:v>
      </x:c>
      <x:c r="H623" s="7" t="str">
        <x:f>IF(F623&gt;G623,"Win",IF(F623&lt;G623,"Loss","Draw"))</x:f>
        <x:v>Loss</x:v>
      </x:c>
      <x:c r="I623" s="7" t="n">
        <x:f>IF(H623="Win",1,0)</x:f>
        <x:v>0</x:v>
      </x:c>
      <x:c r="J623" s="7" t="n">
        <x:f>F623-G623</x:f>
        <x:v>-5</x:v>
      </x:c>
      <x:c r="K623" s="7" t="n">
        <x:f>F623+G623</x:f>
        <x:v>21</x:v>
      </x:c>
      <x:c r="L623" s="7" t="n">
        <x:v>18</x:v>
      </x:c>
      <x:c r="M623" s="7" t="n">
        <x:v>17</x:v>
      </x:c>
      <x:c r="N623" s="7" t="n">
        <x:v>3</x:v>
      </x:c>
      <x:c r="O623" s="9" t="n">
        <x:f>IF(M623=0,"n.a.",L623/M623)</x:f>
        <x:v>1.0588235294117647</x:v>
      </x:c>
      <x:c r="P623" s="9" t="n">
        <x:f>IF(K623=0,"n.a.",L623/K623)</x:f>
        <x:v>0.8571428571428571</x:v>
      </x:c>
      <x:c r="Q623" s="9" t="n">
        <x:f>IF(K623=0,"n.a.",M623/K623)</x:f>
        <x:v>0.8095238095238095</x:v>
      </x:c>
      <x:c r="R623" s="9" t="n">
        <x:f>IF(K623=0,"n.a.",N623/K623)</x:f>
        <x:v>0.14285714285714285</x:v>
      </x:c>
      <x:c r="S623" s="7" t="n">
        <x:v>-17</x:v>
      </x:c>
      <x:c r="T623" s="10" t="n">
        <x:v>0.24</x:v>
      </x:c>
      <x:c r="U623" s="7" t="n">
        <x:v>233</x:v>
      </x:c>
      <x:c r="V623" s="7" t="n">
        <x:v>430</x:v>
      </x:c>
    </x:row>
    <x:row r="624" ht="16" customHeight="1">
      <x:c r="A624" s="7" t="n">
        <x:v>621</x:v>
      </x:c>
      <x:c r="B624" s="8" t="n">
        <x:v>46116</x:v>
      </x:c>
      <x:c r="C624" s="7" t="str">
        <x:v>Lotus</x:v>
      </x:c>
      <x:c r="D624" s="7" t="str">
        <x:v>4th</x:v>
      </x:c>
      <x:c r="E624" s="7" t="str">
        <x:v>Neon</x:v>
      </x:c>
      <x:c r="F624" s="7" t="n">
        <x:v>6</x:v>
      </x:c>
      <x:c r="G624" s="7" t="n">
        <x:v>13</x:v>
      </x:c>
      <x:c r="H624" s="7" t="str">
        <x:f>IF(F624&gt;G624,"Win",IF(F624&lt;G624,"Loss","Draw"))</x:f>
        <x:v>Loss</x:v>
      </x:c>
      <x:c r="I624" s="7" t="n">
        <x:f>IF(H624="Win",1,0)</x:f>
        <x:v>0</x:v>
      </x:c>
      <x:c r="J624" s="7" t="n">
        <x:f>F624-G624</x:f>
        <x:v>-7</x:v>
      </x:c>
      <x:c r="K624" s="7" t="n">
        <x:f>F624+G624</x:f>
        <x:v>19</x:v>
      </x:c>
      <x:c r="L624" s="7" t="n">
        <x:v>17</x:v>
      </x:c>
      <x:c r="M624" s="7" t="n">
        <x:v>15</x:v>
      </x:c>
      <x:c r="N624" s="7" t="n">
        <x:v>1</x:v>
      </x:c>
      <x:c r="O624" s="9" t="n">
        <x:f>IF(M624=0,"n.a.",L624/M624)</x:f>
        <x:v>1.1333333333333333</x:v>
      </x:c>
      <x:c r="P624" s="9" t="n">
        <x:f>IF(K624=0,"n.a.",L624/K624)</x:f>
        <x:v>0.8947368421052632</x:v>
      </x:c>
      <x:c r="Q624" s="9" t="n">
        <x:f>IF(K624=0,"n.a.",M624/K624)</x:f>
        <x:v>0.7894736842105263</x:v>
      </x:c>
      <x:c r="R624" s="9" t="n">
        <x:f>IF(K624=0,"n.a.",N624/K624)</x:f>
        <x:v>0.05263157894736842</x:v>
      </x:c>
      <x:c r="S624" s="7" t="n">
        <x:v>6</x:v>
      </x:c>
      <x:c r="T624" s="10" t="n">
        <x:v>0.18</x:v>
      </x:c>
      <x:c r="U624" s="7" t="n">
        <x:v>254</x:v>
      </x:c>
      <x:c r="V624" s="7" t="n">
        <x:v>422</x:v>
      </x:c>
    </x:row>
    <x:row r="625" ht="16" customHeight="1">
      <x:c r="A625" s="7" t="n">
        <x:v>622</x:v>
      </x:c>
      <x:c r="B625" s="8" t="n">
        <x:v>46116</x:v>
      </x:c>
      <x:c r="C625" s="7" t="str">
        <x:v>Pearl</x:v>
      </x:c>
      <x:c r="D625" s="7" t="str">
        <x:v>3rd</x:v>
      </x:c>
      <x:c r="E625" s="7" t="str">
        <x:v>Neon</x:v>
      </x:c>
      <x:c r="F625" s="7" t="n">
        <x:v>8</x:v>
      </x:c>
      <x:c r="G625" s="7" t="n">
        <x:v>13</x:v>
      </x:c>
      <x:c r="H625" s="7" t="str">
        <x:f>IF(F625&gt;G625,"Win",IF(F625&lt;G625,"Loss","Draw"))</x:f>
        <x:v>Loss</x:v>
      </x:c>
      <x:c r="I625" s="7" t="n">
        <x:f>IF(H625="Win",1,0)</x:f>
        <x:v>0</x:v>
      </x:c>
      <x:c r="J625" s="7" t="n">
        <x:f>F625-G625</x:f>
        <x:v>-5</x:v>
      </x:c>
      <x:c r="K625" s="7" t="n">
        <x:f>F625+G625</x:f>
        <x:v>21</x:v>
      </x:c>
      <x:c r="L625" s="7" t="n">
        <x:v>19</x:v>
      </x:c>
      <x:c r="M625" s="7" t="n">
        <x:v>19</x:v>
      </x:c>
      <x:c r="N625" s="7" t="n">
        <x:v>2</x:v>
      </x:c>
      <x:c r="O625" s="9" t="n">
        <x:f>IF(M625=0,"n.a.",L625/M625)</x:f>
        <x:v>1</x:v>
      </x:c>
      <x:c r="P625" s="9" t="n">
        <x:f>IF(K625=0,"n.a.",L625/K625)</x:f>
        <x:v>0.9047619047619048</x:v>
      </x:c>
      <x:c r="Q625" s="9" t="n">
        <x:f>IF(K625=0,"n.a.",M625/K625)</x:f>
        <x:v>0.9047619047619048</x:v>
      </x:c>
      <x:c r="R625" s="9" t="n">
        <x:f>IF(K625=0,"n.a.",N625/K625)</x:f>
        <x:v>0.09523809523809523</x:v>
      </x:c>
      <x:c r="S625" s="7" t="n">
        <x:v>-31</x:v>
      </x:c>
      <x:c r="T625" s="10" t="n">
        <x:v>0.2</x:v>
      </x:c>
      <x:c r="U625" s="7" t="n">
        <x:v>252</x:v>
      </x:c>
      <x:c r="V625" s="7" t="n">
        <x:v>430</x:v>
      </x:c>
    </x:row>
    <x:row r="626" ht="16" customHeight="1">
      <x:c r="A626" s="7" t="n">
        <x:v>623</x:v>
      </x:c>
      <x:c r="B626" s="8" t="n">
        <x:v>46116</x:v>
      </x:c>
      <x:c r="C626" s="7" t="str">
        <x:v>Bind</x:v>
      </x:c>
      <x:c r="D626" s="7" t="str">
        <x:v>MVP</x:v>
      </x:c>
      <x:c r="E626" s="7" t="str">
        <x:v>Neon</x:v>
      </x:c>
      <x:c r="F626" s="7" t="n">
        <x:v>13</x:v>
      </x:c>
      <x:c r="G626" s="7" t="n">
        <x:v>9</x:v>
      </x:c>
      <x:c r="H626" s="7" t="str">
        <x:f>IF(F626&gt;G626,"Win",IF(F626&lt;G626,"Loss","Draw"))</x:f>
        <x:v>Win</x:v>
      </x:c>
      <x:c r="I626" s="7" t="n">
        <x:f>IF(H626="Win",1,0)</x:f>
        <x:v>1</x:v>
      </x:c>
      <x:c r="J626" s="7" t="n">
        <x:f>F626-G626</x:f>
        <x:v>4</x:v>
      </x:c>
      <x:c r="K626" s="7" t="n">
        <x:f>F626+G626</x:f>
        <x:v>22</x:v>
      </x:c>
      <x:c r="L626" s="7" t="n">
        <x:v>32</x:v>
      </x:c>
      <x:c r="M626" s="7" t="n">
        <x:v>14</x:v>
      </x:c>
      <x:c r="N626" s="7" t="n">
        <x:v>6</x:v>
      </x:c>
      <x:c r="O626" s="9" t="n">
        <x:f>IF(M626=0,"n.a.",L626/M626)</x:f>
        <x:v>2.2857142857142856</x:v>
      </x:c>
      <x:c r="P626" s="9" t="n">
        <x:f>IF(K626=0,"n.a.",L626/K626)</x:f>
        <x:v>1.4545454545454546</x:v>
      </x:c>
      <x:c r="Q626" s="9" t="n">
        <x:f>IF(K626=0,"n.a.",M626/K626)</x:f>
        <x:v>0.6363636363636364</x:v>
      </x:c>
      <x:c r="R626" s="9" t="n">
        <x:f>IF(K626=0,"n.a.",N626/K626)</x:f>
        <x:v>0.2727272727272727</x:v>
      </x:c>
      <x:c r="S626" s="7" t="n">
        <x:v>107</x:v>
      </x:c>
      <x:c r="T626" s="10" t="n">
        <x:v>0.26</x:v>
      </x:c>
      <x:c r="U626" s="7" t="n">
        <x:v>411</x:v>
      </x:c>
      <x:c r="V626" s="7" t="n">
        <x:v>978</x:v>
      </x:c>
    </x:row>
    <x:row r="627" ht="16" customHeight="1">
      <x:c r="A627" s="7" t="n">
        <x:v>624</x:v>
      </x:c>
      <x:c r="B627" s="8" t="n">
        <x:v>46116</x:v>
      </x:c>
      <x:c r="C627" s="7" t="str">
        <x:v>Breeze</x:v>
      </x:c>
      <x:c r="D627" s="7" t="str">
        <x:v>8th</x:v>
      </x:c>
      <x:c r="E627" s="7" t="str">
        <x:v>Miks</x:v>
      </x:c>
      <x:c r="F627" s="7" t="n">
        <x:v>13</x:v>
      </x:c>
      <x:c r="G627" s="7" t="n">
        <x:v>9</x:v>
      </x:c>
      <x:c r="H627" s="7" t="str">
        <x:f>IF(F627&gt;G627,"Win",IF(F627&lt;G627,"Loss","Draw"))</x:f>
        <x:v>Win</x:v>
      </x:c>
      <x:c r="I627" s="7" t="n">
        <x:f>IF(H627="Win",1,0)</x:f>
        <x:v>1</x:v>
      </x:c>
      <x:c r="J627" s="7" t="n">
        <x:f>F627-G627</x:f>
        <x:v>4</x:v>
      </x:c>
      <x:c r="K627" s="7" t="n">
        <x:f>F627+G627</x:f>
        <x:v>22</x:v>
      </x:c>
      <x:c r="L627" s="7" t="n">
        <x:v>13</x:v>
      </x:c>
      <x:c r="M627" s="7" t="n">
        <x:v>19</x:v>
      </x:c>
      <x:c r="N627" s="7" t="n">
        <x:v>11</x:v>
      </x:c>
      <x:c r="O627" s="9" t="n">
        <x:f>IF(M627=0,"n.a.",L627/M627)</x:f>
        <x:v>0.6842105263157895</x:v>
      </x:c>
      <x:c r="P627" s="9" t="n">
        <x:f>IF(K627=0,"n.a.",L627/K627)</x:f>
        <x:v>0.5909090909090909</x:v>
      </x:c>
      <x:c r="Q627" s="9" t="n">
        <x:f>IF(K627=0,"n.a.",M627/K627)</x:f>
        <x:v>0.8636363636363636</x:v>
      </x:c>
      <x:c r="R627" s="9" t="n">
        <x:f>IF(K627=0,"n.a.",N627/K627)</x:f>
        <x:v>0.5</x:v>
      </x:c>
      <x:c r="S627" s="7" t="n">
        <x:v>-36</x:v>
      </x:c>
      <x:c r="T627" s="10" t="n">
        <x:v>0.33</x:v>
      </x:c>
      <x:c r="U627" s="7" t="n">
        <x:v>181</x:v>
      </x:c>
      <x:c r="V627" s="7" t="n">
        <x:v>451</x:v>
      </x:c>
    </x:row>
    <x:row r="628" ht="16" customHeight="1">
      <x:c r="A628" s="7" t="n">
        <x:v>625</x:v>
      </x:c>
      <x:c r="B628" s="8" t="n">
        <x:v>46116</x:v>
      </x:c>
      <x:c r="C628" s="7" t="str">
        <x:v>Breeze</x:v>
      </x:c>
      <x:c r="D628" s="7" t="str">
        <x:v>3rd</x:v>
      </x:c>
      <x:c r="E628" s="7" t="str">
        <x:v>Neon</x:v>
      </x:c>
      <x:c r="F628" s="7" t="n">
        <x:v>13</x:v>
      </x:c>
      <x:c r="G628" s="7" t="n">
        <x:v>7</x:v>
      </x:c>
      <x:c r="H628" s="7" t="str">
        <x:f>IF(F628&gt;G628,"Win",IF(F628&lt;G628,"Loss","Draw"))</x:f>
        <x:v>Win</x:v>
      </x:c>
      <x:c r="I628" s="7" t="n">
        <x:f>IF(H628="Win",1,0)</x:f>
        <x:v>1</x:v>
      </x:c>
      <x:c r="J628" s="7" t="n">
        <x:f>F628-G628</x:f>
        <x:v>6</x:v>
      </x:c>
      <x:c r="K628" s="7" t="n">
        <x:f>F628+G628</x:f>
        <x:v>20</x:v>
      </x:c>
      <x:c r="L628" s="7" t="n">
        <x:v>16</x:v>
      </x:c>
      <x:c r="M628" s="7" t="n">
        <x:v>15</x:v>
      </x:c>
      <x:c r="N628" s="7" t="n">
        <x:v>3</x:v>
      </x:c>
      <x:c r="O628" s="9" t="n">
        <x:f>IF(M628=0,"n.a.",L628/M628)</x:f>
        <x:v>1.0666666666666667</x:v>
      </x:c>
      <x:c r="P628" s="9" t="n">
        <x:f>IF(K628=0,"n.a.",L628/K628)</x:f>
        <x:v>0.8</x:v>
      </x:c>
      <x:c r="Q628" s="9" t="n">
        <x:f>IF(K628=0,"n.a.",M628/K628)</x:f>
        <x:v>0.75</x:v>
      </x:c>
      <x:c r="R628" s="9" t="n">
        <x:f>IF(K628=0,"n.a.",N628/K628)</x:f>
        <x:v>0.15</x:v>
      </x:c>
      <x:c r="S628" s="7" t="n">
        <x:v>11</x:v>
      </x:c>
      <x:c r="T628" s="10" t="n">
        <x:v>0.13</x:v>
      </x:c>
      <x:c r="U628" s="7" t="n">
        <x:v>233</x:v>
      </x:c>
      <x:c r="V628" s="7" t="n">
        <x:v>651</x:v>
      </x:c>
    </x:row>
    <x:row r="629" ht="16" customHeight="1">
      <x:c r="A629" s="7" t="n">
        <x:v>626</x:v>
      </x:c>
      <x:c r="B629" s="8" t="n">
        <x:v>46116</x:v>
      </x:c>
      <x:c r="C629" s="7" t="str">
        <x:v>Pearl</x:v>
      </x:c>
      <x:c r="D629" s="7" t="str">
        <x:v>MVP</x:v>
      </x:c>
      <x:c r="E629" s="7" t="str">
        <x:v>Neon</x:v>
      </x:c>
      <x:c r="F629" s="7" t="n">
        <x:v>5</x:v>
      </x:c>
      <x:c r="G629" s="7" t="n">
        <x:v>3</x:v>
      </x:c>
      <x:c r="H629" s="7" t="str">
        <x:f>IF(F629&gt;G629,"Win",IF(F629&lt;G629,"Loss","Draw"))</x:f>
        <x:v>Win</x:v>
      </x:c>
      <x:c r="I629" s="7" t="n">
        <x:f>IF(H629="Win",1,0)</x:f>
        <x:v>1</x:v>
      </x:c>
      <x:c r="J629" s="7" t="n">
        <x:f>F629-G629</x:f>
        <x:v>2</x:v>
      </x:c>
      <x:c r="K629" s="7" t="n">
        <x:f>F629+G629</x:f>
        <x:v>8</x:v>
      </x:c>
      <x:c r="L629" s="7" t="n">
        <x:v>10</x:v>
      </x:c>
      <x:c r="M629" s="7" t="n">
        <x:v>4</x:v>
      </x:c>
      <x:c r="N629" s="7" t="n">
        <x:v>1</x:v>
      </x:c>
      <x:c r="O629" s="9" t="n">
        <x:f>IF(M629=0,"n.a.",L629/M629)</x:f>
        <x:v>2.5</x:v>
      </x:c>
      <x:c r="P629" s="9" t="n">
        <x:f>IF(K629=0,"n.a.",L629/K629)</x:f>
        <x:v>1.25</x:v>
      </x:c>
      <x:c r="Q629" s="9" t="n">
        <x:f>IF(K629=0,"n.a.",M629/K629)</x:f>
        <x:v>0.5</x:v>
      </x:c>
      <x:c r="R629" s="9" t="n">
        <x:f>IF(K629=0,"n.a.",N629/K629)</x:f>
        <x:v>0.125</x:v>
      </x:c>
      <x:c r="S629" s="7" t="n">
        <x:v>126</x:v>
      </x:c>
      <x:c r="T629" s="10" t="n">
        <x:v>0.2</x:v>
      </x:c>
      <x:c r="U629" s="7" t="n">
        <x:v>336</x:v>
      </x:c>
      <x:c r="V629" s="7" t="n">
        <x:v>884</x:v>
      </x:c>
    </x:row>
    <x:row r="630" ht="16" customHeight="1">
      <x:c r="A630" s="7" t="n">
        <x:v>627</x:v>
      </x:c>
      <x:c r="B630" s="8" t="n">
        <x:v>46116</x:v>
      </x:c>
      <x:c r="C630" s="7" t="str">
        <x:v>Fracture</x:v>
      </x:c>
      <x:c r="D630" s="7" t="str">
        <x:v>6th</x:v>
      </x:c>
      <x:c r="E630" s="7" t="str">
        <x:v>Neon</x:v>
      </x:c>
      <x:c r="F630" s="7" t="n">
        <x:v>13</x:v>
      </x:c>
      <x:c r="G630" s="7" t="n">
        <x:v>11</x:v>
      </x:c>
      <x:c r="H630" s="7" t="str">
        <x:f>IF(F630&gt;G630,"Win",IF(F630&lt;G630,"Loss","Draw"))</x:f>
        <x:v>Win</x:v>
      </x:c>
      <x:c r="I630" s="7" t="n">
        <x:f>IF(H630="Win",1,0)</x:f>
        <x:v>1</x:v>
      </x:c>
      <x:c r="J630" s="7" t="n">
        <x:f>F630-G630</x:f>
        <x:v>2</x:v>
      </x:c>
      <x:c r="K630" s="7" t="n">
        <x:f>F630+G630</x:f>
        <x:v>24</x:v>
      </x:c>
      <x:c r="L630" s="7" t="n">
        <x:v>17</x:v>
      </x:c>
      <x:c r="M630" s="7" t="n">
        <x:v>21</x:v>
      </x:c>
      <x:c r="N630" s="7" t="n">
        <x:v>6</x:v>
      </x:c>
      <x:c r="O630" s="9" t="n">
        <x:f>IF(M630=0,"n.a.",L630/M630)</x:f>
        <x:v>0.8095238095238095</x:v>
      </x:c>
      <x:c r="P630" s="9" t="n">
        <x:f>IF(K630=0,"n.a.",L630/K630)</x:f>
        <x:v>0.7083333333333334</x:v>
      </x:c>
      <x:c r="Q630" s="9" t="n">
        <x:f>IF(K630=0,"n.a.",M630/K630)</x:f>
        <x:v>0.875</x:v>
      </x:c>
      <x:c r="R630" s="9" t="n">
        <x:f>IF(K630=0,"n.a.",N630/K630)</x:f>
        <x:v>0.25</x:v>
      </x:c>
      <x:c r="S630" s="7" t="n">
        <x:v>-29</x:v>
      </x:c>
      <x:c r="T630" s="10" t="n">
        <x:v>0.26</x:v>
      </x:c>
      <x:c r="U630" s="7" t="n">
        <x:v>215</x:v>
      </x:c>
      <x:c r="V630" s="7" t="n">
        <x:v>600</x:v>
      </x:c>
    </x:row>
    <x:row r="631" ht="16" customHeight="1">
      <x:c r="A631" s="7" t="n">
        <x:v>628</x:v>
      </x:c>
      <x:c r="B631" s="8" t="n">
        <x:v>46116</x:v>
      </x:c>
      <x:c r="C631" s="7" t="str">
        <x:v>Pearl</x:v>
      </x:c>
      <x:c r="D631" s="7" t="str">
        <x:v>6th</x:v>
      </x:c>
      <x:c r="E631" s="7" t="str">
        <x:v>Neon</x:v>
      </x:c>
      <x:c r="F631" s="7" t="n">
        <x:v>3</x:v>
      </x:c>
      <x:c r="G631" s="7" t="n">
        <x:v>13</x:v>
      </x:c>
      <x:c r="H631" s="7" t="str">
        <x:f>IF(F631&gt;G631,"Win",IF(F631&lt;G631,"Loss","Draw"))</x:f>
        <x:v>Loss</x:v>
      </x:c>
      <x:c r="I631" s="7" t="n">
        <x:f>IF(H631="Win",1,0)</x:f>
        <x:v>0</x:v>
      </x:c>
      <x:c r="J631" s="7" t="n">
        <x:f>F631-G631</x:f>
        <x:v>-10</x:v>
      </x:c>
      <x:c r="K631" s="7" t="n">
        <x:f>F631+G631</x:f>
        <x:v>16</x:v>
      </x:c>
      <x:c r="L631" s="7" t="n">
        <x:v>11</x:v>
      </x:c>
      <x:c r="M631" s="7" t="n">
        <x:v>14</x:v>
      </x:c>
      <x:c r="N631" s="7" t="n">
        <x:v>2</x:v>
      </x:c>
      <x:c r="O631" s="9" t="n">
        <x:f>IF(M631=0,"n.a.",L631/M631)</x:f>
        <x:v>0.7857142857142857</x:v>
      </x:c>
      <x:c r="P631" s="9" t="n">
        <x:f>IF(K631=0,"n.a.",L631/K631)</x:f>
        <x:v>0.6875</x:v>
      </x:c>
      <x:c r="Q631" s="9" t="n">
        <x:f>IF(K631=0,"n.a.",M631/K631)</x:f>
        <x:v>0.875</x:v>
      </x:c>
      <x:c r="R631" s="9" t="n">
        <x:f>IF(K631=0,"n.a.",N631/K631)</x:f>
        <x:v>0.125</x:v>
      </x:c>
      <x:c r="S631" s="7" t="n">
        <x:v>-36</x:v>
      </x:c>
      <x:c r="T631" s="10" t="n">
        <x:v>0.23</x:v>
      </x:c>
      <x:c r="U631" s="7" t="n">
        <x:v>194</x:v>
      </x:c>
      <x:c r="V631" s="7" t="n">
        <x:v>232</x:v>
      </x:c>
    </x:row>
    <x:row r="632" ht="16" customHeight="1">
      <x:c r="A632" s="7" t="n">
        <x:v>629</x:v>
      </x:c>
      <x:c r="B632" s="8" t="n">
        <x:v>46116</x:v>
      </x:c>
      <x:c r="C632" s="7" t="str">
        <x:v>Haven</x:v>
      </x:c>
      <x:c r="D632" s="7" t="str">
        <x:v>2nd</x:v>
      </x:c>
      <x:c r="E632" s="7" t="str">
        <x:v>Neon</x:v>
      </x:c>
      <x:c r="F632" s="7" t="n">
        <x:v>13</x:v>
      </x:c>
      <x:c r="G632" s="7" t="n">
        <x:v>8</x:v>
      </x:c>
      <x:c r="H632" s="7" t="str">
        <x:f>IF(F632&gt;G632,"Win",IF(F632&lt;G632,"Loss","Draw"))</x:f>
        <x:v>Win</x:v>
      </x:c>
      <x:c r="I632" s="7" t="n">
        <x:f>IF(H632="Win",1,0)</x:f>
        <x:v>1</x:v>
      </x:c>
      <x:c r="J632" s="7" t="n">
        <x:f>F632-G632</x:f>
        <x:v>5</x:v>
      </x:c>
      <x:c r="K632" s="7" t="n">
        <x:f>F632+G632</x:f>
        <x:v>21</x:v>
      </x:c>
      <x:c r="L632" s="7" t="n">
        <x:v>18</x:v>
      </x:c>
      <x:c r="M632" s="7" t="n">
        <x:v>16</x:v>
      </x:c>
      <x:c r="N632" s="7" t="n">
        <x:v>1</x:v>
      </x:c>
      <x:c r="O632" s="9" t="n">
        <x:f>IF(M632=0,"n.a.",L632/M632)</x:f>
        <x:v>1.125</x:v>
      </x:c>
      <x:c r="P632" s="9" t="n">
        <x:f>IF(K632=0,"n.a.",L632/K632)</x:f>
        <x:v>0.8571428571428571</x:v>
      </x:c>
      <x:c r="Q632" s="9" t="n">
        <x:f>IF(K632=0,"n.a.",M632/K632)</x:f>
        <x:v>0.7619047619047619</x:v>
      </x:c>
      <x:c r="R632" s="9" t="n">
        <x:f>IF(K632=0,"n.a.",N632/K632)</x:f>
        <x:v>0.047619047619047616</x:v>
      </x:c>
      <x:c r="S632" s="7" t="n">
        <x:v>-26</x:v>
      </x:c>
      <x:c r="T632" s="10" t="n">
        <x:v>0.13</x:v>
      </x:c>
      <x:c r="U632" s="7" t="n">
        <x:v>239</x:v>
      </x:c>
      <x:c r="V632" s="7" t="n">
        <x:v>598</x:v>
      </x:c>
    </x:row>
    <x:row r="633" ht="16" customHeight="1">
      <x:c r="A633" s="7" t="n">
        <x:v>630</x:v>
      </x:c>
      <x:c r="B633" s="8" t="n">
        <x:v>46117</x:v>
      </x:c>
      <x:c r="C633" s="7" t="str">
        <x:v>Breeze</x:v>
      </x:c>
      <x:c r="D633" s="7" t="str">
        <x:v>10th</x:v>
      </x:c>
      <x:c r="E633" s="7" t="str">
        <x:v>Neon</x:v>
      </x:c>
      <x:c r="F633" s="7" t="n">
        <x:v>11</x:v>
      </x:c>
      <x:c r="G633" s="7" t="n">
        <x:v>13</x:v>
      </x:c>
      <x:c r="H633" s="7" t="str">
        <x:f>IF(F633&gt;G633,"Win",IF(F633&lt;G633,"Loss","Draw"))</x:f>
        <x:v>Loss</x:v>
      </x:c>
      <x:c r="I633" s="7" t="n">
        <x:f>IF(H633="Win",1,0)</x:f>
        <x:v>0</x:v>
      </x:c>
      <x:c r="J633" s="7" t="n">
        <x:f>F633-G633</x:f>
        <x:v>-2</x:v>
      </x:c>
      <x:c r="K633" s="7" t="n">
        <x:f>F633+G633</x:f>
        <x:v>24</x:v>
      </x:c>
      <x:c r="L633" s="7" t="n">
        <x:v>8</x:v>
      </x:c>
      <x:c r="M633" s="7" t="n">
        <x:v>21</x:v>
      </x:c>
      <x:c r="N633" s="7" t="n">
        <x:v>3</x:v>
      </x:c>
      <x:c r="O633" s="9" t="n">
        <x:f>IF(M633=0,"n.a.",L633/M633)</x:f>
        <x:v>0.38095238095238093</x:v>
      </x:c>
      <x:c r="P633" s="9" t="n">
        <x:f>IF(K633=0,"n.a.",L633/K633)</x:f>
        <x:v>0.3333333333333333</x:v>
      </x:c>
      <x:c r="Q633" s="9" t="n">
        <x:f>IF(K633=0,"n.a.",M633/K633)</x:f>
        <x:v>0.875</x:v>
      </x:c>
      <x:c r="R633" s="9" t="n">
        <x:f>IF(K633=0,"n.a.",N633/K633)</x:f>
        <x:v>0.125</x:v>
      </x:c>
      <x:c r="S633" s="7" t="n">
        <x:v>-80</x:v>
      </x:c>
      <x:c r="T633" s="10" t="n">
        <x:v>0.18</x:v>
      </x:c>
      <x:c r="U633" s="7" t="n">
        <x:v>109</x:v>
      </x:c>
      <x:c r="V633" s="7" t="n">
        <x:v>197</x:v>
      </x:c>
    </x:row>
    <x:row r="634" ht="16" customHeight="1">
      <x:c r="A634" s="7" t="n">
        <x:v>631</x:v>
      </x:c>
      <x:c r="B634" s="8" t="n">
        <x:v>46123</x:v>
      </x:c>
      <x:c r="C634" s="7" t="str">
        <x:v>Haven</x:v>
      </x:c>
      <x:c r="D634" s="7" t="str">
        <x:v>MVP</x:v>
      </x:c>
      <x:c r="E634" s="7" t="str">
        <x:v>Miks</x:v>
      </x:c>
      <x:c r="F634" s="7" t="n">
        <x:v>13</x:v>
      </x:c>
      <x:c r="G634" s="7" t="n">
        <x:v>11</x:v>
      </x:c>
      <x:c r="H634" s="7" t="str">
        <x:f>IF(F634&gt;G634,"Win",IF(F634&lt;G634,"Loss","Draw"))</x:f>
        <x:v>Win</x:v>
      </x:c>
      <x:c r="I634" s="7" t="n">
        <x:f>IF(H634="Win",1,0)</x:f>
        <x:v>1</x:v>
      </x:c>
      <x:c r="J634" s="7" t="n">
        <x:f>F634-G634</x:f>
        <x:v>2</x:v>
      </x:c>
      <x:c r="K634" s="7" t="n">
        <x:f>F634+G634</x:f>
        <x:v>24</x:v>
      </x:c>
      <x:c r="L634" s="7" t="n">
        <x:v>24</x:v>
      </x:c>
      <x:c r="M634" s="7" t="n">
        <x:v>20</x:v>
      </x:c>
      <x:c r="N634" s="7" t="n">
        <x:v>11</x:v>
      </x:c>
      <x:c r="O634" s="9" t="n">
        <x:f>IF(M634=0,"n.a.",L634/M634)</x:f>
        <x:v>1.2</x:v>
      </x:c>
      <x:c r="P634" s="9" t="n">
        <x:f>IF(K634=0,"n.a.",L634/K634)</x:f>
        <x:v>1</x:v>
      </x:c>
      <x:c r="Q634" s="9" t="n">
        <x:f>IF(K634=0,"n.a.",M634/K634)</x:f>
        <x:v>0.8333333333333334</x:v>
      </x:c>
      <x:c r="R634" s="9" t="n">
        <x:f>IF(K634=0,"n.a.",N634/K634)</x:f>
        <x:v>0.4583333333333333</x:v>
      </x:c>
      <x:c r="S634" s="7" t="n">
        <x:v>22</x:v>
      </x:c>
      <x:c r="T634" s="10" t="n">
        <x:v>0.37</x:v>
      </x:c>
      <x:c r="U634" s="7" t="n">
        <x:v>299</x:v>
      </x:c>
      <x:c r="V634" s="7" t="n">
        <x:v>684</x:v>
      </x:c>
    </x:row>
    <x:row r="635" ht="16" customHeight="1">
      <x:c r="A635" s="7" t="n">
        <x:v>632</x:v>
      </x:c>
      <x:c r="B635" s="8" t="n">
        <x:v>46123</x:v>
      </x:c>
      <x:c r="C635" s="7" t="str">
        <x:v>Haven</x:v>
      </x:c>
      <x:c r="D635" s="7" t="str">
        <x:v>MVP</x:v>
      </x:c>
      <x:c r="E635" s="7" t="str">
        <x:v>Neon</x:v>
      </x:c>
      <x:c r="F635" s="7" t="n">
        <x:v>13</x:v>
      </x:c>
      <x:c r="G635" s="7" t="n">
        <x:v>5</x:v>
      </x:c>
      <x:c r="H635" s="7" t="str">
        <x:f>IF(F635&gt;G635,"Win",IF(F635&lt;G635,"Loss","Draw"))</x:f>
        <x:v>Win</x:v>
      </x:c>
      <x:c r="I635" s="7" t="n">
        <x:f>IF(H635="Win",1,0)</x:f>
        <x:v>1</x:v>
      </x:c>
      <x:c r="J635" s="7" t="n">
        <x:f>F635-G635</x:f>
        <x:v>8</x:v>
      </x:c>
      <x:c r="K635" s="7" t="n">
        <x:f>F635+G635</x:f>
        <x:v>18</x:v>
      </x:c>
      <x:c r="L635" s="7" t="n">
        <x:v>26</x:v>
      </x:c>
      <x:c r="M635" s="7" t="n">
        <x:v>11</x:v>
      </x:c>
      <x:c r="N635" s="7" t="n">
        <x:v>2</x:v>
      </x:c>
      <x:c r="O635" s="9" t="n">
        <x:f>IF(M635=0,"n.a.",L635/M635)</x:f>
        <x:v>2.3636363636363638</x:v>
      </x:c>
      <x:c r="P635" s="9" t="n">
        <x:f>IF(K635=0,"n.a.",L635/K635)</x:f>
        <x:v>1.4444444444444444</x:v>
      </x:c>
      <x:c r="Q635" s="9" t="n">
        <x:f>IF(K635=0,"n.a.",M635/K635)</x:f>
        <x:v>0.6111111111111112</x:v>
      </x:c>
      <x:c r="R635" s="9" t="n">
        <x:f>IF(K635=0,"n.a.",N635/K635)</x:f>
        <x:v>0.1111111111111111</x:v>
      </x:c>
      <x:c r="S635" s="7" t="n">
        <x:v>107</x:v>
      </x:c>
      <x:c r="T635" s="10" t="n">
        <x:v>0.24</x:v>
      </x:c>
      <x:c r="U635" s="7" t="n">
        <x:v>398</x:v>
      </x:c>
      <x:c r="V635" s="7" t="n">
        <x:v>993</x:v>
      </x:c>
    </x:row>
    <x:row r="636" ht="16" customHeight="1">
      <x:c r="A636" s="7" t="n">
        <x:v>633</x:v>
      </x:c>
      <x:c r="B636" s="8" t="n">
        <x:v>46123</x:v>
      </x:c>
      <x:c r="C636" s="7" t="str">
        <x:v>Pearl</x:v>
      </x:c>
      <x:c r="D636" s="7" t="str">
        <x:v>8th</x:v>
      </x:c>
      <x:c r="E636" s="7" t="str">
        <x:v>Neon</x:v>
      </x:c>
      <x:c r="F636" s="7" t="n">
        <x:v>14</x:v>
      </x:c>
      <x:c r="G636" s="7" t="n">
        <x:v>12</x:v>
      </x:c>
      <x:c r="H636" s="7" t="str">
        <x:f>IF(F636&gt;G636,"Win",IF(F636&lt;G636,"Loss","Draw"))</x:f>
        <x:v>Win</x:v>
      </x:c>
      <x:c r="I636" s="7" t="n">
        <x:f>IF(H636="Win",1,0)</x:f>
        <x:v>1</x:v>
      </x:c>
      <x:c r="J636" s="7" t="n">
        <x:f>F636-G636</x:f>
        <x:v>2</x:v>
      </x:c>
      <x:c r="K636" s="7" t="n">
        <x:f>F636+G636</x:f>
        <x:v>26</x:v>
      </x:c>
      <x:c r="L636" s="7" t="n">
        <x:v>18</x:v>
      </x:c>
      <x:c r="M636" s="7" t="n">
        <x:v>21</x:v>
      </x:c>
      <x:c r="N636" s="7" t="n">
        <x:v>4</x:v>
      </x:c>
      <x:c r="O636" s="9" t="n">
        <x:f>IF(M636=0,"n.a.",L636/M636)</x:f>
        <x:v>0.8571428571428571</x:v>
      </x:c>
      <x:c r="P636" s="9" t="n">
        <x:f>IF(K636=0,"n.a.",L636/K636)</x:f>
        <x:v>0.6923076923076923</x:v>
      </x:c>
      <x:c r="Q636" s="9" t="n">
        <x:f>IF(K636=0,"n.a.",M636/K636)</x:f>
        <x:v>0.8076923076923077</x:v>
      </x:c>
      <x:c r="R636" s="9" t="n">
        <x:f>IF(K636=0,"n.a.",N636/K636)</x:f>
        <x:v>0.15384615384615385</x:v>
      </x:c>
      <x:c r="S636" s="7" t="n">
        <x:v>-18</x:v>
      </x:c>
      <x:c r="T636" s="10" t="n">
        <x:v>0.18</x:v>
      </x:c>
      <x:c r="U636" s="7" t="n">
        <x:v>200</x:v>
      </x:c>
      <x:c r="V636" s="7" t="n">
        <x:v>502</x:v>
      </x:c>
    </x:row>
    <x:row r="637" ht="16" customHeight="1">
      <x:c r="A637" s="7" t="n">
        <x:v>634</x:v>
      </x:c>
      <x:c r="B637" s="8" t="n">
        <x:v>46124</x:v>
      </x:c>
      <x:c r="C637" s="7" t="str">
        <x:v>Lotus</x:v>
      </x:c>
      <x:c r="D637" s="7" t="str">
        <x:v>7th</x:v>
      </x:c>
      <x:c r="E637" s="7" t="str">
        <x:v>Neon</x:v>
      </x:c>
      <x:c r="F637" s="7" t="n">
        <x:v>2</x:v>
      </x:c>
      <x:c r="G637" s="7" t="n">
        <x:v>13</x:v>
      </x:c>
      <x:c r="H637" s="7" t="str">
        <x:f>IF(F637&gt;G637,"Win",IF(F637&lt;G637,"Loss","Draw"))</x:f>
        <x:v>Loss</x:v>
      </x:c>
      <x:c r="I637" s="7" t="n">
        <x:f>IF(H637="Win",1,0)</x:f>
        <x:v>0</x:v>
      </x:c>
      <x:c r="J637" s="7" t="n">
        <x:f>F637-G637</x:f>
        <x:v>-11</x:v>
      </x:c>
      <x:c r="K637" s="7" t="n">
        <x:f>F637+G637</x:f>
        <x:v>15</x:v>
      </x:c>
      <x:c r="L637" s="7" t="n">
        <x:v>10</x:v>
      </x:c>
      <x:c r="M637" s="7" t="n">
        <x:v>14</x:v>
      </x:c>
      <x:c r="N637" s="7" t="n">
        <x:v>4</x:v>
      </x:c>
      <x:c r="O637" s="9" t="n">
        <x:f>IF(M637=0,"n.a.",L637/M637)</x:f>
        <x:v>0.7142857142857143</x:v>
      </x:c>
      <x:c r="P637" s="9" t="n">
        <x:f>IF(K637=0,"n.a.",L637/K637)</x:f>
        <x:v>0.6666666666666666</x:v>
      </x:c>
      <x:c r="Q637" s="9" t="n">
        <x:f>IF(K637=0,"n.a.",M637/K637)</x:f>
        <x:v>0.9333333333333333</x:v>
      </x:c>
      <x:c r="R637" s="9" t="n">
        <x:f>IF(K637=0,"n.a.",N637/K637)</x:f>
        <x:v>0.26666666666666666</x:v>
      </x:c>
      <x:c r="S637" s="7" t="n">
        <x:v>-51</x:v>
      </x:c>
      <x:c r="T637" s="10" t="n">
        <x:v>0.17</x:v>
      </x:c>
      <x:c r="U637" s="7" t="n">
        <x:v>181</x:v>
      </x:c>
      <x:c r="V637" s="7" t="n">
        <x:v>222</x:v>
      </x:c>
    </x:row>
    <x:row r="638" ht="16" customHeight="1">
      <x:c r="A638" s="7" t="n">
        <x:v>635</x:v>
      </x:c>
      <x:c r="B638" s="8" t="n">
        <x:v>46124</x:v>
      </x:c>
      <x:c r="C638" s="7" t="str">
        <x:v>Breeze</x:v>
      </x:c>
      <x:c r="D638" s="7" t="str">
        <x:v>2nd</x:v>
      </x:c>
      <x:c r="E638" s="7" t="str">
        <x:v>Neon</x:v>
      </x:c>
      <x:c r="F638" s="7" t="n">
        <x:v>4</x:v>
      </x:c>
      <x:c r="G638" s="7" t="n">
        <x:v>0</x:v>
      </x:c>
      <x:c r="H638" s="7" t="str">
        <x:f>IF(F638&gt;G638,"Win",IF(F638&lt;G638,"Loss","Draw"))</x:f>
        <x:v>Win</x:v>
      </x:c>
      <x:c r="I638" s="7" t="n">
        <x:f>IF(H638="Win",1,0)</x:f>
        <x:v>1</x:v>
      </x:c>
      <x:c r="J638" s="7" t="n">
        <x:f>F638-G638</x:f>
        <x:v>4</x:v>
      </x:c>
      <x:c r="K638" s="7" t="n">
        <x:f>F638+G638</x:f>
        <x:v>4</x:v>
      </x:c>
      <x:c r="L638" s="7" t="n">
        <x:v>5</x:v>
      </x:c>
      <x:c r="M638" s="7" t="n">
        <x:v>2</x:v>
      </x:c>
      <x:c r="N638" s="7" t="n">
        <x:v>0</x:v>
      </x:c>
      <x:c r="O638" s="9" t="n">
        <x:f>IF(M638=0,"n.a.",L638/M638)</x:f>
        <x:v>2.5</x:v>
      </x:c>
      <x:c r="P638" s="9" t="n">
        <x:f>IF(K638=0,"n.a.",L638/K638)</x:f>
        <x:v>1.25</x:v>
      </x:c>
      <x:c r="Q638" s="9" t="n">
        <x:f>IF(K638=0,"n.a.",M638/K638)</x:f>
        <x:v>0.5</x:v>
      </x:c>
      <x:c r="R638" s="9" t="n">
        <x:f>IF(K638=0,"n.a.",N638/K638)</x:f>
        <x:v>0</x:v>
      </x:c>
      <x:c r="S638" s="7" t="n">
        <x:v>37</x:v>
      </x:c>
      <x:c r="T638" s="10" t="n">
        <x:v>0.19</x:v>
      </x:c>
      <x:c r="U638" s="7" t="n">
        <x:v>299</x:v>
      </x:c>
      <x:c r="V638" s="7" t="n">
        <x:v>815</x:v>
      </x:c>
    </x:row>
    <x:row r="639" ht="16" customHeight="1">
      <x:c r="A639" s="7" t="n">
        <x:v>636</x:v>
      </x:c>
      <x:c r="B639" s="8" t="n">
        <x:v>46128</x:v>
      </x:c>
      <x:c r="C639" s="7" t="str">
        <x:v>Split</x:v>
      </x:c>
      <x:c r="D639" s="7" t="str">
        <x:v>2nd</x:v>
      </x:c>
      <x:c r="E639" s="7" t="str">
        <x:v>Neon</x:v>
      </x:c>
      <x:c r="F639" s="7" t="n">
        <x:v>13</x:v>
      </x:c>
      <x:c r="G639" s="7" t="n">
        <x:v>8</x:v>
      </x:c>
      <x:c r="H639" s="7" t="str">
        <x:f>IF(F639&gt;G639,"Win",IF(F639&lt;G639,"Loss","Draw"))</x:f>
        <x:v>Win</x:v>
      </x:c>
      <x:c r="I639" s="7" t="n">
        <x:f>IF(H639="Win",1,0)</x:f>
        <x:v>1</x:v>
      </x:c>
      <x:c r="J639" s="7" t="n">
        <x:f>F639-G639</x:f>
        <x:v>5</x:v>
      </x:c>
      <x:c r="K639" s="7" t="n">
        <x:f>F639+G639</x:f>
        <x:v>21</x:v>
      </x:c>
      <x:c r="L639" s="7" t="n">
        <x:v>19</x:v>
      </x:c>
      <x:c r="M639" s="7" t="n">
        <x:v>16</x:v>
      </x:c>
      <x:c r="N639" s="7" t="n">
        <x:v>4</x:v>
      </x:c>
      <x:c r="O639" s="9" t="n">
        <x:f>IF(M639=0,"n.a.",L639/M639)</x:f>
        <x:v>1.1875</x:v>
      </x:c>
      <x:c r="P639" s="9" t="n">
        <x:f>IF(K639=0,"n.a.",L639/K639)</x:f>
        <x:v>0.9047619047619048</x:v>
      </x:c>
      <x:c r="Q639" s="9" t="n">
        <x:f>IF(K639=0,"n.a.",M639/K639)</x:f>
        <x:v>0.7619047619047619</x:v>
      </x:c>
      <x:c r="R639" s="9" t="n">
        <x:f>IF(K639=0,"n.a.",N639/K639)</x:f>
        <x:v>0.19047619047619047</x:v>
      </x:c>
      <x:c r="S639" s="7" t="n">
        <x:v>-13</x:v>
      </x:c>
      <x:c r="T639" s="10" t="n">
        <x:v>0.23</x:v>
      </x:c>
      <x:c r="U639" s="7" t="n">
        <x:v>251</x:v>
      </x:c>
      <x:c r="V639" s="7" t="n">
        <x:v>639</x:v>
      </x:c>
    </x:row>
    <x:row r="640" ht="16" customHeight="1">
      <x:c r="A640" s="7" t="n">
        <x:v>637</x:v>
      </x:c>
      <x:c r="B640" s="8" t="n">
        <x:v>46129</x:v>
      </x:c>
      <x:c r="C640" s="7" t="str">
        <x:v>Breeze</x:v>
      </x:c>
      <x:c r="D640" s="7" t="str">
        <x:v>8th</x:v>
      </x:c>
      <x:c r="E640" s="7" t="str">
        <x:v>Neon</x:v>
      </x:c>
      <x:c r="F640" s="7" t="n">
        <x:v>13</x:v>
      </x:c>
      <x:c r="G640" s="7" t="n">
        <x:v>0</x:v>
      </x:c>
      <x:c r="H640" s="7" t="str">
        <x:f>IF(F640&gt;G640,"Win",IF(F640&lt;G640,"Loss","Draw"))</x:f>
        <x:v>Win</x:v>
      </x:c>
      <x:c r="I640" s="7" t="n">
        <x:f>IF(H640="Win",1,0)</x:f>
        <x:v>1</x:v>
      </x:c>
      <x:c r="J640" s="7" t="n">
        <x:f>F640-G640</x:f>
        <x:v>13</x:v>
      </x:c>
      <x:c r="K640" s="7" t="n">
        <x:f>F640+G640</x:f>
        <x:v>13</x:v>
      </x:c>
      <x:c r="L640" s="7" t="n">
        <x:v>7</x:v>
      </x:c>
      <x:c r="M640" s="7" t="n">
        <x:v>8</x:v>
      </x:c>
      <x:c r="N640" s="7" t="n">
        <x:v>3</x:v>
      </x:c>
      <x:c r="O640" s="9" t="n">
        <x:f>IF(M640=0,"n.a.",L640/M640)</x:f>
        <x:v>0.875</x:v>
      </x:c>
      <x:c r="P640" s="9" t="n">
        <x:f>IF(K640=0,"n.a.",L640/K640)</x:f>
        <x:v>0.5384615384615384</x:v>
      </x:c>
      <x:c r="Q640" s="9" t="n">
        <x:f>IF(K640=0,"n.a.",M640/K640)</x:f>
        <x:v>0.6153846153846154</x:v>
      </x:c>
      <x:c r="R640" s="9" t="n">
        <x:f>IF(K640=0,"n.a.",N640/K640)</x:f>
        <x:v>0.23076923076923078</x:v>
      </x:c>
      <x:c r="S640" s="7" t="n">
        <x:v>-4</x:v>
      </x:c>
      <x:c r="T640" s="10" t="n">
        <x:v>0.27</x:v>
      </x:c>
      <x:c r="U640" s="7" t="n">
        <x:v>161</x:v>
      </x:c>
      <x:c r="V640" s="7" t="n">
        <x:v>492</x:v>
      </x:c>
    </x:row>
    <x:row r="641" ht="16" customHeight="1">
      <x:c r="A641" s="7" t="n">
        <x:v>638</x:v>
      </x:c>
      <x:c r="B641" s="8" t="n">
        <x:v>46129</x:v>
      </x:c>
      <x:c r="C641" s="7" t="str">
        <x:v>Fracture</x:v>
      </x:c>
      <x:c r="D641" s="7" t="str">
        <x:v>8th</x:v>
      </x:c>
      <x:c r="E641" s="7" t="str">
        <x:v>Neon</x:v>
      </x:c>
      <x:c r="F641" s="7" t="n">
        <x:v>13</x:v>
      </x:c>
      <x:c r="G641" s="7" t="n">
        <x:v>15</x:v>
      </x:c>
      <x:c r="H641" s="7" t="str">
        <x:f>IF(F641&gt;G641,"Win",IF(F641&lt;G641,"Loss","Draw"))</x:f>
        <x:v>Loss</x:v>
      </x:c>
      <x:c r="I641" s="7" t="n">
        <x:f>IF(H641="Win",1,0)</x:f>
        <x:v>0</x:v>
      </x:c>
      <x:c r="J641" s="7" t="n">
        <x:f>F641-G641</x:f>
        <x:v>-2</x:v>
      </x:c>
      <x:c r="K641" s="7" t="n">
        <x:f>F641+G641</x:f>
        <x:v>28</x:v>
      </x:c>
      <x:c r="L641" s="7" t="n">
        <x:v>19</x:v>
      </x:c>
      <x:c r="M641" s="7" t="n">
        <x:v>24</x:v>
      </x:c>
      <x:c r="N641" s="7" t="n">
        <x:v>2</x:v>
      </x:c>
      <x:c r="O641" s="9" t="n">
        <x:f>IF(M641=0,"n.a.",L641/M641)</x:f>
        <x:v>0.7916666666666666</x:v>
      </x:c>
      <x:c r="P641" s="9" t="n">
        <x:f>IF(K641=0,"n.a.",L641/K641)</x:f>
        <x:v>0.6785714285714286</x:v>
      </x:c>
      <x:c r="Q641" s="9" t="n">
        <x:f>IF(K641=0,"n.a.",M641/K641)</x:f>
        <x:v>0.8571428571428571</x:v>
      </x:c>
      <x:c r="R641" s="9" t="n">
        <x:f>IF(K641=0,"n.a.",N641/K641)</x:f>
        <x:v>0.07142857142857142</x:v>
      </x:c>
      <x:c r="S641" s="7" t="n">
        <x:v>-55</x:v>
      </x:c>
      <x:c r="T641" s="10" t="n">
        <x:v>0.17</x:v>
      </x:c>
      <x:c r="U641" s="7" t="n">
        <x:v>179</x:v>
      </x:c>
      <x:c r="V641" s="7" t="n">
        <x:v>297</x:v>
      </x:c>
    </x:row>
    <x:row r="642" ht="16" customHeight="1">
      <x:c r="A642" s="7" t="n">
        <x:v>639</x:v>
      </x:c>
      <x:c r="B642" s="8" t="n">
        <x:v>46129</x:v>
      </x:c>
      <x:c r="C642" s="7" t="str">
        <x:v>Breeze</x:v>
      </x:c>
      <x:c r="D642" s="7" t="str">
        <x:v>MVP</x:v>
      </x:c>
      <x:c r="E642" s="7" t="str">
        <x:v>Neon</x:v>
      </x:c>
      <x:c r="F642" s="7" t="n">
        <x:v>13</x:v>
      </x:c>
      <x:c r="G642" s="7" t="n">
        <x:v>9</x:v>
      </x:c>
      <x:c r="H642" s="7" t="str">
        <x:f>IF(F642&gt;G642,"Win",IF(F642&lt;G642,"Loss","Draw"))</x:f>
        <x:v>Win</x:v>
      </x:c>
      <x:c r="I642" s="7" t="n">
        <x:f>IF(H642="Win",1,0)</x:f>
        <x:v>1</x:v>
      </x:c>
      <x:c r="J642" s="7" t="n">
        <x:f>F642-G642</x:f>
        <x:v>4</x:v>
      </x:c>
      <x:c r="K642" s="7" t="n">
        <x:f>F642+G642</x:f>
        <x:v>22</x:v>
      </x:c>
      <x:c r="L642" s="7" t="n">
        <x:v>38</x:v>
      </x:c>
      <x:c r="M642" s="7" t="n">
        <x:v>15</x:v>
      </x:c>
      <x:c r="N642" s="7" t="n">
        <x:v>2</x:v>
      </x:c>
      <x:c r="O642" s="9" t="n">
        <x:f>IF(M642=0,"n.a.",L642/M642)</x:f>
        <x:v>2.533333333333333</x:v>
      </x:c>
      <x:c r="P642" s="9" t="n">
        <x:f>IF(K642=0,"n.a.",L642/K642)</x:f>
        <x:v>1.7272727272727273</x:v>
      </x:c>
      <x:c r="Q642" s="9" t="n">
        <x:f>IF(K642=0,"n.a.",M642/K642)</x:f>
        <x:v>0.6818181818181818</x:v>
      </x:c>
      <x:c r="R642" s="9" t="n">
        <x:f>IF(K642=0,"n.a.",N642/K642)</x:f>
        <x:v>0.09090909090909091</x:v>
      </x:c>
      <x:c r="S642" s="7" t="n">
        <x:v>181</x:v>
      </x:c>
      <x:c r="T642" s="10" t="n">
        <x:v>0.32</x:v>
      </x:c>
      <x:c r="U642" s="7" t="n">
        <x:v>475</x:v>
      </x:c>
      <x:c r="V642" s="7" t="n">
        <x:v>1000</x:v>
      </x:c>
    </x:row>
    <x:row r="643" ht="16" customHeight="1">
      <x:c r="A643" s="7" t="n">
        <x:v>640</x:v>
      </x:c>
      <x:c r="B643" s="8" t="n">
        <x:v>46129</x:v>
      </x:c>
      <x:c r="C643" s="7" t="str">
        <x:v>Fracture</x:v>
      </x:c>
      <x:c r="D643" s="7" t="str">
        <x:v>6th</x:v>
      </x:c>
      <x:c r="E643" s="7" t="str">
        <x:v>Neon</x:v>
      </x:c>
      <x:c r="F643" s="7" t="n">
        <x:v>14</x:v>
      </x:c>
      <x:c r="G643" s="7" t="n">
        <x:v>14</x:v>
      </x:c>
      <x:c r="H643" s="7" t="str">
        <x:f>IF(F643&gt;G643,"Win",IF(F643&lt;G643,"Loss","Draw"))</x:f>
        <x:v>Draw</x:v>
      </x:c>
      <x:c r="I643" s="7" t="n">
        <x:f>IF(H643="Win",1,0)</x:f>
        <x:v>0</x:v>
      </x:c>
      <x:c r="J643" s="7" t="n">
        <x:f>F643-G643</x:f>
        <x:v>0</x:v>
      </x:c>
      <x:c r="K643" s="7" t="n">
        <x:f>F643+G643</x:f>
        <x:v>28</x:v>
      </x:c>
      <x:c r="L643" s="7" t="n">
        <x:v>19</x:v>
      </x:c>
      <x:c r="M643" s="7" t="n">
        <x:v>22</x:v>
      </x:c>
      <x:c r="N643" s="7" t="n">
        <x:v>3</x:v>
      </x:c>
      <x:c r="O643" s="9" t="n">
        <x:f>IF(M643=0,"n.a.",L643/M643)</x:f>
        <x:v>0.8636363636363636</x:v>
      </x:c>
      <x:c r="P643" s="9" t="n">
        <x:f>IF(K643=0,"n.a.",L643/K643)</x:f>
        <x:v>0.6785714285714286</x:v>
      </x:c>
      <x:c r="Q643" s="9" t="n">
        <x:f>IF(K643=0,"n.a.",M643/K643)</x:f>
        <x:v>0.7857142857142857</x:v>
      </x:c>
      <x:c r="R643" s="9" t="n">
        <x:f>IF(K643=0,"n.a.",N643/K643)</x:f>
        <x:v>0.10714285714285714</x:v>
      </x:c>
      <x:c r="S643" s="7" t="n">
        <x:v>-25</x:v>
      </x:c>
      <x:c r="T643" s="10" t="n">
        <x:v>0.18</x:v>
      </x:c>
      <x:c r="U643" s="7" t="n">
        <x:v>203</x:v>
      </x:c>
      <x:c r="V643" s="7" t="n">
        <x:v>442</x:v>
      </x:c>
    </x:row>
    <x:row r="644" ht="16" customHeight="1">
      <x:c r="A644" s="7" t="n">
        <x:v>641</x:v>
      </x:c>
      <x:c r="B644" s="8" t="n">
        <x:v>46130</x:v>
      </x:c>
      <x:c r="C644" s="7" t="str">
        <x:v>Bind</x:v>
      </x:c>
      <x:c r="D644" s="7" t="str">
        <x:v>4th</x:v>
      </x:c>
      <x:c r="E644" s="7" t="str">
        <x:v>Neon</x:v>
      </x:c>
      <x:c r="F644" s="7" t="n">
        <x:v>7</x:v>
      </x:c>
      <x:c r="G644" s="7" t="n">
        <x:v>13</x:v>
      </x:c>
      <x:c r="H644" s="7" t="str">
        <x:f>IF(F644&gt;G644,"Win",IF(F644&lt;G644,"Loss","Draw"))</x:f>
        <x:v>Loss</x:v>
      </x:c>
      <x:c r="I644" s="7" t="n">
        <x:f>IF(H644="Win",1,0)</x:f>
        <x:v>0</x:v>
      </x:c>
      <x:c r="J644" s="7" t="n">
        <x:f>F644-G644</x:f>
        <x:v>-6</x:v>
      </x:c>
      <x:c r="K644" s="7" t="n">
        <x:f>F644+G644</x:f>
        <x:v>20</x:v>
      </x:c>
      <x:c r="L644" s="7" t="n">
        <x:v>16</x:v>
      </x:c>
      <x:c r="M644" s="7" t="n">
        <x:v>15</x:v>
      </x:c>
      <x:c r="N644" s="7" t="n">
        <x:v>0</x:v>
      </x:c>
      <x:c r="O644" s="9" t="n">
        <x:f>IF(M644=0,"n.a.",L644/M644)</x:f>
        <x:v>1.0666666666666667</x:v>
      </x:c>
      <x:c r="P644" s="9" t="n">
        <x:f>IF(K644=0,"n.a.",L644/K644)</x:f>
        <x:v>0.8</x:v>
      </x:c>
      <x:c r="Q644" s="9" t="n">
        <x:f>IF(K644=0,"n.a.",M644/K644)</x:f>
        <x:v>0.75</x:v>
      </x:c>
      <x:c r="R644" s="9" t="n">
        <x:f>IF(K644=0,"n.a.",N644/K644)</x:f>
        <x:v>0</x:v>
      </x:c>
      <x:c r="S644" s="7" t="n">
        <x:v>2</x:v>
      </x:c>
      <x:c r="T644" s="10" t="n">
        <x:v>0.25</x:v>
      </x:c>
      <x:c r="U644" s="7" t="n">
        <x:v>231</x:v>
      </x:c>
      <x:c r="V644" s="7" t="n">
        <x:v>520</x:v>
      </x:c>
    </x:row>
    <x:row r="645" ht="16" customHeight="1">
      <x:c r="A645" s="7" t="n">
        <x:v>642</x:v>
      </x:c>
      <x:c r="B645" s="8" t="n">
        <x:v>46130</x:v>
      </x:c>
      <x:c r="C645" s="7" t="str">
        <x:v>Pearl</x:v>
      </x:c>
      <x:c r="D645" s="7" t="str">
        <x:v>9th</x:v>
      </x:c>
      <x:c r="E645" s="7" t="str">
        <x:v>Neon</x:v>
      </x:c>
      <x:c r="F645" s="7" t="n">
        <x:v>7</x:v>
      </x:c>
      <x:c r="G645" s="7" t="n">
        <x:v>13</x:v>
      </x:c>
      <x:c r="H645" s="7" t="str">
        <x:f>IF(F645&gt;G645,"Win",IF(F645&lt;G645,"Loss","Draw"))</x:f>
        <x:v>Loss</x:v>
      </x:c>
      <x:c r="I645" s="7" t="n">
        <x:f>IF(H645="Win",1,0)</x:f>
        <x:v>0</x:v>
      </x:c>
      <x:c r="J645" s="7" t="n">
        <x:f>F645-G645</x:f>
        <x:v>-6</x:v>
      </x:c>
      <x:c r="K645" s="7" t="n">
        <x:f>F645+G645</x:f>
        <x:v>20</x:v>
      </x:c>
      <x:c r="L645" s="7" t="n">
        <x:v>9</x:v>
      </x:c>
      <x:c r="M645" s="7" t="n">
        <x:v>18</x:v>
      </x:c>
      <x:c r="N645" s="7" t="n">
        <x:v>3</x:v>
      </x:c>
      <x:c r="O645" s="9" t="n">
        <x:f>IF(M645=0,"n.a.",L645/M645)</x:f>
        <x:v>0.5</x:v>
      </x:c>
      <x:c r="P645" s="9" t="n">
        <x:f>IF(K645=0,"n.a.",L645/K645)</x:f>
        <x:v>0.45</x:v>
      </x:c>
      <x:c r="Q645" s="9" t="n">
        <x:f>IF(K645=0,"n.a.",M645/K645)</x:f>
        <x:v>0.9</x:v>
      </x:c>
      <x:c r="R645" s="9" t="n">
        <x:f>IF(K645=0,"n.a.",N645/K645)</x:f>
        <x:v>0.15</x:v>
      </x:c>
      <x:c r="S645" s="7" t="n">
        <x:v>-69</x:v>
      </x:c>
      <x:c r="T645" s="10" t="n">
        <x:v>0.12</x:v>
      </x:c>
      <x:c r="U645" s="7" t="n">
        <x:v>148</x:v>
      </x:c>
      <x:c r="V645" s="7" t="n">
        <x:v>160</x:v>
      </x:c>
    </x:row>
    <x:row r="646" ht="16" customHeight="1">
      <x:c r="A646" s="7" t="n">
        <x:v>643</x:v>
      </x:c>
      <x:c r="B646" s="8" t="n">
        <x:v>46130</x:v>
      </x:c>
      <x:c r="C646" s="7" t="str">
        <x:v>Lotus</x:v>
      </x:c>
      <x:c r="D646" s="7" t="str">
        <x:v>2nd</x:v>
      </x:c>
      <x:c r="E646" s="7" t="str">
        <x:v>Neon</x:v>
      </x:c>
      <x:c r="F646" s="7" t="n">
        <x:v>11</x:v>
      </x:c>
      <x:c r="G646" s="7" t="n">
        <x:v>13</x:v>
      </x:c>
      <x:c r="H646" s="7" t="str">
        <x:f>IF(F646&gt;G646,"Win",IF(F646&lt;G646,"Loss","Draw"))</x:f>
        <x:v>Loss</x:v>
      </x:c>
      <x:c r="I646" s="7" t="n">
        <x:f>IF(H646="Win",1,0)</x:f>
        <x:v>0</x:v>
      </x:c>
      <x:c r="J646" s="7" t="n">
        <x:f>F646-G646</x:f>
        <x:v>-2</x:v>
      </x:c>
      <x:c r="K646" s="7" t="n">
        <x:f>F646+G646</x:f>
        <x:v>24</x:v>
      </x:c>
      <x:c r="L646" s="7" t="n">
        <x:v>22</x:v>
      </x:c>
      <x:c r="M646" s="7" t="n">
        <x:v>20</x:v>
      </x:c>
      <x:c r="N646" s="7" t="n">
        <x:v>3</x:v>
      </x:c>
      <x:c r="O646" s="9" t="n">
        <x:f>IF(M646=0,"n.a.",L646/M646)</x:f>
        <x:v>1.1</x:v>
      </x:c>
      <x:c r="P646" s="9" t="n">
        <x:f>IF(K646=0,"n.a.",L646/K646)</x:f>
        <x:v>0.9166666666666666</x:v>
      </x:c>
      <x:c r="Q646" s="9" t="n">
        <x:f>IF(K646=0,"n.a.",M646/K646)</x:f>
        <x:v>0.8333333333333334</x:v>
      </x:c>
      <x:c r="R646" s="9" t="n">
        <x:f>IF(K646=0,"n.a.",N646/K646)</x:f>
        <x:v>0.125</x:v>
      </x:c>
      <x:c r="S646" s="7" t="n">
        <x:v>9</x:v>
      </x:c>
      <x:c r="T646" s="10" t="n">
        <x:v>0.36</x:v>
      </x:c>
      <x:c r="U646" s="7" t="n">
        <x:v>254</x:v>
      </x:c>
      <x:c r="V646" s="7" t="n">
        <x:v>525</x:v>
      </x:c>
    </x:row>
    <x:row r="647" ht="16" customHeight="1">
      <x:c r="A647" s="7" t="n">
        <x:v>644</x:v>
      </x:c>
      <x:c r="B647" s="8" t="n">
        <x:v>46130</x:v>
      </x:c>
      <x:c r="C647" s="7" t="str">
        <x:v>Breeze</x:v>
      </x:c>
      <x:c r="D647" s="7" t="str">
        <x:v>4th</x:v>
      </x:c>
      <x:c r="E647" s="7" t="str">
        <x:v>Neon</x:v>
      </x:c>
      <x:c r="F647" s="7" t="n">
        <x:v>4</x:v>
      </x:c>
      <x:c r="G647" s="7" t="n">
        <x:v>13</x:v>
      </x:c>
      <x:c r="H647" s="7" t="str">
        <x:f>IF(F647&gt;G647,"Win",IF(F647&lt;G647,"Loss","Draw"))</x:f>
        <x:v>Loss</x:v>
      </x:c>
      <x:c r="I647" s="7" t="n">
        <x:f>IF(H647="Win",1,0)</x:f>
        <x:v>0</x:v>
      </x:c>
      <x:c r="J647" s="7" t="n">
        <x:f>F647-G647</x:f>
        <x:v>-9</x:v>
      </x:c>
      <x:c r="K647" s="7" t="n">
        <x:f>F647+G647</x:f>
        <x:v>17</x:v>
      </x:c>
      <x:c r="L647" s="7" t="n">
        <x:v>14</x:v>
      </x:c>
      <x:c r="M647" s="7" t="n">
        <x:v>16</x:v>
      </x:c>
      <x:c r="N647" s="7" t="n">
        <x:v>4</x:v>
      </x:c>
      <x:c r="O647" s="9" t="n">
        <x:f>IF(M647=0,"n.a.",L647/M647)</x:f>
        <x:v>0.875</x:v>
      </x:c>
      <x:c r="P647" s="9" t="n">
        <x:f>IF(K647=0,"n.a.",L647/K647)</x:f>
        <x:v>0.8235294117647058</x:v>
      </x:c>
      <x:c r="Q647" s="9" t="n">
        <x:f>IF(K647=0,"n.a.",M647/K647)</x:f>
        <x:v>0.9411764705882353</x:v>
      </x:c>
      <x:c r="R647" s="9" t="n">
        <x:f>IF(K647=0,"n.a.",N647/K647)</x:f>
        <x:v>0.23529411764705882</x:v>
      </x:c>
      <x:c r="S647" s="7" t="n">
        <x:v>-9</x:v>
      </x:c>
      <x:c r="T647" s="10" t="n">
        <x:v>0.16</x:v>
      </x:c>
      <x:c r="U647" s="7" t="n">
        <x:v>259</x:v>
      </x:c>
      <x:c r="V647" s="7" t="n">
        <x:v>431</x:v>
      </x:c>
    </x:row>
    <x:row r="648" ht="16" customHeight="1">
      <x:c r="A648" s="7" t="n">
        <x:v>645</x:v>
      </x:c>
      <x:c r="B648" s="8" t="n">
        <x:v>46130</x:v>
      </x:c>
      <x:c r="C648" s="7" t="str">
        <x:v>Haven</x:v>
      </x:c>
      <x:c r="D648" s="7" t="str">
        <x:v>MVP</x:v>
      </x:c>
      <x:c r="E648" s="7" t="str">
        <x:v>Neon</x:v>
      </x:c>
      <x:c r="F648" s="7" t="n">
        <x:v>13</x:v>
      </x:c>
      <x:c r="G648" s="7" t="n">
        <x:v>5</x:v>
      </x:c>
      <x:c r="H648" s="7" t="str">
        <x:f>IF(F648&gt;G648,"Win",IF(F648&lt;G648,"Loss","Draw"))</x:f>
        <x:v>Win</x:v>
      </x:c>
      <x:c r="I648" s="7" t="n">
        <x:f>IF(H648="Win",1,0)</x:f>
        <x:v>1</x:v>
      </x:c>
      <x:c r="J648" s="7" t="n">
        <x:f>F648-G648</x:f>
        <x:v>8</x:v>
      </x:c>
      <x:c r="K648" s="7" t="n">
        <x:f>F648+G648</x:f>
        <x:v>18</x:v>
      </x:c>
      <x:c r="L648" s="7" t="n">
        <x:v>22</x:v>
      </x:c>
      <x:c r="M648" s="7" t="n">
        <x:v>12</x:v>
      </x:c>
      <x:c r="N648" s="7" t="n">
        <x:v>1</x:v>
      </x:c>
      <x:c r="O648" s="9" t="n">
        <x:f>IF(M648=0,"n.a.",L648/M648)</x:f>
        <x:v>1.8333333333333333</x:v>
      </x:c>
      <x:c r="P648" s="9" t="n">
        <x:f>IF(K648=0,"n.a.",L648/K648)</x:f>
        <x:v>1.2222222222222223</x:v>
      </x:c>
      <x:c r="Q648" s="9" t="n">
        <x:f>IF(K648=0,"n.a.",M648/K648)</x:f>
        <x:v>0.6666666666666666</x:v>
      </x:c>
      <x:c r="R648" s="9" t="n">
        <x:f>IF(K648=0,"n.a.",N648/K648)</x:f>
        <x:v>0.05555555555555555</x:v>
      </x:c>
      <x:c r="S648" s="7" t="n">
        <x:v>68</x:v>
      </x:c>
      <x:c r="T648" s="10" t="n">
        <x:v>0.23</x:v>
      </x:c>
      <x:c r="U648" s="7" t="n">
        <x:v>320</x:v>
      </x:c>
      <x:c r="V648" s="7" t="n">
        <x:v>778</x:v>
      </x:c>
    </x:row>
    <x:row r="649" ht="16" customHeight="1">
      <x:c r="A649" s="7" t="n">
        <x:v>646</x:v>
      </x:c>
      <x:c r="B649" s="8" t="n">
        <x:v>46130</x:v>
      </x:c>
      <x:c r="C649" s="7" t="str">
        <x:v>Split</x:v>
      </x:c>
      <x:c r="D649" s="7" t="str">
        <x:v>MVP</x:v>
      </x:c>
      <x:c r="E649" s="7" t="str">
        <x:v>Neon</x:v>
      </x:c>
      <x:c r="F649" s="7" t="n">
        <x:v>9</x:v>
      </x:c>
      <x:c r="G649" s="7" t="n">
        <x:v>13</x:v>
      </x:c>
      <x:c r="H649" s="7" t="str">
        <x:f>IF(F649&gt;G649,"Win",IF(F649&lt;G649,"Loss","Draw"))</x:f>
        <x:v>Loss</x:v>
      </x:c>
      <x:c r="I649" s="7" t="n">
        <x:f>IF(H649="Win",1,0)</x:f>
        <x:v>0</x:v>
      </x:c>
      <x:c r="J649" s="7" t="n">
        <x:f>F649-G649</x:f>
        <x:v>-4</x:v>
      </x:c>
      <x:c r="K649" s="7" t="n">
        <x:f>F649+G649</x:f>
        <x:v>22</x:v>
      </x:c>
      <x:c r="L649" s="7" t="n">
        <x:v>24</x:v>
      </x:c>
      <x:c r="M649" s="7" t="n">
        <x:v>18</x:v>
      </x:c>
      <x:c r="N649" s="7" t="n">
        <x:v>5</x:v>
      </x:c>
      <x:c r="O649" s="9" t="n">
        <x:f>IF(M649=0,"n.a.",L649/M649)</x:f>
        <x:v>1.3333333333333333</x:v>
      </x:c>
      <x:c r="P649" s="9" t="n">
        <x:f>IF(K649=0,"n.a.",L649/K649)</x:f>
        <x:v>1.0909090909090908</x:v>
      </x:c>
      <x:c r="Q649" s="9" t="n">
        <x:f>IF(K649=0,"n.a.",M649/K649)</x:f>
        <x:v>0.8181818181818182</x:v>
      </x:c>
      <x:c r="R649" s="9" t="n">
        <x:f>IF(K649=0,"n.a.",N649/K649)</x:f>
        <x:v>0.22727272727272727</x:v>
      </x:c>
      <x:c r="S649" s="7" t="n">
        <x:v>54</x:v>
      </x:c>
      <x:c r="T649" s="10" t="n">
        <x:v>0.17</x:v>
      </x:c>
      <x:c r="U649" s="7" t="n">
        <x:v>318</x:v>
      </x:c>
      <x:c r="V649" s="7" t="n">
        <x:v>787</x:v>
      </x:c>
    </x:row>
    <x:row r="650" ht="16" customHeight="1">
      <x:c r="A650" s="7" t="n">
        <x:v>647</x:v>
      </x:c>
      <x:c r="B650" s="8" t="n">
        <x:v>46130</x:v>
      </x:c>
      <x:c r="C650" s="7" t="str">
        <x:v>Haven</x:v>
      </x:c>
      <x:c r="D650" s="7" t="str">
        <x:v>3rd</x:v>
      </x:c>
      <x:c r="E650" s="7" t="str">
        <x:v>Neon</x:v>
      </x:c>
      <x:c r="F650" s="7" t="n">
        <x:v>13</x:v>
      </x:c>
      <x:c r="G650" s="7" t="n">
        <x:v>9</x:v>
      </x:c>
      <x:c r="H650" s="7" t="str">
        <x:f>IF(F650&gt;G650,"Win",IF(F650&lt;G650,"Loss","Draw"))</x:f>
        <x:v>Win</x:v>
      </x:c>
      <x:c r="I650" s="7" t="n">
        <x:f>IF(H650="Win",1,0)</x:f>
        <x:v>1</x:v>
      </x:c>
      <x:c r="J650" s="7" t="n">
        <x:f>F650-G650</x:f>
        <x:v>4</x:v>
      </x:c>
      <x:c r="K650" s="7" t="n">
        <x:f>F650+G650</x:f>
        <x:v>22</x:v>
      </x:c>
      <x:c r="L650" s="7" t="n">
        <x:v>24</x:v>
      </x:c>
      <x:c r="M650" s="7" t="n">
        <x:v>19</x:v>
      </x:c>
      <x:c r="N650" s="7" t="n">
        <x:v>1</x:v>
      </x:c>
      <x:c r="O650" s="9" t="n">
        <x:f>IF(M650=0,"n.a.",L650/M650)</x:f>
        <x:v>1.263157894736842</x:v>
      </x:c>
      <x:c r="P650" s="9" t="n">
        <x:f>IF(K650=0,"n.a.",L650/K650)</x:f>
        <x:v>1.0909090909090908</x:v>
      </x:c>
      <x:c r="Q650" s="9" t="n">
        <x:f>IF(K650=0,"n.a.",M650/K650)</x:f>
        <x:v>0.8636363636363636</x:v>
      </x:c>
      <x:c r="R650" s="9" t="n">
        <x:f>IF(K650=0,"n.a.",N650/K650)</x:f>
        <x:v>0.045454545454545456</x:v>
      </x:c>
      <x:c r="S650" s="7" t="n">
        <x:v>26</x:v>
      </x:c>
      <x:c r="T650" s="10" t="n">
        <x:v>0.27</x:v>
      </x:c>
      <x:c r="U650" s="7" t="n">
        <x:v>315</x:v>
      </x:c>
      <x:c r="V650" s="7" t="n">
        <x:v>834</x:v>
      </x:c>
    </x:row>
    <x:row r="651" ht="16" customHeight="1">
      <x:c r="A651" s="7" t="n">
        <x:v>648</x:v>
      </x:c>
      <x:c r="B651" s="8" t="n">
        <x:v>46130</x:v>
      </x:c>
      <x:c r="C651" s="7" t="str">
        <x:v>Pearl</x:v>
      </x:c>
      <x:c r="D651" s="7" t="str">
        <x:v>2nd</x:v>
      </x:c>
      <x:c r="E651" s="7" t="str">
        <x:v>Neon</x:v>
      </x:c>
      <x:c r="F651" s="7" t="n">
        <x:v>13</x:v>
      </x:c>
      <x:c r="G651" s="7" t="n">
        <x:v>7</x:v>
      </x:c>
      <x:c r="H651" s="7" t="str">
        <x:f>IF(F651&gt;G651,"Win",IF(F651&lt;G651,"Loss","Draw"))</x:f>
        <x:v>Win</x:v>
      </x:c>
      <x:c r="I651" s="7" t="n">
        <x:f>IF(H651="Win",1,0)</x:f>
        <x:v>1</x:v>
      </x:c>
      <x:c r="J651" s="7" t="n">
        <x:f>F651-G651</x:f>
        <x:v>6</x:v>
      </x:c>
      <x:c r="K651" s="7" t="n">
        <x:f>F651+G651</x:f>
        <x:v>20</x:v>
      </x:c>
      <x:c r="L651" s="7" t="n">
        <x:v>23</x:v>
      </x:c>
      <x:c r="M651" s="7" t="n">
        <x:v>15</x:v>
      </x:c>
      <x:c r="N651" s="7" t="n">
        <x:v>4</x:v>
      </x:c>
      <x:c r="O651" s="9" t="n">
        <x:f>IF(M651=0,"n.a.",L651/M651)</x:f>
        <x:v>1.5333333333333334</x:v>
      </x:c>
      <x:c r="P651" s="9" t="n">
        <x:f>IF(K651=0,"n.a.",L651/K651)</x:f>
        <x:v>1.15</x:v>
      </x:c>
      <x:c r="Q651" s="9" t="n">
        <x:f>IF(K651=0,"n.a.",M651/K651)</x:f>
        <x:v>0.75</x:v>
      </x:c>
      <x:c r="R651" s="9" t="n">
        <x:f>IF(K651=0,"n.a.",N651/K651)</x:f>
        <x:v>0.2</x:v>
      </x:c>
      <x:c r="S651" s="7" t="n">
        <x:v>32</x:v>
      </x:c>
      <x:c r="T651" s="10" t="n">
        <x:v>0.16</x:v>
      </x:c>
      <x:c r="U651" s="7" t="n">
        <x:v>312</x:v>
      </x:c>
      <x:c r="V651" s="7" t="n">
        <x:v>767</x:v>
      </x:c>
    </x:row>
    <x:row r="652" ht="16" customHeight="1">
      <x:c r="A652" s="7" t="n">
        <x:v>649</x:v>
      </x:c>
      <x:c r="B652" s="8" t="n">
        <x:v>46131</x:v>
      </x:c>
      <x:c r="C652" s="7" t="str">
        <x:v>Fracture</x:v>
      </x:c>
      <x:c r="D652" s="7" t="str">
        <x:v>10th</x:v>
      </x:c>
      <x:c r="E652" s="7" t="str">
        <x:v>Neon</x:v>
      </x:c>
      <x:c r="F652" s="7" t="n">
        <x:v>13</x:v>
      </x:c>
      <x:c r="G652" s="7" t="n">
        <x:v>3</x:v>
      </x:c>
      <x:c r="H652" s="7" t="str">
        <x:f>IF(F652&gt;G652,"Win",IF(F652&lt;G652,"Loss","Draw"))</x:f>
        <x:v>Win</x:v>
      </x:c>
      <x:c r="I652" s="7" t="n">
        <x:f>IF(H652="Win",1,0)</x:f>
        <x:v>1</x:v>
      </x:c>
      <x:c r="J652" s="7" t="n">
        <x:f>F652-G652</x:f>
        <x:v>10</x:v>
      </x:c>
      <x:c r="K652" s="7" t="n">
        <x:f>F652+G652</x:f>
        <x:v>16</x:v>
      </x:c>
      <x:c r="L652" s="7" t="n">
        <x:v>8</x:v>
      </x:c>
      <x:c r="M652" s="7" t="n">
        <x:v>10</x:v>
      </x:c>
      <x:c r="N652" s="7" t="n">
        <x:v>2</x:v>
      </x:c>
      <x:c r="O652" s="9" t="n">
        <x:f>IF(M652=0,"n.a.",L652/M652)</x:f>
        <x:v>0.8</x:v>
      </x:c>
      <x:c r="P652" s="9" t="n">
        <x:f>IF(K652=0,"n.a.",L652/K652)</x:f>
        <x:v>0.5</x:v>
      </x:c>
      <x:c r="Q652" s="9" t="n">
        <x:f>IF(K652=0,"n.a.",M652/K652)</x:f>
        <x:v>0.625</x:v>
      </x:c>
      <x:c r="R652" s="9" t="n">
        <x:f>IF(K652=0,"n.a.",N652/K652)</x:f>
        <x:v>0.125</x:v>
      </x:c>
      <x:c r="S652" s="7" t="n">
        <x:v>-13</x:v>
      </x:c>
      <x:c r="T652" s="10" t="n">
        <x:v>0.17</x:v>
      </x:c>
      <x:c r="U652" s="7" t="n">
        <x:v>146</x:v>
      </x:c>
      <x:c r="V652" s="7" t="n">
        <x:v>364</x:v>
      </x:c>
    </x:row>
    <x:row r="653" ht="16" customHeight="1">
      <x:c r="A653" s="7" t="n">
        <x:v>650</x:v>
      </x:c>
      <x:c r="B653" s="8" t="n">
        <x:v>46133</x:v>
      </x:c>
      <x:c r="C653" s="7" t="str">
        <x:v>Split</x:v>
      </x:c>
      <x:c r="D653" s="7" t="str">
        <x:v>10th</x:v>
      </x:c>
      <x:c r="E653" s="7" t="str">
        <x:v>Neon</x:v>
      </x:c>
      <x:c r="F653" s="7" t="n">
        <x:v>11</x:v>
      </x:c>
      <x:c r="G653" s="7" t="n">
        <x:v>13</x:v>
      </x:c>
      <x:c r="H653" s="7" t="str">
        <x:f>IF(F653&gt;G653,"Win",IF(F653&lt;G653,"Loss","Draw"))</x:f>
        <x:v>Loss</x:v>
      </x:c>
      <x:c r="I653" s="7" t="n">
        <x:f>IF(H653="Win",1,0)</x:f>
        <x:v>0</x:v>
      </x:c>
      <x:c r="J653" s="7" t="n">
        <x:f>F653-G653</x:f>
        <x:v>-2</x:v>
      </x:c>
      <x:c r="K653" s="7" t="n">
        <x:f>F653+G653</x:f>
        <x:v>24</x:v>
      </x:c>
      <x:c r="L653" s="7" t="n">
        <x:v>7</x:v>
      </x:c>
      <x:c r="M653" s="7" t="n">
        <x:v>23</x:v>
      </x:c>
      <x:c r="N653" s="7" t="n">
        <x:v>4</x:v>
      </x:c>
      <x:c r="O653" s="9" t="n">
        <x:f>IF(M653=0,"n.a.",L653/M653)</x:f>
        <x:v>0.30434782608695654</x:v>
      </x:c>
      <x:c r="P653" s="9" t="n">
        <x:f>IF(K653=0,"n.a.",L653/K653)</x:f>
        <x:v>0.2916666666666667</x:v>
      </x:c>
      <x:c r="Q653" s="9" t="n">
        <x:f>IF(K653=0,"n.a.",M653/K653)</x:f>
        <x:v>0.9583333333333334</x:v>
      </x:c>
      <x:c r="R653" s="9" t="n">
        <x:f>IF(K653=0,"n.a.",N653/K653)</x:f>
        <x:v>0.16666666666666666</x:v>
      </x:c>
      <x:c r="S653" s="7" t="n">
        <x:v>-102</x:v>
      </x:c>
      <x:c r="T653" s="10" t="n">
        <x:v>0.15</x:v>
      </x:c>
      <x:c r="U653" s="7" t="n">
        <x:v>86</x:v>
      </x:c>
      <x:c r="V653" s="7" t="n">
        <x:v>136</x:v>
      </x:c>
    </x:row>
    <x:row r="654" ht="16" customHeight="1">
      <x:c r="A654" s="7" t="n">
        <x:v>651</x:v>
      </x:c>
      <x:c r="B654" s="8" t="n">
        <x:v>46134</x:v>
      </x:c>
      <x:c r="C654" s="7" t="str">
        <x:v>Fracture</x:v>
      </x:c>
      <x:c r="D654" s="7" t="str">
        <x:v>2nd</x:v>
      </x:c>
      <x:c r="E654" s="7" t="str">
        <x:v>Neon</x:v>
      </x:c>
      <x:c r="F654" s="7" t="n">
        <x:v>11</x:v>
      </x:c>
      <x:c r="G654" s="7" t="n">
        <x:v>13</x:v>
      </x:c>
      <x:c r="H654" s="7" t="str">
        <x:f>IF(F654&gt;G654,"Win",IF(F654&lt;G654,"Loss","Draw"))</x:f>
        <x:v>Loss</x:v>
      </x:c>
      <x:c r="I654" s="7" t="n">
        <x:f>IF(H654="Win",1,0)</x:f>
        <x:v>0</x:v>
      </x:c>
      <x:c r="J654" s="7" t="n">
        <x:f>F654-G654</x:f>
        <x:v>-2</x:v>
      </x:c>
      <x:c r="K654" s="7" t="n">
        <x:f>F654+G654</x:f>
        <x:v>24</x:v>
      </x:c>
      <x:c r="L654" s="7" t="n">
        <x:v>23</x:v>
      </x:c>
      <x:c r="M654" s="7" t="n">
        <x:v>18</x:v>
      </x:c>
      <x:c r="N654" s="7" t="n">
        <x:v>3</x:v>
      </x:c>
      <x:c r="O654" s="9" t="n">
        <x:f>IF(M654=0,"n.a.",L654/M654)</x:f>
        <x:v>1.2777777777777777</x:v>
      </x:c>
      <x:c r="P654" s="9" t="n">
        <x:f>IF(K654=0,"n.a.",L654/K654)</x:f>
        <x:v>0.9583333333333334</x:v>
      </x:c>
      <x:c r="Q654" s="9" t="n">
        <x:f>IF(K654=0,"n.a.",M654/K654)</x:f>
        <x:v>0.75</x:v>
      </x:c>
      <x:c r="R654" s="9" t="n">
        <x:f>IF(K654=0,"n.a.",N654/K654)</x:f>
        <x:v>0.125</x:v>
      </x:c>
      <x:c r="S654" s="7" t="n">
        <x:v>25</x:v>
      </x:c>
      <x:c r="T654" s="10" t="n">
        <x:v>0.21</x:v>
      </x:c>
      <x:c r="U654" s="7" t="n">
        <x:v>276</x:v>
      </x:c>
      <x:c r="V654" s="7" t="n">
        <x:v>716</x:v>
      </x:c>
    </x:row>
    <x:row r="655" ht="16" customHeight="1">
      <x:c r="A655" s="7" t="n">
        <x:v>652</x:v>
      </x:c>
      <x:c r="B655" s="8" t="n">
        <x:v>46135</x:v>
      </x:c>
      <x:c r="C655" s="7" t="str">
        <x:v>Pearl</x:v>
      </x:c>
      <x:c r="D655" s="7" t="str">
        <x:v>4th</x:v>
      </x:c>
      <x:c r="E655" s="7" t="str">
        <x:v>Neon</x:v>
      </x:c>
      <x:c r="F655" s="7" t="n">
        <x:v>13</x:v>
      </x:c>
      <x:c r="G655" s="7" t="n">
        <x:v>7</x:v>
      </x:c>
      <x:c r="H655" s="7" t="str">
        <x:f>IF(F655&gt;G655,"Win",IF(F655&lt;G655,"Loss","Draw"))</x:f>
        <x:v>Win</x:v>
      </x:c>
      <x:c r="I655" s="7" t="n">
        <x:f>IF(H655="Win",1,0)</x:f>
        <x:v>1</x:v>
      </x:c>
      <x:c r="J655" s="7" t="n">
        <x:f>F655-G655</x:f>
        <x:v>6</x:v>
      </x:c>
      <x:c r="K655" s="7" t="n">
        <x:f>F655+G655</x:f>
        <x:v>20</x:v>
      </x:c>
      <x:c r="L655" s="7" t="n">
        <x:v>18</x:v>
      </x:c>
      <x:c r="M655" s="7" t="n">
        <x:v>13</x:v>
      </x:c>
      <x:c r="N655" s="7" t="n">
        <x:v>2</x:v>
      </x:c>
      <x:c r="O655" s="9" t="n">
        <x:f>IF(M655=0,"n.a.",L655/M655)</x:f>
        <x:v>1.3846153846153846</x:v>
      </x:c>
      <x:c r="P655" s="9" t="n">
        <x:f>IF(K655=0,"n.a.",L655/K655)</x:f>
        <x:v>0.9</x:v>
      </x:c>
      <x:c r="Q655" s="9" t="n">
        <x:f>IF(K655=0,"n.a.",M655/K655)</x:f>
        <x:v>0.65</x:v>
      </x:c>
      <x:c r="R655" s="9" t="n">
        <x:f>IF(K655=0,"n.a.",N655/K655)</x:f>
        <x:v>0.1</x:v>
      </x:c>
      <x:c r="S655" s="7" t="n">
        <x:v>39</x:v>
      </x:c>
      <x:c r="T655" s="10" t="n">
        <x:v>0.22</x:v>
      </x:c>
      <x:c r="U655" s="7" t="n">
        <x:v>249</x:v>
      </x:c>
      <x:c r="V655" s="7" t="n">
        <x:v>721</x:v>
      </x:c>
    </x:row>
    <x:row r="656" ht="16" customHeight="1">
      <x:c r="A656" s="7" t="n">
        <x:v>653</x:v>
      </x:c>
      <x:c r="B656" s="8" t="n">
        <x:v>46135</x:v>
      </x:c>
      <x:c r="C656" s="7" t="str">
        <x:v>Breeze</x:v>
      </x:c>
      <x:c r="D656" s="7" t="str">
        <x:v>MVP</x:v>
      </x:c>
      <x:c r="E656" s="7" t="str">
        <x:v>Iso</x:v>
      </x:c>
      <x:c r="F656" s="7" t="n">
        <x:v>16</x:v>
      </x:c>
      <x:c r="G656" s="7" t="n">
        <x:v>16</x:v>
      </x:c>
      <x:c r="H656" s="7" t="str">
        <x:f>IF(F656&gt;G656,"Win",IF(F656&lt;G656,"Loss","Draw"))</x:f>
        <x:v>Draw</x:v>
      </x:c>
      <x:c r="I656" s="7" t="n">
        <x:f>IF(H656="Win",1,0)</x:f>
        <x:v>0</x:v>
      </x:c>
      <x:c r="J656" s="7" t="n">
        <x:f>F656-G656</x:f>
        <x:v>0</x:v>
      </x:c>
      <x:c r="K656" s="7" t="n">
        <x:f>F656+G656</x:f>
        <x:v>32</x:v>
      </x:c>
      <x:c r="L656" s="7" t="n">
        <x:v>34</x:v>
      </x:c>
      <x:c r="M656" s="7" t="n">
        <x:v>21</x:v>
      </x:c>
      <x:c r="N656" s="7" t="n">
        <x:v>8</x:v>
      </x:c>
      <x:c r="O656" s="9" t="n">
        <x:f>IF(M656=0,"n.a.",L656/M656)</x:f>
        <x:v>1.619047619047619</x:v>
      </x:c>
      <x:c r="P656" s="9" t="n">
        <x:f>IF(K656=0,"n.a.",L656/K656)</x:f>
        <x:v>1.0625</x:v>
      </x:c>
      <x:c r="Q656" s="9" t="n">
        <x:f>IF(K656=0,"n.a.",M656/K656)</x:f>
        <x:v>0.65625</x:v>
      </x:c>
      <x:c r="R656" s="9" t="n">
        <x:f>IF(K656=0,"n.a.",N656/K656)</x:f>
        <x:v>0.25</x:v>
      </x:c>
      <x:c r="S656" s="7" t="n">
        <x:v>69</x:v>
      </x:c>
      <x:c r="T656" s="10" t="n">
        <x:v>0.27</x:v>
      </x:c>
      <x:c r="U656" s="7" t="n">
        <x:v>319</x:v>
      </x:c>
      <x:c r="V656" s="7" t="n">
        <x:v>800</x:v>
      </x:c>
    </x:row>
    <x:row r="657" ht="16" customHeight="1">
      <x:c r="A657" s="7" t="n">
        <x:v>654</x:v>
      </x:c>
      <x:c r="B657" s="8" t="n">
        <x:v>46135</x:v>
      </x:c>
      <x:c r="C657" s="7" t="str">
        <x:v>Bind</x:v>
      </x:c>
      <x:c r="D657" s="7" t="str">
        <x:v>6th</x:v>
      </x:c>
      <x:c r="E657" s="7" t="str">
        <x:v>Neon</x:v>
      </x:c>
      <x:c r="F657" s="7" t="n">
        <x:v>7</x:v>
      </x:c>
      <x:c r="G657" s="7" t="n">
        <x:v>13</x:v>
      </x:c>
      <x:c r="H657" s="7" t="str">
        <x:f>IF(F657&gt;G657,"Win",IF(F657&lt;G657,"Loss","Draw"))</x:f>
        <x:v>Loss</x:v>
      </x:c>
      <x:c r="I657" s="7" t="n">
        <x:f>IF(H657="Win",1,0)</x:f>
        <x:v>0</x:v>
      </x:c>
      <x:c r="J657" s="7" t="n">
        <x:f>F657-G657</x:f>
        <x:v>-6</x:v>
      </x:c>
      <x:c r="K657" s="7" t="n">
        <x:f>F657+G657</x:f>
        <x:v>20</x:v>
      </x:c>
      <x:c r="L657" s="7" t="n">
        <x:v>13</x:v>
      </x:c>
      <x:c r="M657" s="7" t="n">
        <x:v>16</x:v>
      </x:c>
      <x:c r="N657" s="7" t="n">
        <x:v>2</x:v>
      </x:c>
      <x:c r="O657" s="9" t="n">
        <x:f>IF(M657=0,"n.a.",L657/M657)</x:f>
        <x:v>0.8125</x:v>
      </x:c>
      <x:c r="P657" s="9" t="n">
        <x:f>IF(K657=0,"n.a.",L657/K657)</x:f>
        <x:v>0.65</x:v>
      </x:c>
      <x:c r="Q657" s="9" t="n">
        <x:f>IF(K657=0,"n.a.",M657/K657)</x:f>
        <x:v>0.8</x:v>
      </x:c>
      <x:c r="R657" s="9" t="n">
        <x:f>IF(K657=0,"n.a.",N657/K657)</x:f>
        <x:v>0.1</x:v>
      </x:c>
      <x:c r="S657" s="7" t="n">
        <x:v>-6</x:v>
      </x:c>
      <x:c r="T657" s="10" t="n">
        <x:v>0.23</x:v>
      </x:c>
      <x:c r="U657" s="7" t="n">
        <x:v>198</x:v>
      </x:c>
      <x:c r="V657" s="7" t="n">
        <x:v>330</x:v>
      </x:c>
    </x:row>
    <x:row r="658" ht="16" customHeight="1">
      <x:c r="A658" s="7" t="n">
        <x:v>655</x:v>
      </x:c>
      <x:c r="B658" s="8" t="n">
        <x:v>46136</x:v>
      </x:c>
      <x:c r="C658" s="7" t="str">
        <x:v>Lotus</x:v>
      </x:c>
      <x:c r="D658" s="7" t="str">
        <x:v>10th</x:v>
      </x:c>
      <x:c r="E658" s="7" t="str">
        <x:v>Neon</x:v>
      </x:c>
      <x:c r="F658" s="7" t="n">
        <x:v>10</x:v>
      </x:c>
      <x:c r="G658" s="7" t="n">
        <x:v>13</x:v>
      </x:c>
      <x:c r="H658" s="7" t="str">
        <x:f>IF(F658&gt;G658,"Win",IF(F658&lt;G658,"Loss","Draw"))</x:f>
        <x:v>Loss</x:v>
      </x:c>
      <x:c r="I658" s="7" t="n">
        <x:f>IF(H658="Win",1,0)</x:f>
        <x:v>0</x:v>
      </x:c>
      <x:c r="J658" s="7" t="n">
        <x:f>F658-G658</x:f>
        <x:v>-3</x:v>
      </x:c>
      <x:c r="K658" s="7" t="n">
        <x:f>F658+G658</x:f>
        <x:v>23</x:v>
      </x:c>
      <x:c r="L658" s="7" t="n">
        <x:v>11</x:v>
      </x:c>
      <x:c r="M658" s="7" t="n">
        <x:v>18</x:v>
      </x:c>
      <x:c r="N658" s="7" t="n">
        <x:v>1</x:v>
      </x:c>
      <x:c r="O658" s="9" t="n">
        <x:f>IF(M658=0,"n.a.",L658/M658)</x:f>
        <x:v>0.6111111111111112</x:v>
      </x:c>
      <x:c r="P658" s="9" t="n">
        <x:f>IF(K658=0,"n.a.",L658/K658)</x:f>
        <x:v>0.4782608695652174</x:v>
      </x:c>
      <x:c r="Q658" s="9" t="n">
        <x:f>IF(K658=0,"n.a.",M658/K658)</x:f>
        <x:v>0.782608695652174</x:v>
      </x:c>
      <x:c r="R658" s="9" t="n">
        <x:f>IF(K658=0,"n.a.",N658/K658)</x:f>
        <x:v>0.043478260869565216</x:v>
      </x:c>
      <x:c r="S658" s="7" t="n">
        <x:v>-65</x:v>
      </x:c>
      <x:c r="T658" s="10" t="n">
        <x:v>0.26</x:v>
      </x:c>
      <x:c r="U658" s="7" t="n">
        <x:v>123</x:v>
      </x:c>
      <x:c r="V658" s="7" t="n">
        <x:v>167</x:v>
      </x:c>
    </x:row>
    <x:row r="659" ht="16" customHeight="1">
      <x:c r="A659" s="7" t="n">
        <x:v>656</x:v>
      </x:c>
      <x:c r="B659" s="8" t="n">
        <x:v>46136</x:v>
      </x:c>
      <x:c r="C659" s="7" t="str">
        <x:v>Lotus</x:v>
      </x:c>
      <x:c r="D659" s="7" t="str">
        <x:v>7th</x:v>
      </x:c>
      <x:c r="E659" s="7" t="str">
        <x:v>Neon</x:v>
      </x:c>
      <x:c r="F659" s="7" t="n">
        <x:v>13</x:v>
      </x:c>
      <x:c r="G659" s="7" t="n">
        <x:v>10</x:v>
      </x:c>
      <x:c r="H659" s="7" t="str">
        <x:f>IF(F659&gt;G659,"Win",IF(F659&lt;G659,"Loss","Draw"))</x:f>
        <x:v>Win</x:v>
      </x:c>
      <x:c r="I659" s="7" t="n">
        <x:f>IF(H659="Win",1,0)</x:f>
        <x:v>1</x:v>
      </x:c>
      <x:c r="J659" s="7" t="n">
        <x:f>F659-G659</x:f>
        <x:v>3</x:v>
      </x:c>
      <x:c r="K659" s="7" t="n">
        <x:f>F659+G659</x:f>
        <x:v>23</x:v>
      </x:c>
      <x:c r="L659" s="7" t="n">
        <x:v>16</x:v>
      </x:c>
      <x:c r="M659" s="7" t="n">
        <x:v>21</x:v>
      </x:c>
      <x:c r="N659" s="7" t="n">
        <x:v>5</x:v>
      </x:c>
      <x:c r="O659" s="9" t="n">
        <x:f>IF(M659=0,"n.a.",L659/M659)</x:f>
        <x:v>0.7619047619047619</x:v>
      </x:c>
      <x:c r="P659" s="9" t="n">
        <x:f>IF(K659=0,"n.a.",L659/K659)</x:f>
        <x:v>0.6956521739130435</x:v>
      </x:c>
      <x:c r="Q659" s="9" t="n">
        <x:f>IF(K659=0,"n.a.",M659/K659)</x:f>
        <x:v>0.9130434782608695</x:v>
      </x:c>
      <x:c r="R659" s="9" t="n">
        <x:f>IF(K659=0,"n.a.",N659/K659)</x:f>
        <x:v>0.21739130434782608</x:v>
      </x:c>
      <x:c r="S659" s="7" t="n">
        <x:v>-27</x:v>
      </x:c>
      <x:c r="T659" s="10" t="n">
        <x:v>0.25</x:v>
      </x:c>
      <x:c r="U659" s="7" t="n">
        <x:v>213</x:v>
      </x:c>
      <x:c r="V659" s="7" t="n">
        <x:v>439</x:v>
      </x:c>
    </x:row>
    <x:row r="660" ht="16" customHeight="1">
      <x:c r="A660" s="7" t="n">
        <x:v>657</x:v>
      </x:c>
      <x:c r="B660" s="8" t="n">
        <x:v>46136</x:v>
      </x:c>
      <x:c r="C660" s="7" t="str">
        <x:v>Bind</x:v>
      </x:c>
      <x:c r="D660" s="7" t="str">
        <x:v>3rd</x:v>
      </x:c>
      <x:c r="E660" s="7" t="str">
        <x:v>Neon</x:v>
      </x:c>
      <x:c r="F660" s="7" t="n">
        <x:v>15</x:v>
      </x:c>
      <x:c r="G660" s="7" t="n">
        <x:v>15</x:v>
      </x:c>
      <x:c r="H660" s="7" t="str">
        <x:f>IF(F660&gt;G660,"Win",IF(F660&lt;G660,"Loss","Draw"))</x:f>
        <x:v>Draw</x:v>
      </x:c>
      <x:c r="I660" s="7" t="n">
        <x:f>IF(H660="Win",1,0)</x:f>
        <x:v>0</x:v>
      </x:c>
      <x:c r="J660" s="7" t="n">
        <x:f>F660-G660</x:f>
        <x:v>0</x:v>
      </x:c>
      <x:c r="K660" s="7" t="n">
        <x:f>F660+G660</x:f>
        <x:v>30</x:v>
      </x:c>
      <x:c r="L660" s="7" t="n">
        <x:v>26</x:v>
      </x:c>
      <x:c r="M660" s="7" t="n">
        <x:v>27</x:v>
      </x:c>
      <x:c r="N660" s="7" t="n">
        <x:v>10</x:v>
      </x:c>
      <x:c r="O660" s="9" t="n">
        <x:f>IF(M660=0,"n.a.",L660/M660)</x:f>
        <x:v>0.9629629629629629</x:v>
      </x:c>
      <x:c r="P660" s="9" t="n">
        <x:f>IF(K660=0,"n.a.",L660/K660)</x:f>
        <x:v>0.8666666666666667</x:v>
      </x:c>
      <x:c r="Q660" s="9" t="n">
        <x:f>IF(K660=0,"n.a.",M660/K660)</x:f>
        <x:v>0.9</x:v>
      </x:c>
      <x:c r="R660" s="9" t="n">
        <x:f>IF(K660=0,"n.a.",N660/K660)</x:f>
        <x:v>0.3333333333333333</x:v>
      </x:c>
      <x:c r="S660" s="7" t="n">
        <x:v>17</x:v>
      </x:c>
      <x:c r="T660" s="10" t="n">
        <x:v>0.22</x:v>
      </x:c>
      <x:c r="U660" s="7" t="n">
        <x:v>280</x:v>
      </x:c>
      <x:c r="V660" s="7" t="n">
        <x:v>607</x:v>
      </x:c>
    </x:row>
    <x:row r="661" ht="16" customHeight="1">
      <x:c r="A661" s="7" t="n">
        <x:v>658</x:v>
      </x:c>
      <x:c r="B661" s="8" t="n">
        <x:v>46136</x:v>
      </x:c>
      <x:c r="C661" s="7" t="str">
        <x:v>Haven</x:v>
      </x:c>
      <x:c r="D661" s="7" t="str">
        <x:v>MVP</x:v>
      </x:c>
      <x:c r="E661" s="7" t="str">
        <x:v>Neon</x:v>
      </x:c>
      <x:c r="F661" s="7" t="n">
        <x:v>13</x:v>
      </x:c>
      <x:c r="G661" s="7" t="n">
        <x:v>7</x:v>
      </x:c>
      <x:c r="H661" s="7" t="str">
        <x:f>IF(F661&gt;G661,"Win",IF(F661&lt;G661,"Loss","Draw"))</x:f>
        <x:v>Win</x:v>
      </x:c>
      <x:c r="I661" s="7" t="n">
        <x:f>IF(H661="Win",1,0)</x:f>
        <x:v>1</x:v>
      </x:c>
      <x:c r="J661" s="7" t="n">
        <x:f>F661-G661</x:f>
        <x:v>6</x:v>
      </x:c>
      <x:c r="K661" s="7" t="n">
        <x:f>F661+G661</x:f>
        <x:v>20</x:v>
      </x:c>
      <x:c r="L661" s="7" t="n">
        <x:v>24</x:v>
      </x:c>
      <x:c r="M661" s="7" t="n">
        <x:v>17</x:v>
      </x:c>
      <x:c r="N661" s="7" t="n">
        <x:v>0</x:v>
      </x:c>
      <x:c r="O661" s="9" t="n">
        <x:f>IF(M661=0,"n.a.",L661/M661)</x:f>
        <x:v>1.411764705882353</x:v>
      </x:c>
      <x:c r="P661" s="9" t="n">
        <x:f>IF(K661=0,"n.a.",L661/K661)</x:f>
        <x:v>1.2</x:v>
      </x:c>
      <x:c r="Q661" s="9" t="n">
        <x:f>IF(K661=0,"n.a.",M661/K661)</x:f>
        <x:v>0.85</x:v>
      </x:c>
      <x:c r="R661" s="9" t="n">
        <x:f>IF(K661=0,"n.a.",N661/K661)</x:f>
        <x:v>0</x:v>
      </x:c>
      <x:c r="S661" s="7" t="n">
        <x:v>60</x:v>
      </x:c>
      <x:c r="T661" s="10" t="n">
        <x:v>0.26</x:v>
      </x:c>
      <x:c r="U661" s="7" t="n">
        <x:v>338</x:v>
      </x:c>
      <x:c r="V661" s="7" t="n">
        <x:v>863</x:v>
      </x:c>
    </x:row>
    <x:row r="662" ht="16" customHeight="1">
      <x:c r="A662" s="7" t="n">
        <x:v>659</x:v>
      </x:c>
      <x:c r="B662" s="8" t="n">
        <x:v>46137</x:v>
      </x:c>
      <x:c r="C662" s="7" t="str">
        <x:v>Haven</x:v>
      </x:c>
      <x:c r="D662" s="7" t="str">
        <x:v>MVP</x:v>
      </x:c>
      <x:c r="E662" s="7" t="str">
        <x:v>Neon</x:v>
      </x:c>
      <x:c r="F662" s="7" t="n">
        <x:v>13</x:v>
      </x:c>
      <x:c r="G662" s="7" t="n">
        <x:v>8</x:v>
      </x:c>
      <x:c r="H662" s="7" t="str">
        <x:f>IF(F662&gt;G662,"Win",IF(F662&lt;G662,"Loss","Draw"))</x:f>
        <x:v>Win</x:v>
      </x:c>
      <x:c r="I662" s="7" t="n">
        <x:f>IF(H662="Win",1,0)</x:f>
        <x:v>1</x:v>
      </x:c>
      <x:c r="J662" s="7" t="n">
        <x:f>F662-G662</x:f>
        <x:v>5</x:v>
      </x:c>
      <x:c r="K662" s="7" t="n">
        <x:f>F662+G662</x:f>
        <x:v>21</x:v>
      </x:c>
      <x:c r="L662" s="7" t="n">
        <x:v>24</x:v>
      </x:c>
      <x:c r="M662" s="7" t="n">
        <x:v>17</x:v>
      </x:c>
      <x:c r="N662" s="7" t="n">
        <x:v>1</x:v>
      </x:c>
      <x:c r="O662" s="9" t="n">
        <x:f>IF(M662=0,"n.a.",L662/M662)</x:f>
        <x:v>1.411764705882353</x:v>
      </x:c>
      <x:c r="P662" s="9" t="n">
        <x:f>IF(K662=0,"n.a.",L662/K662)</x:f>
        <x:v>1.1428571428571428</x:v>
      </x:c>
      <x:c r="Q662" s="9" t="n">
        <x:f>IF(K662=0,"n.a.",M662/K662)</x:f>
        <x:v>0.8095238095238095</x:v>
      </x:c>
      <x:c r="R662" s="9" t="n">
        <x:f>IF(K662=0,"n.a.",N662/K662)</x:f>
        <x:v>0.047619047619047616</x:v>
      </x:c>
      <x:c r="S662" s="7" t="n">
        <x:v>40</x:v>
      </x:c>
      <x:c r="T662" s="10" t="n">
        <x:v>0.31</x:v>
      </x:c>
      <x:c r="U662" s="7" t="n">
        <x:v>313</x:v>
      </x:c>
      <x:c r="V662" s="7" t="n">
        <x:v>748</x:v>
      </x:c>
    </x:row>
    <x:row r="663" ht="16" customHeight="1">
      <x:c r="A663" s="7" t="n">
        <x:v>660</x:v>
      </x:c>
      <x:c r="B663" s="8" t="n">
        <x:v>46137</x:v>
      </x:c>
      <x:c r="C663" s="7" t="str">
        <x:v>Breeze</x:v>
      </x:c>
      <x:c r="D663" s="7" t="str">
        <x:v>5th</x:v>
      </x:c>
      <x:c r="E663" s="7" t="str">
        <x:v>Neon</x:v>
      </x:c>
      <x:c r="F663" s="7" t="n">
        <x:v>13</x:v>
      </x:c>
      <x:c r="G663" s="7" t="n">
        <x:v>2</x:v>
      </x:c>
      <x:c r="H663" s="7" t="str">
        <x:f>IF(F663&gt;G663,"Win",IF(F663&lt;G663,"Loss","Draw"))</x:f>
        <x:v>Win</x:v>
      </x:c>
      <x:c r="I663" s="7" t="n">
        <x:f>IF(H663="Win",1,0)</x:f>
        <x:v>1</x:v>
      </x:c>
      <x:c r="J663" s="7" t="n">
        <x:f>F663-G663</x:f>
        <x:v>11</x:v>
      </x:c>
      <x:c r="K663" s="7" t="n">
        <x:f>F663+G663</x:f>
        <x:v>15</x:v>
      </x:c>
      <x:c r="L663" s="7" t="n">
        <x:v>13</x:v>
      </x:c>
      <x:c r="M663" s="7" t="n">
        <x:v>10</x:v>
      </x:c>
      <x:c r="N663" s="7" t="n">
        <x:v>4</x:v>
      </x:c>
      <x:c r="O663" s="9" t="n">
        <x:f>IF(M663=0,"n.a.",L663/M663)</x:f>
        <x:v>1.3</x:v>
      </x:c>
      <x:c r="P663" s="9" t="n">
        <x:f>IF(K663=0,"n.a.",L663/K663)</x:f>
        <x:v>0.8666666666666667</x:v>
      </x:c>
      <x:c r="Q663" s="9" t="n">
        <x:f>IF(K663=0,"n.a.",M663/K663)</x:f>
        <x:v>0.6666666666666666</x:v>
      </x:c>
      <x:c r="R663" s="9" t="n">
        <x:f>IF(K663=0,"n.a.",N663/K663)</x:f>
        <x:v>0.26666666666666666</x:v>
      </x:c>
      <x:c r="S663" s="7" t="n">
        <x:v>7</x:v>
      </x:c>
      <x:c r="T663" s="10" t="n">
        <x:v>0.14</x:v>
      </x:c>
      <x:c r="U663" s="7" t="n">
        <x:v>222</x:v>
      </x:c>
      <x:c r="V663" s="7" t="n">
        <x:v>591</x:v>
      </x:c>
    </x:row>
    <x:row r="664" ht="16" customHeight="1">
      <x:c r="A664" s="7" t="n">
        <x:v>661</x:v>
      </x:c>
      <x:c r="B664" s="8" t="n">
        <x:v>46137</x:v>
      </x:c>
      <x:c r="C664" s="7" t="str">
        <x:v>Bind</x:v>
      </x:c>
      <x:c r="D664" s="7" t="str">
        <x:v>4th</x:v>
      </x:c>
      <x:c r="E664" s="7" t="str">
        <x:v>Neon</x:v>
      </x:c>
      <x:c r="F664" s="7" t="n">
        <x:v>13</x:v>
      </x:c>
      <x:c r="G664" s="7" t="n">
        <x:v>11</x:v>
      </x:c>
      <x:c r="H664" s="7" t="str">
        <x:f>IF(F664&gt;G664,"Win",IF(F664&lt;G664,"Loss","Draw"))</x:f>
        <x:v>Win</x:v>
      </x:c>
      <x:c r="I664" s="7" t="n">
        <x:f>IF(H664="Win",1,0)</x:f>
        <x:v>1</x:v>
      </x:c>
      <x:c r="J664" s="7" t="n">
        <x:f>F664-G664</x:f>
        <x:v>2</x:v>
      </x:c>
      <x:c r="K664" s="7" t="n">
        <x:f>F664+G664</x:f>
        <x:v>24</x:v>
      </x:c>
      <x:c r="L664" s="7" t="n">
        <x:v>20</x:v>
      </x:c>
      <x:c r="M664" s="7" t="n">
        <x:v>20</x:v>
      </x:c>
      <x:c r="N664" s="7" t="n">
        <x:v>4</x:v>
      </x:c>
      <x:c r="O664" s="9" t="n">
        <x:f>IF(M664=0,"n.a.",L664/M664)</x:f>
        <x:v>1</x:v>
      </x:c>
      <x:c r="P664" s="9" t="n">
        <x:f>IF(K664=0,"n.a.",L664/K664)</x:f>
        <x:v>0.8333333333333334</x:v>
      </x:c>
      <x:c r="Q664" s="9" t="n">
        <x:f>IF(K664=0,"n.a.",M664/K664)</x:f>
        <x:v>0.8333333333333334</x:v>
      </x:c>
      <x:c r="R664" s="9" t="n">
        <x:f>IF(K664=0,"n.a.",N664/K664)</x:f>
        <x:v>0.16666666666666666</x:v>
      </x:c>
      <x:c r="S664" s="7" t="n">
        <x:v>6</x:v>
      </x:c>
      <x:c r="T664" s="10" t="n">
        <x:v>0.21</x:v>
      </x:c>
      <x:c r="U664" s="7" t="n">
        <x:v>244</x:v>
      </x:c>
      <x:c r="V664" s="7" t="n">
        <x:v>559</x:v>
      </x:c>
    </x:row>
    <x:row r="665" ht="16" customHeight="1">
      <x:c r="A665" s="7" t="n">
        <x:v>662</x:v>
      </x:c>
      <x:c r="B665" s="8" t="n">
        <x:v>46137</x:v>
      </x:c>
      <x:c r="C665" s="7" t="str">
        <x:v>Breeze</x:v>
      </x:c>
      <x:c r="D665" s="7" t="str">
        <x:v>3rd</x:v>
      </x:c>
      <x:c r="E665" s="7" t="str">
        <x:v>Neon</x:v>
      </x:c>
      <x:c r="F665" s="7" t="n">
        <x:v>8</x:v>
      </x:c>
      <x:c r="G665" s="7" t="n">
        <x:v>13</x:v>
      </x:c>
      <x:c r="H665" s="7" t="str">
        <x:f>IF(F665&gt;G665,"Win",IF(F665&lt;G665,"Loss","Draw"))</x:f>
        <x:v>Loss</x:v>
      </x:c>
      <x:c r="I665" s="7" t="n">
        <x:f>IF(H665="Win",1,0)</x:f>
        <x:v>0</x:v>
      </x:c>
      <x:c r="J665" s="7" t="n">
        <x:f>F665-G665</x:f>
        <x:v>-5</x:v>
      </x:c>
      <x:c r="K665" s="7" t="n">
        <x:f>F665+G665</x:f>
        <x:v>21</x:v>
      </x:c>
      <x:c r="L665" s="7" t="n">
        <x:v>21</x:v>
      </x:c>
      <x:c r="M665" s="7" t="n">
        <x:v>17</x:v>
      </x:c>
      <x:c r="N665" s="7" t="n">
        <x:v>6</x:v>
      </x:c>
      <x:c r="O665" s="9" t="n">
        <x:f>IF(M665=0,"n.a.",L665/M665)</x:f>
        <x:v>1.2352941176470589</x:v>
      </x:c>
      <x:c r="P665" s="9" t="n">
        <x:f>IF(K665=0,"n.a.",L665/K665)</x:f>
        <x:v>1</x:v>
      </x:c>
      <x:c r="Q665" s="9" t="n">
        <x:f>IF(K665=0,"n.a.",M665/K665)</x:f>
        <x:v>0.8095238095238095</x:v>
      </x:c>
      <x:c r="R665" s="9" t="n">
        <x:f>IF(K665=0,"n.a.",N665/K665)</x:f>
        <x:v>0.2857142857142857</x:v>
      </x:c>
      <x:c r="S665" s="7" t="n">
        <x:v>62</x:v>
      </x:c>
      <x:c r="T665" s="10" t="n">
        <x:v>0.24</x:v>
      </x:c>
      <x:c r="U665" s="7" t="n">
        <x:v>295</x:v>
      </x:c>
      <x:c r="V665" s="7" t="n">
        <x:v>855</x:v>
      </x:c>
    </x:row>
    <x:row r="666" ht="16" customHeight="1">
      <x:c r="A666" s="7" t="n">
        <x:v>663</x:v>
      </x:c>
      <x:c r="B666" s="8" t="n">
        <x:v>46137</x:v>
      </x:c>
      <x:c r="C666" s="7" t="str">
        <x:v>Split</x:v>
      </x:c>
      <x:c r="D666" s="7" t="str">
        <x:v>3rd</x:v>
      </x:c>
      <x:c r="E666" s="7" t="str">
        <x:v>Neon</x:v>
      </x:c>
      <x:c r="F666" s="7" t="n">
        <x:v>13</x:v>
      </x:c>
      <x:c r="G666" s="7" t="n">
        <x:v>4</x:v>
      </x:c>
      <x:c r="H666" s="7" t="str">
        <x:f>IF(F666&gt;G666,"Win",IF(F666&lt;G666,"Loss","Draw"))</x:f>
        <x:v>Win</x:v>
      </x:c>
      <x:c r="I666" s="7" t="n">
        <x:f>IF(H666="Win",1,0)</x:f>
        <x:v>1</x:v>
      </x:c>
      <x:c r="J666" s="7" t="n">
        <x:f>F666-G666</x:f>
        <x:v>9</x:v>
      </x:c>
      <x:c r="K666" s="7" t="n">
        <x:f>F666+G666</x:f>
        <x:v>17</x:v>
      </x:c>
      <x:c r="L666" s="7" t="n">
        <x:v>17</x:v>
      </x:c>
      <x:c r="M666" s="7" t="n">
        <x:v>13</x:v>
      </x:c>
      <x:c r="N666" s="7" t="n">
        <x:v>4</x:v>
      </x:c>
      <x:c r="O666" s="9" t="n">
        <x:f>IF(M666=0,"n.a.",L666/M666)</x:f>
        <x:v>1.3076923076923077</x:v>
      </x:c>
      <x:c r="P666" s="9" t="n">
        <x:f>IF(K666=0,"n.a.",L666/K666)</x:f>
        <x:v>1</x:v>
      </x:c>
      <x:c r="Q666" s="9" t="n">
        <x:f>IF(K666=0,"n.a.",M666/K666)</x:f>
        <x:v>0.7647058823529411</x:v>
      </x:c>
      <x:c r="R666" s="9" t="n">
        <x:f>IF(K666=0,"n.a.",N666/K666)</x:f>
        <x:v>0.23529411764705882</x:v>
      </x:c>
      <x:c r="S666" s="7" t="n">
        <x:v>37</x:v>
      </x:c>
      <x:c r="T666" s="10" t="n">
        <x:v>0.21</x:v>
      </x:c>
      <x:c r="U666" s="7" t="n">
        <x:v>291</x:v>
      </x:c>
      <x:c r="V666" s="7" t="n">
        <x:v>921</x:v>
      </x:c>
    </x:row>
    <x:row r="667" ht="16" customHeight="1">
      <x:c r="A667" s="7" t="n">
        <x:v>664</x:v>
      </x:c>
      <x:c r="B667" s="8" t="n">
        <x:v>46137</x:v>
      </x:c>
      <x:c r="C667" s="7" t="str">
        <x:v>Bind</x:v>
      </x:c>
      <x:c r="D667" s="7" t="str">
        <x:v>10th</x:v>
      </x:c>
      <x:c r="E667" s="7" t="str">
        <x:v>Neon</x:v>
      </x:c>
      <x:c r="F667" s="7" t="n">
        <x:v>13</x:v>
      </x:c>
      <x:c r="G667" s="7" t="n">
        <x:v>9</x:v>
      </x:c>
      <x:c r="H667" s="7" t="str">
        <x:f>IF(F667&gt;G667,"Win",IF(F667&lt;G667,"Loss","Draw"))</x:f>
        <x:v>Win</x:v>
      </x:c>
      <x:c r="I667" s="7" t="n">
        <x:f>IF(H667="Win",1,0)</x:f>
        <x:v>1</x:v>
      </x:c>
      <x:c r="J667" s="7" t="n">
        <x:f>F667-G667</x:f>
        <x:v>4</x:v>
      </x:c>
      <x:c r="K667" s="7" t="n">
        <x:f>F667+G667</x:f>
        <x:v>22</x:v>
      </x:c>
      <x:c r="L667" s="7" t="n">
        <x:v>8</x:v>
      </x:c>
      <x:c r="M667" s="7" t="n">
        <x:v>23</x:v>
      </x:c>
      <x:c r="N667" s="7" t="n">
        <x:v>5</x:v>
      </x:c>
      <x:c r="O667" s="9" t="n">
        <x:f>IF(M667=0,"n.a.",L667/M667)</x:f>
        <x:v>0.34782608695652173</x:v>
      </x:c>
      <x:c r="P667" s="9" t="n">
        <x:f>IF(K667=0,"n.a.",L667/K667)</x:f>
        <x:v>0.36363636363636365</x:v>
      </x:c>
      <x:c r="Q667" s="9" t="n">
        <x:f>IF(K667=0,"n.a.",M667/K667)</x:f>
        <x:v>1.0454545454545454</x:v>
      </x:c>
      <x:c r="R667" s="9" t="n">
        <x:f>IF(K667=0,"n.a.",N667/K667)</x:f>
        <x:v>0.22727272727272727</x:v>
      </x:c>
      <x:c r="S667" s="7" t="n">
        <x:v>-96</x:v>
      </x:c>
      <x:c r="T667" s="10" t="n">
        <x:v>0.17</x:v>
      </x:c>
      <x:c r="U667" s="7" t="n">
        <x:v>123</x:v>
      </x:c>
      <x:c r="V667" s="7" t="n">
        <x:v>276</x:v>
      </x:c>
    </x:row>
    <x:row r="668" ht="16" customHeight="1">
      <x:c r="A668" s="7" t="n">
        <x:v>665</x:v>
      </x:c>
      <x:c r="B668" s="8" t="n">
        <x:v>46137</x:v>
      </x:c>
      <x:c r="C668" s="7" t="str">
        <x:v>Bind</x:v>
      </x:c>
      <x:c r="D668" s="7" t="str">
        <x:v>MVP</x:v>
      </x:c>
      <x:c r="E668" s="7" t="str">
        <x:v>Neon</x:v>
      </x:c>
      <x:c r="F668" s="7" t="n">
        <x:v>13</x:v>
      </x:c>
      <x:c r="G668" s="7" t="n">
        <x:v>8</x:v>
      </x:c>
      <x:c r="H668" s="7" t="str">
        <x:f>IF(F668&gt;G668,"Win",IF(F668&lt;G668,"Loss","Draw"))</x:f>
        <x:v>Win</x:v>
      </x:c>
      <x:c r="I668" s="7" t="n">
        <x:f>IF(H668="Win",1,0)</x:f>
        <x:v>1</x:v>
      </x:c>
      <x:c r="J668" s="7" t="n">
        <x:f>F668-G668</x:f>
        <x:v>5</x:v>
      </x:c>
      <x:c r="K668" s="7" t="n">
        <x:f>F668+G668</x:f>
        <x:v>21</x:v>
      </x:c>
      <x:c r="L668" s="7" t="n">
        <x:v>26</x:v>
      </x:c>
      <x:c r="M668" s="7" t="n">
        <x:v>16</x:v>
      </x:c>
      <x:c r="N668" s="7" t="n">
        <x:v>1</x:v>
      </x:c>
      <x:c r="O668" s="9" t="n">
        <x:f>IF(M668=0,"n.a.",L668/M668)</x:f>
        <x:v>1.625</x:v>
      </x:c>
      <x:c r="P668" s="9" t="n">
        <x:f>IF(K668=0,"n.a.",L668/K668)</x:f>
        <x:v>1.2380952380952381</x:v>
      </x:c>
      <x:c r="Q668" s="9" t="n">
        <x:f>IF(K668=0,"n.a.",M668/K668)</x:f>
        <x:v>0.7619047619047619</x:v>
      </x:c>
      <x:c r="R668" s="9" t="n">
        <x:f>IF(K668=0,"n.a.",N668/K668)</x:f>
        <x:v>0.047619047619047616</x:v>
      </x:c>
      <x:c r="S668" s="7" t="n">
        <x:v>80</x:v>
      </x:c>
      <x:c r="T668" s="10" t="n">
        <x:v>0.21</x:v>
      </x:c>
      <x:c r="U668" s="7" t="n">
        <x:v>340</x:v>
      </x:c>
      <x:c r="V668" s="7" t="n">
        <x:v>732</x:v>
      </x:c>
    </x:row>
    <x:row r="669" ht="16" customHeight="1">
      <x:c r="A669" s="7" t="n">
        <x:v>666</x:v>
      </x:c>
      <x:c r="B669" s="8" t="n">
        <x:v>46137</x:v>
      </x:c>
      <x:c r="C669" s="7" t="str">
        <x:v>Pearl</x:v>
      </x:c>
      <x:c r="D669" s="7" t="str">
        <x:v>5th</x:v>
      </x:c>
      <x:c r="E669" s="7" t="str">
        <x:v>Neon</x:v>
      </x:c>
      <x:c r="F669" s="7" t="n">
        <x:v>13</x:v>
      </x:c>
      <x:c r="G669" s="7" t="n">
        <x:v>8</x:v>
      </x:c>
      <x:c r="H669" s="7" t="str">
        <x:f>IF(F669&gt;G669,"Win",IF(F669&lt;G669,"Loss","Draw"))</x:f>
        <x:v>Win</x:v>
      </x:c>
      <x:c r="I669" s="7" t="n">
        <x:f>IF(H669="Win",1,0)</x:f>
        <x:v>1</x:v>
      </x:c>
      <x:c r="J669" s="7" t="n">
        <x:f>F669-G669</x:f>
        <x:v>5</x:v>
      </x:c>
      <x:c r="K669" s="7" t="n">
        <x:f>F669+G669</x:f>
        <x:v>21</x:v>
      </x:c>
      <x:c r="L669" s="7" t="n">
        <x:v>19</x:v>
      </x:c>
      <x:c r="M669" s="7" t="n">
        <x:v>21</x:v>
      </x:c>
      <x:c r="N669" s="7" t="n">
        <x:v>5</x:v>
      </x:c>
      <x:c r="O669" s="9" t="n">
        <x:f>IF(M669=0,"n.a.",L669/M669)</x:f>
        <x:v>0.9047619047619048</x:v>
      </x:c>
      <x:c r="P669" s="9" t="n">
        <x:f>IF(K669=0,"n.a.",L669/K669)</x:f>
        <x:v>0.9047619047619048</x:v>
      </x:c>
      <x:c r="Q669" s="9" t="n">
        <x:f>IF(K669=0,"n.a.",M669/K669)</x:f>
        <x:v>1</x:v>
      </x:c>
      <x:c r="R669" s="9" t="n">
        <x:f>IF(K669=0,"n.a.",N669/K669)</x:f>
        <x:v>0.23809523809523808</x:v>
      </x:c>
      <x:c r="S669" s="7" t="n">
        <x:v>-27</x:v>
      </x:c>
      <x:c r="T669" s="10" t="n">
        <x:v>0.11</x:v>
      </x:c>
      <x:c r="U669" s="7" t="n">
        <x:v>259</x:v>
      </x:c>
      <x:c r="V669" s="7" t="n">
        <x:v>548</x:v>
      </x:c>
    </x:row>
    <x:row r="670" ht="16" customHeight="1">
      <x:c r="A670" s="7" t="n">
        <x:v>667</x:v>
      </x:c>
      <x:c r="B670" s="8" t="n">
        <x:v>46137</x:v>
      </x:c>
      <x:c r="C670" s="7" t="str">
        <x:v>Fracture</x:v>
      </x:c>
      <x:c r="D670" s="7" t="str">
        <x:v>3rd</x:v>
      </x:c>
      <x:c r="E670" s="7" t="str">
        <x:v>Neon</x:v>
      </x:c>
      <x:c r="F670" s="7" t="n">
        <x:v>14</x:v>
      </x:c>
      <x:c r="G670" s="7" t="n">
        <x:v>12</x:v>
      </x:c>
      <x:c r="H670" s="7" t="str">
        <x:f>IF(F670&gt;G670,"Win",IF(F670&lt;G670,"Loss","Draw"))</x:f>
        <x:v>Win</x:v>
      </x:c>
      <x:c r="I670" s="7" t="n">
        <x:f>IF(H670="Win",1,0)</x:f>
        <x:v>1</x:v>
      </x:c>
      <x:c r="J670" s="7" t="n">
        <x:f>F670-G670</x:f>
        <x:v>2</x:v>
      </x:c>
      <x:c r="K670" s="7" t="n">
        <x:f>F670+G670</x:f>
        <x:v>26</x:v>
      </x:c>
      <x:c r="L670" s="7" t="n">
        <x:v>24</x:v>
      </x:c>
      <x:c r="M670" s="7" t="n">
        <x:v>18</x:v>
      </x:c>
      <x:c r="N670" s="7" t="n">
        <x:v>2</x:v>
      </x:c>
      <x:c r="O670" s="9" t="n">
        <x:f>IF(M670=0,"n.a.",L670/M670)</x:f>
        <x:v>1.3333333333333333</x:v>
      </x:c>
      <x:c r="P670" s="9" t="n">
        <x:f>IF(K670=0,"n.a.",L670/K670)</x:f>
        <x:v>0.9230769230769231</x:v>
      </x:c>
      <x:c r="Q670" s="9" t="n">
        <x:f>IF(K670=0,"n.a.",M670/K670)</x:f>
        <x:v>0.6923076923076923</x:v>
      </x:c>
      <x:c r="R670" s="9" t="n">
        <x:f>IF(K670=0,"n.a.",N670/K670)</x:f>
        <x:v>0.07692307692307693</x:v>
      </x:c>
      <x:c r="S670" s="7" t="n">
        <x:v>34</x:v>
      </x:c>
      <x:c r="T670" s="10" t="n">
        <x:v>0.22</x:v>
      </x:c>
      <x:c r="U670" s="7" t="n">
        <x:v>268</x:v>
      </x:c>
      <x:c r="V670" s="7" t="n">
        <x:v>702</x:v>
      </x:c>
    </x:row>
    <x:row r="671" ht="16" customHeight="1">
      <x:c r="A671" s="7" t="n">
        <x:v>668</x:v>
      </x:c>
      <x:c r="B671" s="8" t="n">
        <x:v>46137</x:v>
      </x:c>
      <x:c r="C671" s="7" t="str">
        <x:v>Breeze</x:v>
      </x:c>
      <x:c r="D671" s="7" t="str">
        <x:v>MVP</x:v>
      </x:c>
      <x:c r="E671" s="7" t="str">
        <x:v>Neon</x:v>
      </x:c>
      <x:c r="F671" s="7" t="n">
        <x:v>9</x:v>
      </x:c>
      <x:c r="G671" s="7" t="n">
        <x:v>13</x:v>
      </x:c>
      <x:c r="H671" s="7" t="str">
        <x:f>IF(F671&gt;G671,"Win",IF(F671&lt;G671,"Loss","Draw"))</x:f>
        <x:v>Loss</x:v>
      </x:c>
      <x:c r="I671" s="7" t="n">
        <x:f>IF(H671="Win",1,0)</x:f>
        <x:v>0</x:v>
      </x:c>
      <x:c r="J671" s="7" t="n">
        <x:f>F671-G671</x:f>
        <x:v>-4</x:v>
      </x:c>
      <x:c r="K671" s="7" t="n">
        <x:f>F671+G671</x:f>
        <x:v>22</x:v>
      </x:c>
      <x:c r="L671" s="7" t="n">
        <x:v>30</x:v>
      </x:c>
      <x:c r="M671" s="7" t="n">
        <x:v>16</x:v>
      </x:c>
      <x:c r="N671" s="7" t="n">
        <x:v>3</x:v>
      </x:c>
      <x:c r="O671" s="9" t="n">
        <x:f>IF(M671=0,"n.a.",L671/M671)</x:f>
        <x:v>1.875</x:v>
      </x:c>
      <x:c r="P671" s="9" t="n">
        <x:f>IF(K671=0,"n.a.",L671/K671)</x:f>
        <x:v>1.3636363636363635</x:v>
      </x:c>
      <x:c r="Q671" s="9" t="n">
        <x:f>IF(K671=0,"n.a.",M671/K671)</x:f>
        <x:v>0.7272727272727273</x:v>
      </x:c>
      <x:c r="R671" s="9" t="n">
        <x:f>IF(K671=0,"n.a.",N671/K671)</x:f>
        <x:v>0.13636363636363635</x:v>
      </x:c>
      <x:c r="S671" s="7" t="n">
        <x:v>73</x:v>
      </x:c>
      <x:c r="T671" s="10" t="n">
        <x:v>0.17</x:v>
      </x:c>
      <x:c r="U671" s="7" t="n">
        <x:v>392</x:v>
      </x:c>
      <x:c r="V671" s="7" t="n">
        <x:v>815</x:v>
      </x:c>
    </x:row>
    <x:row r="672" ht="16" customHeight="1">
      <x:c r="A672" s="7" t="n">
        <x:v>669</x:v>
      </x:c>
      <x:c r="B672" s="8" t="n">
        <x:v>46138</x:v>
      </x:c>
      <x:c r="C672" s="7" t="str">
        <x:v>Lotus</x:v>
      </x:c>
      <x:c r="D672" s="7" t="str">
        <x:v>8th</x:v>
      </x:c>
      <x:c r="E672" s="7" t="str">
        <x:v>Neon</x:v>
      </x:c>
      <x:c r="F672" s="7" t="n">
        <x:v>11</x:v>
      </x:c>
      <x:c r="G672" s="7" t="n">
        <x:v>13</x:v>
      </x:c>
      <x:c r="H672" s="7" t="str">
        <x:f>IF(F672&gt;G672,"Win",IF(F672&lt;G672,"Loss","Draw"))</x:f>
        <x:v>Loss</x:v>
      </x:c>
      <x:c r="I672" s="7" t="n">
        <x:f>IF(H672="Win",1,0)</x:f>
        <x:v>0</x:v>
      </x:c>
      <x:c r="J672" s="7" t="n">
        <x:f>F672-G672</x:f>
        <x:v>-2</x:v>
      </x:c>
      <x:c r="K672" s="7" t="n">
        <x:f>F672+G672</x:f>
        <x:v>24</x:v>
      </x:c>
      <x:c r="L672" s="7" t="n">
        <x:v>16</x:v>
      </x:c>
      <x:c r="M672" s="7" t="n">
        <x:v>20</x:v>
      </x:c>
      <x:c r="N672" s="7" t="n">
        <x:v>4</x:v>
      </x:c>
      <x:c r="O672" s="9" t="n">
        <x:f>IF(M672=0,"n.a.",L672/M672)</x:f>
        <x:v>0.8</x:v>
      </x:c>
      <x:c r="P672" s="9" t="n">
        <x:f>IF(K672=0,"n.a.",L672/K672)</x:f>
        <x:v>0.6666666666666666</x:v>
      </x:c>
      <x:c r="Q672" s="9" t="n">
        <x:f>IF(K672=0,"n.a.",M672/K672)</x:f>
        <x:v>0.8333333333333334</x:v>
      </x:c>
      <x:c r="R672" s="9" t="n">
        <x:f>IF(K672=0,"n.a.",N672/K672)</x:f>
        <x:v>0.16666666666666666</x:v>
      </x:c>
      <x:c r="S672" s="7" t="n">
        <x:v>-23</x:v>
      </x:c>
      <x:c r="T672" s="10" t="n">
        <x:v>0.29</x:v>
      </x:c>
      <x:c r="U672" s="7" t="n">
        <x:v>184</x:v>
      </x:c>
      <x:c r="V672" s="7" t="n">
        <x:v>372</x:v>
      </x:c>
    </x:row>
    <x:row r="673" ht="16" customHeight="1">
      <x:c r="A673" s="7" t="n">
        <x:v>670</x:v>
      </x:c>
      <x:c r="B673" s="8" t="n">
        <x:v>46139</x:v>
      </x:c>
      <x:c r="C673" s="7" t="str">
        <x:v>Bind</x:v>
      </x:c>
      <x:c r="D673" s="7" t="str">
        <x:v>4th</x:v>
      </x:c>
      <x:c r="E673" s="7" t="str">
        <x:v>Neon</x:v>
      </x:c>
      <x:c r="F673" s="7" t="n">
        <x:v>11</x:v>
      </x:c>
      <x:c r="G673" s="7" t="n">
        <x:v>13</x:v>
      </x:c>
      <x:c r="H673" s="7" t="str">
        <x:f>IF(F673&gt;G673,"Win",IF(F673&lt;G673,"Loss","Draw"))</x:f>
        <x:v>Loss</x:v>
      </x:c>
      <x:c r="I673" s="7" t="n">
        <x:f>IF(H673="Win",1,0)</x:f>
        <x:v>0</x:v>
      </x:c>
      <x:c r="J673" s="7" t="n">
        <x:f>F673-G673</x:f>
        <x:v>-2</x:v>
      </x:c>
      <x:c r="K673" s="7" t="n">
        <x:f>F673+G673</x:f>
        <x:v>24</x:v>
      </x:c>
      <x:c r="L673" s="7" t="n">
        <x:v>20</x:v>
      </x:c>
      <x:c r="M673" s="7" t="n">
        <x:v>16</x:v>
      </x:c>
      <x:c r="N673" s="7" t="n">
        <x:v>6</x:v>
      </x:c>
      <x:c r="O673" s="9" t="n">
        <x:f>IF(M673=0,"n.a.",L673/M673)</x:f>
        <x:v>1.25</x:v>
      </x:c>
      <x:c r="P673" s="9" t="n">
        <x:f>IF(K673=0,"n.a.",L673/K673)</x:f>
        <x:v>0.8333333333333334</x:v>
      </x:c>
      <x:c r="Q673" s="9" t="n">
        <x:f>IF(K673=0,"n.a.",M673/K673)</x:f>
        <x:v>0.6666666666666666</x:v>
      </x:c>
      <x:c r="R673" s="9" t="n">
        <x:f>IF(K673=0,"n.a.",N673/K673)</x:f>
        <x:v>0.25</x:v>
      </x:c>
      <x:c r="S673" s="7" t="n">
        <x:v>-3</x:v>
      </x:c>
      <x:c r="T673" s="10" t="n">
        <x:v>0.13</x:v>
      </x:c>
      <x:c r="U673" s="7" t="n">
        <x:v>233</x:v>
      </x:c>
      <x:c r="V673" s="7" t="n">
        <x:v>652</x:v>
      </x:c>
    </x:row>
    <x:row r="674" ht="16" customHeight="1">
      <x:c r="A674" s="7" t="n">
        <x:v>671</x:v>
      </x:c>
      <x:c r="B674" s="8" t="n">
        <x:v>46139</x:v>
      </x:c>
      <x:c r="C674" s="7" t="str">
        <x:v>Haven</x:v>
      </x:c>
      <x:c r="D674" s="7" t="str">
        <x:v>4th</x:v>
      </x:c>
      <x:c r="E674" s="7" t="str">
        <x:v>Neon</x:v>
      </x:c>
      <x:c r="F674" s="7" t="n">
        <x:v>12</x:v>
      </x:c>
      <x:c r="G674" s="7" t="n">
        <x:v>14</x:v>
      </x:c>
      <x:c r="H674" s="7" t="str">
        <x:f>IF(F674&gt;G674,"Win",IF(F674&lt;G674,"Loss","Draw"))</x:f>
        <x:v>Loss</x:v>
      </x:c>
      <x:c r="I674" s="7" t="n">
        <x:f>IF(H674="Win",1,0)</x:f>
        <x:v>0</x:v>
      </x:c>
      <x:c r="J674" s="7" t="n">
        <x:f>F674-G674</x:f>
        <x:v>-2</x:v>
      </x:c>
      <x:c r="K674" s="7" t="n">
        <x:f>F674+G674</x:f>
        <x:v>26</x:v>
      </x:c>
      <x:c r="L674" s="7" t="n">
        <x:v>24</x:v>
      </x:c>
      <x:c r="M674" s="7" t="n">
        <x:v>20</x:v>
      </x:c>
      <x:c r="N674" s="7" t="n">
        <x:v>4</x:v>
      </x:c>
      <x:c r="O674" s="9" t="n">
        <x:f>IF(M674=0,"n.a.",L674/M674)</x:f>
        <x:v>1.2</x:v>
      </x:c>
      <x:c r="P674" s="9" t="n">
        <x:f>IF(K674=0,"n.a.",L674/K674)</x:f>
        <x:v>0.9230769230769231</x:v>
      </x:c>
      <x:c r="Q674" s="9" t="n">
        <x:f>IF(K674=0,"n.a.",M674/K674)</x:f>
        <x:v>0.7692307692307693</x:v>
      </x:c>
      <x:c r="R674" s="9" t="n">
        <x:f>IF(K674=0,"n.a.",N674/K674)</x:f>
        <x:v>0.15384615384615385</x:v>
      </x:c>
      <x:c r="S674" s="7" t="n">
        <x:v>-19</x:v>
      </x:c>
      <x:c r="T674" s="10" t="n">
        <x:v>0.22</x:v>
      </x:c>
      <x:c r="U674" s="7" t="n">
        <x:v>251</x:v>
      </x:c>
      <x:c r="V674" s="7" t="n">
        <x:v>549</x:v>
      </x:c>
    </x:row>
    <x:row r="675" ht="16" customHeight="1">
      <x:c r="A675" s="7" t="n">
        <x:v>672</x:v>
      </x:c>
      <x:c r="B675" s="8" t="n">
        <x:v>46139</x:v>
      </x:c>
      <x:c r="C675" s="7" t="str">
        <x:v>Lotus</x:v>
      </x:c>
      <x:c r="D675" s="7" t="str">
        <x:v>3rd</x:v>
      </x:c>
      <x:c r="E675" s="7" t="str">
        <x:v>Neon</x:v>
      </x:c>
      <x:c r="F675" s="7" t="n">
        <x:v>11</x:v>
      </x:c>
      <x:c r="G675" s="7" t="n">
        <x:v>13</x:v>
      </x:c>
      <x:c r="H675" s="7" t="str">
        <x:f>IF(F675&gt;G675,"Win",IF(F675&lt;G675,"Loss","Draw"))</x:f>
        <x:v>Loss</x:v>
      </x:c>
      <x:c r="I675" s="7" t="n">
        <x:f>IF(H675="Win",1,0)</x:f>
        <x:v>0</x:v>
      </x:c>
      <x:c r="J675" s="7" t="n">
        <x:f>F675-G675</x:f>
        <x:v>-2</x:v>
      </x:c>
      <x:c r="K675" s="7" t="n">
        <x:f>F675+G675</x:f>
        <x:v>24</x:v>
      </x:c>
      <x:c r="L675" s="7" t="n">
        <x:v>22</x:v>
      </x:c>
      <x:c r="M675" s="7" t="n">
        <x:v>21</x:v>
      </x:c>
      <x:c r="N675" s="7" t="n">
        <x:v>2</x:v>
      </x:c>
      <x:c r="O675" s="9" t="n">
        <x:f>IF(M675=0,"n.a.",L675/M675)</x:f>
        <x:v>1.0476190476190477</x:v>
      </x:c>
      <x:c r="P675" s="9" t="n">
        <x:f>IF(K675=0,"n.a.",L675/K675)</x:f>
        <x:v>0.9166666666666666</x:v>
      </x:c>
      <x:c r="Q675" s="9" t="n">
        <x:f>IF(K675=0,"n.a.",M675/K675)</x:f>
        <x:v>0.875</x:v>
      </x:c>
      <x:c r="R675" s="9" t="n">
        <x:f>IF(K675=0,"n.a.",N675/K675)</x:f>
        <x:v>0.08333333333333333</x:v>
      </x:c>
      <x:c r="S675" s="7" t="n">
        <x:v>-5</x:v>
      </x:c>
      <x:c r="T675" s="10" t="n">
        <x:v>0.1</x:v>
      </x:c>
      <x:c r="U675" s="7" t="n">
        <x:v>258</x:v>
      </x:c>
      <x:c r="V675" s="7" t="n">
        <x:v>562</x:v>
      </x:c>
    </x:row>
    <x:row r="676" ht="16" customHeight="1">
      <x:c r="A676" s="7" t="n">
        <x:v>673</x:v>
      </x:c>
      <x:c r="B676" s="8" t="n">
        <x:v>46139</x:v>
      </x:c>
      <x:c r="C676" s="7" t="str">
        <x:v>Fracture</x:v>
      </x:c>
      <x:c r="D676" s="7" t="str">
        <x:v>7th</x:v>
      </x:c>
      <x:c r="E676" s="7" t="str">
        <x:v>Neon</x:v>
      </x:c>
      <x:c r="F676" s="7" t="n">
        <x:v>13</x:v>
      </x:c>
      <x:c r="G676" s="7" t="n">
        <x:v>11</x:v>
      </x:c>
      <x:c r="H676" s="7" t="str">
        <x:f>IF(F676&gt;G676,"Win",IF(F676&lt;G676,"Loss","Draw"))</x:f>
        <x:v>Win</x:v>
      </x:c>
      <x:c r="I676" s="7" t="n">
        <x:f>IF(H676="Win",1,0)</x:f>
        <x:v>1</x:v>
      </x:c>
      <x:c r="J676" s="7" t="n">
        <x:f>F676-G676</x:f>
        <x:v>2</x:v>
      </x:c>
      <x:c r="K676" s="7" t="n">
        <x:f>F676+G676</x:f>
        <x:v>24</x:v>
      </x:c>
      <x:c r="L676" s="7" t="n">
        <x:v>14</x:v>
      </x:c>
      <x:c r="M676" s="7" t="n">
        <x:v>18</x:v>
      </x:c>
      <x:c r="N676" s="7" t="n">
        <x:v>3</x:v>
      </x:c>
      <x:c r="O676" s="9" t="n">
        <x:f>IF(M676=0,"n.a.",L676/M676)</x:f>
        <x:v>0.7777777777777778</x:v>
      </x:c>
      <x:c r="P676" s="9" t="n">
        <x:f>IF(K676=0,"n.a.",L676/K676)</x:f>
        <x:v>0.5833333333333334</x:v>
      </x:c>
      <x:c r="Q676" s="9" t="n">
        <x:f>IF(K676=0,"n.a.",M676/K676)</x:f>
        <x:v>0.75</x:v>
      </x:c>
      <x:c r="R676" s="9" t="n">
        <x:f>IF(K676=0,"n.a.",N676/K676)</x:f>
        <x:v>0.125</x:v>
      </x:c>
      <x:c r="S676" s="7" t="n">
        <x:v>-23</x:v>
      </x:c>
      <x:c r="T676" s="10" t="n">
        <x:v>0.13</x:v>
      </x:c>
      <x:c r="U676" s="7" t="n">
        <x:v>188</x:v>
      </x:c>
      <x:c r="V676" s="7" t="n">
        <x:v>370</x:v>
      </x:c>
    </x:row>
    <x:row r="677" ht="16" customHeight="1">
      <x:c r="A677" s="7" t="n">
        <x:v>674</x:v>
      </x:c>
      <x:c r="B677" s="8" t="n">
        <x:v>46141</x:v>
      </x:c>
      <x:c r="C677" s="7" t="str">
        <x:v>Pearl</x:v>
      </x:c>
      <x:c r="D677" s="7" t="str">
        <x:v>8th</x:v>
      </x:c>
      <x:c r="E677" s="7" t="str">
        <x:v>Neon</x:v>
      </x:c>
      <x:c r="F677" s="7" t="n">
        <x:v>13</x:v>
      </x:c>
      <x:c r="G677" s="7" t="n">
        <x:v>8</x:v>
      </x:c>
      <x:c r="H677" s="7" t="str">
        <x:f>IF(F677&gt;G677,"Win",IF(F677&lt;G677,"Loss","Draw"))</x:f>
        <x:v>Win</x:v>
      </x:c>
      <x:c r="I677" s="7" t="n">
        <x:f>IF(H677="Win",1,0)</x:f>
        <x:v>1</x:v>
      </x:c>
      <x:c r="J677" s="7" t="n">
        <x:f>F677-G677</x:f>
        <x:v>5</x:v>
      </x:c>
      <x:c r="K677" s="7" t="n">
        <x:f>F677+G677</x:f>
        <x:v>21</x:v>
      </x:c>
      <x:c r="L677" s="7" t="n">
        <x:v>10</x:v>
      </x:c>
      <x:c r="M677" s="7" t="n">
        <x:v>16</x:v>
      </x:c>
      <x:c r="N677" s="7" t="n">
        <x:v>1</x:v>
      </x:c>
      <x:c r="O677" s="9" t="n">
        <x:f>IF(M677=0,"n.a.",L677/M677)</x:f>
        <x:v>0.625</x:v>
      </x:c>
      <x:c r="P677" s="9" t="n">
        <x:f>IF(K677=0,"n.a.",L677/K677)</x:f>
        <x:v>0.47619047619047616</x:v>
      </x:c>
      <x:c r="Q677" s="9" t="n">
        <x:f>IF(K677=0,"n.a.",M677/K677)</x:f>
        <x:v>0.7619047619047619</x:v>
      </x:c>
      <x:c r="R677" s="9" t="n">
        <x:f>IF(K677=0,"n.a.",N677/K677)</x:f>
        <x:v>0.047619047619047616</x:v>
      </x:c>
      <x:c r="S677" s="7" t="n">
        <x:v>-68</x:v>
      </x:c>
      <x:c r="T677" s="10" t="n">
        <x:v>0.11</x:v>
      </x:c>
      <x:c r="U677" s="7" t="n">
        <x:v>134</x:v>
      </x:c>
      <x:c r="V677" s="7" t="n">
        <x:v>366</x:v>
      </x:c>
    </x:row>
    <x:row r="678" ht="16" customHeight="1">
      <x:c r="A678" s="7" t="n">
        <x:v>675</x:v>
      </x:c>
      <x:c r="B678" s="8" t="n">
        <x:v>46141</x:v>
      </x:c>
      <x:c r="C678" s="7" t="str">
        <x:v>Breeze</x:v>
      </x:c>
      <x:c r="D678" s="7" t="str">
        <x:v>2nd</x:v>
      </x:c>
      <x:c r="E678" s="7" t="str">
        <x:v>Neon</x:v>
      </x:c>
      <x:c r="F678" s="7" t="n">
        <x:v>13</x:v>
      </x:c>
      <x:c r="G678" s="7" t="n">
        <x:v>4</x:v>
      </x:c>
      <x:c r="H678" s="7" t="str">
        <x:f>IF(F678&gt;G678,"Win",IF(F678&lt;G678,"Loss","Draw"))</x:f>
        <x:v>Win</x:v>
      </x:c>
      <x:c r="I678" s="7" t="n">
        <x:f>IF(H678="Win",1,0)</x:f>
        <x:v>1</x:v>
      </x:c>
      <x:c r="J678" s="7" t="n">
        <x:f>F678-G678</x:f>
        <x:v>9</x:v>
      </x:c>
      <x:c r="K678" s="7" t="n">
        <x:f>F678+G678</x:f>
        <x:v>17</x:v>
      </x:c>
      <x:c r="L678" s="7" t="n">
        <x:v>17</x:v>
      </x:c>
      <x:c r="M678" s="7" t="n">
        <x:v>11</x:v>
      </x:c>
      <x:c r="N678" s="7" t="n">
        <x:v>2</x:v>
      </x:c>
      <x:c r="O678" s="9" t="n">
        <x:f>IF(M678=0,"n.a.",L678/M678)</x:f>
        <x:v>1.5454545454545454</x:v>
      </x:c>
      <x:c r="P678" s="9" t="n">
        <x:f>IF(K678=0,"n.a.",L678/K678)</x:f>
        <x:v>1</x:v>
      </x:c>
      <x:c r="Q678" s="9" t="n">
        <x:f>IF(K678=0,"n.a.",M678/K678)</x:f>
        <x:v>0.6470588235294118</x:v>
      </x:c>
      <x:c r="R678" s="9" t="n">
        <x:f>IF(K678=0,"n.a.",N678/K678)</x:f>
        <x:v>0.11764705882352941</x:v>
      </x:c>
      <x:c r="S678" s="7" t="n">
        <x:v>34</x:v>
      </x:c>
      <x:c r="T678" s="10" t="n">
        <x:v>0.21</x:v>
      </x:c>
      <x:c r="U678" s="7" t="n">
        <x:v>268</x:v>
      </x:c>
      <x:c r="V678" s="7" t="n">
        <x:v>885</x:v>
      </x:c>
    </x:row>
    <x:row r="679" ht="16" customHeight="1">
      <x:c r="A679" s="7" t="n">
        <x:v>676</x:v>
      </x:c>
      <x:c r="B679" s="8" t="n">
        <x:v>46141</x:v>
      </x:c>
      <x:c r="C679" s="7" t="str">
        <x:v>Pearl</x:v>
      </x:c>
      <x:c r="D679" s="7" t="str">
        <x:v>5th</x:v>
      </x:c>
      <x:c r="E679" s="7" t="str">
        <x:v>Neon</x:v>
      </x:c>
      <x:c r="F679" s="7" t="n">
        <x:v>4</x:v>
      </x:c>
      <x:c r="G679" s="7" t="n">
        <x:v>13</x:v>
      </x:c>
      <x:c r="H679" s="7" t="str">
        <x:f>IF(F679&gt;G679,"Win",IF(F679&lt;G679,"Loss","Draw"))</x:f>
        <x:v>Loss</x:v>
      </x:c>
      <x:c r="I679" s="7" t="n">
        <x:f>IF(H679="Win",1,0)</x:f>
        <x:v>0</x:v>
      </x:c>
      <x:c r="J679" s="7" t="n">
        <x:f>F679-G679</x:f>
        <x:v>-9</x:v>
      </x:c>
      <x:c r="K679" s="7" t="n">
        <x:f>F679+G679</x:f>
        <x:v>17</x:v>
      </x:c>
      <x:c r="L679" s="7" t="n">
        <x:v>12</x:v>
      </x:c>
      <x:c r="M679" s="7" t="n">
        <x:v>16</x:v>
      </x:c>
      <x:c r="N679" s="7" t="n">
        <x:v>5</x:v>
      </x:c>
      <x:c r="O679" s="9" t="n">
        <x:f>IF(M679=0,"n.a.",L679/M679)</x:f>
        <x:v>0.75</x:v>
      </x:c>
      <x:c r="P679" s="9" t="n">
        <x:f>IF(K679=0,"n.a.",L679/K679)</x:f>
        <x:v>0.7058823529411765</x:v>
      </x:c>
      <x:c r="Q679" s="9" t="n">
        <x:f>IF(K679=0,"n.a.",M679/K679)</x:f>
        <x:v>0.9411764705882353</x:v>
      </x:c>
      <x:c r="R679" s="9" t="n">
        <x:f>IF(K679=0,"n.a.",N679/K679)</x:f>
        <x:v>0.29411764705882354</x:v>
      </x:c>
      <x:c r="S679" s="7" t="n">
        <x:v>-22</x:v>
      </x:c>
      <x:c r="T679" s="10" t="n">
        <x:v>0.1</x:v>
      </x:c>
      <x:c r="U679" s="7" t="n">
        <x:v>234</x:v>
      </x:c>
      <x:c r="V679" s="7" t="n">
        <x:v>599</x:v>
      </x:c>
    </x:row>
    <x:row r="680" ht="16" customHeight="1">
      <x:c r="A680" s="7" t="n">
        <x:v>677</x:v>
      </x:c>
      <x:c r="B680" s="8" t="n">
        <x:v>46143</x:v>
      </x:c>
      <x:c r="C680" s="7" t="str">
        <x:v>Breeze</x:v>
      </x:c>
      <x:c r="D680" s="7" t="str">
        <x:v>4th</x:v>
      </x:c>
      <x:c r="E680" s="7" t="str">
        <x:v>Neon</x:v>
      </x:c>
      <x:c r="F680" s="7" t="n">
        <x:v>13</x:v>
      </x:c>
      <x:c r="G680" s="7" t="n">
        <x:v>9</x:v>
      </x:c>
      <x:c r="H680" s="7" t="str">
        <x:f>IF(F680&gt;G680,"Win",IF(F680&lt;G680,"Loss","Draw"))</x:f>
        <x:v>Win</x:v>
      </x:c>
      <x:c r="I680" s="7" t="n">
        <x:f>IF(H680="Win",1,0)</x:f>
        <x:v>1</x:v>
      </x:c>
      <x:c r="J680" s="7" t="n">
        <x:f>F680-G680</x:f>
        <x:v>4</x:v>
      </x:c>
      <x:c r="K680" s="7" t="n">
        <x:f>F680+G680</x:f>
        <x:v>22</x:v>
      </x:c>
      <x:c r="L680" s="7" t="n">
        <x:v>16</x:v>
      </x:c>
      <x:c r="M680" s="7" t="n">
        <x:v>17</x:v>
      </x:c>
      <x:c r="N680" s="7" t="n">
        <x:v>5</x:v>
      </x:c>
      <x:c r="O680" s="9" t="n">
        <x:f>IF(M680=0,"n.a.",L680/M680)</x:f>
        <x:v>0.9411764705882353</x:v>
      </x:c>
      <x:c r="P680" s="9" t="n">
        <x:f>IF(K680=0,"n.a.",L680/K680)</x:f>
        <x:v>0.7272727272727273</x:v>
      </x:c>
      <x:c r="Q680" s="9" t="n">
        <x:f>IF(K680=0,"n.a.",M680/K680)</x:f>
        <x:v>0.7727272727272727</x:v>
      </x:c>
      <x:c r="R680" s="9" t="n">
        <x:f>IF(K680=0,"n.a.",N680/K680)</x:f>
        <x:v>0.22727272727272727</x:v>
      </x:c>
      <x:c r="S680" s="7" t="n">
        <x:v>-14</x:v>
      </x:c>
      <x:c r="T680" s="10" t="n">
        <x:v>0.27</x:v>
      </x:c>
      <x:c r="U680" s="7" t="n">
        <x:v>205</x:v>
      </x:c>
      <x:c r="V680" s="7" t="n">
        <x:v>474</x:v>
      </x:c>
    </x:row>
    <x:row r="681" ht="16" customHeight="1">
      <x:c r="A681" s="7" t="n">
        <x:v>678</x:v>
      </x:c>
      <x:c r="B681" s="8" t="n">
        <x:v>46143</x:v>
      </x:c>
      <x:c r="C681" s="7" t="str">
        <x:v>Fracture</x:v>
      </x:c>
      <x:c r="D681" s="7" t="str">
        <x:v>6th</x:v>
      </x:c>
      <x:c r="E681" s="7" t="str">
        <x:v>Neon</x:v>
      </x:c>
      <x:c r="F681" s="7" t="n">
        <x:v>13</x:v>
      </x:c>
      <x:c r="G681" s="7" t="n">
        <x:v>4</x:v>
      </x:c>
      <x:c r="H681" s="7" t="str">
        <x:f>IF(F681&gt;G681,"Win",IF(F681&lt;G681,"Loss","Draw"))</x:f>
        <x:v>Win</x:v>
      </x:c>
      <x:c r="I681" s="7" t="n">
        <x:f>IF(H681="Win",1,0)</x:f>
        <x:v>1</x:v>
      </x:c>
      <x:c r="J681" s="7" t="n">
        <x:f>F681-G681</x:f>
        <x:v>9</x:v>
      </x:c>
      <x:c r="K681" s="7" t="n">
        <x:f>F681+G681</x:f>
        <x:v>17</x:v>
      </x:c>
      <x:c r="L681" s="7" t="n">
        <x:v>13</x:v>
      </x:c>
      <x:c r="M681" s="7" t="n">
        <x:v>13</x:v>
      </x:c>
      <x:c r="N681" s="7" t="n">
        <x:v>3</x:v>
      </x:c>
      <x:c r="O681" s="9" t="n">
        <x:f>IF(M681=0,"n.a.",L681/M681)</x:f>
        <x:v>1</x:v>
      </x:c>
      <x:c r="P681" s="9" t="n">
        <x:f>IF(K681=0,"n.a.",L681/K681)</x:f>
        <x:v>0.7647058823529411</x:v>
      </x:c>
      <x:c r="Q681" s="9" t="n">
        <x:f>IF(K681=0,"n.a.",M681/K681)</x:f>
        <x:v>0.7647058823529411</x:v>
      </x:c>
      <x:c r="R681" s="9" t="n">
        <x:f>IF(K681=0,"n.a.",N681/K681)</x:f>
        <x:v>0.17647058823529413</x:v>
      </x:c>
      <x:c r="S681" s="7" t="n">
        <x:v>-14</x:v>
      </x:c>
      <x:c r="T681" s="10" t="n">
        <x:v>0.29</x:v>
      </x:c>
      <x:c r="U681" s="7" t="n">
        <x:v>203</x:v>
      </x:c>
      <x:c r="V681" s="7" t="n">
        <x:v>471</x:v>
      </x:c>
    </x:row>
    <x:row r="682" ht="16" customHeight="1">
      <x:c r="A682" s="7" t="n">
        <x:v>679</x:v>
      </x:c>
      <x:c r="B682" s="8" t="n">
        <x:v>46143</x:v>
      </x:c>
      <x:c r="C682" s="7" t="str">
        <x:v>Haven</x:v>
      </x:c>
      <x:c r="D682" s="7" t="str">
        <x:v>7th</x:v>
      </x:c>
      <x:c r="E682" s="7" t="str">
        <x:v>Neon</x:v>
      </x:c>
      <x:c r="F682" s="7" t="n">
        <x:v>6</x:v>
      </x:c>
      <x:c r="G682" s="7" t="n">
        <x:v>13</x:v>
      </x:c>
      <x:c r="H682" s="7" t="str">
        <x:f>IF(F682&gt;G682,"Win",IF(F682&lt;G682,"Loss","Draw"))</x:f>
        <x:v>Loss</x:v>
      </x:c>
      <x:c r="I682" s="7" t="n">
        <x:f>IF(H682="Win",1,0)</x:f>
        <x:v>0</x:v>
      </x:c>
      <x:c r="J682" s="7" t="n">
        <x:f>F682-G682</x:f>
        <x:v>-7</x:v>
      </x:c>
      <x:c r="K682" s="7" t="n">
        <x:f>F682+G682</x:f>
        <x:v>19</x:v>
      </x:c>
      <x:c r="L682" s="7" t="n">
        <x:v>12</x:v>
      </x:c>
      <x:c r="M682" s="7" t="n">
        <x:v>16</x:v>
      </x:c>
      <x:c r="N682" s="7" t="n">
        <x:v>4</x:v>
      </x:c>
      <x:c r="O682" s="9" t="n">
        <x:f>IF(M682=0,"n.a.",L682/M682)</x:f>
        <x:v>0.75</x:v>
      </x:c>
      <x:c r="P682" s="9" t="n">
        <x:f>IF(K682=0,"n.a.",L682/K682)</x:f>
        <x:v>0.631578947368421</x:v>
      </x:c>
      <x:c r="Q682" s="9" t="n">
        <x:f>IF(K682=0,"n.a.",M682/K682)</x:f>
        <x:v>0.8421052631578947</x:v>
      </x:c>
      <x:c r="R682" s="9" t="n">
        <x:f>IF(K682=0,"n.a.",N682/K682)</x:f>
        <x:v>0.21052631578947367</x:v>
      </x:c>
      <x:c r="S682" s="7" t="n">
        <x:v>-14</x:v>
      </x:c>
      <x:c r="T682" s="10" t="n">
        <x:v>0.25</x:v>
      </x:c>
      <x:c r="U682" s="7" t="n">
        <x:v>197</x:v>
      </x:c>
      <x:c r="V682" s="7" t="n">
        <x:v>367</x:v>
      </x:c>
    </x:row>
    <x:row r="683" ht="16" customHeight="1">
      <x:c r="A683" s="7" t="n">
        <x:v>680</x:v>
      </x:c>
      <x:c r="B683" s="8" t="n">
        <x:v>46143</x:v>
      </x:c>
      <x:c r="C683" s="7" t="str">
        <x:v>Split</x:v>
      </x:c>
      <x:c r="D683" s="7" t="str">
        <x:v>4th</x:v>
      </x:c>
      <x:c r="E683" s="7" t="str">
        <x:v>Neon</x:v>
      </x:c>
      <x:c r="F683" s="7" t="n">
        <x:v>8</x:v>
      </x:c>
      <x:c r="G683" s="7" t="n">
        <x:v>13</x:v>
      </x:c>
      <x:c r="H683" s="7" t="str">
        <x:f>IF(F683&gt;G683,"Win",IF(F683&lt;G683,"Loss","Draw"))</x:f>
        <x:v>Loss</x:v>
      </x:c>
      <x:c r="I683" s="7" t="n">
        <x:f>IF(H683="Win",1,0)</x:f>
        <x:v>0</x:v>
      </x:c>
      <x:c r="J683" s="7" t="n">
        <x:f>F683-G683</x:f>
        <x:v>-5</x:v>
      </x:c>
      <x:c r="K683" s="7" t="n">
        <x:f>F683+G683</x:f>
        <x:v>21</x:v>
      </x:c>
      <x:c r="L683" s="7" t="n">
        <x:v>18</x:v>
      </x:c>
      <x:c r="M683" s="7" t="n">
        <x:v>17</x:v>
      </x:c>
      <x:c r="N683" s="7" t="n">
        <x:v>2</x:v>
      </x:c>
      <x:c r="O683" s="9" t="n">
        <x:f>IF(M683=0,"n.a.",L683/M683)</x:f>
        <x:v>1.0588235294117647</x:v>
      </x:c>
      <x:c r="P683" s="9" t="n">
        <x:f>IF(K683=0,"n.a.",L683/K683)</x:f>
        <x:v>0.8571428571428571</x:v>
      </x:c>
      <x:c r="Q683" s="9" t="n">
        <x:f>IF(K683=0,"n.a.",M683/K683)</x:f>
        <x:v>0.8095238095238095</x:v>
      </x:c>
      <x:c r="R683" s="9" t="n">
        <x:f>IF(K683=0,"n.a.",N683/K683)</x:f>
        <x:v>0.09523809523809523</x:v>
      </x:c>
      <x:c r="S683" s="7" t="n">
        <x:v>-3</x:v>
      </x:c>
      <x:c r="T683" s="10" t="n">
        <x:v>0.15</x:v>
      </x:c>
      <x:c r="U683" s="7" t="n">
        <x:v>231</x:v>
      </x:c>
      <x:c r="V683" s="7" t="n">
        <x:v>537</x:v>
      </x:c>
    </x:row>
    <x:row r="684" ht="16" customHeight="1">
      <x:c r="A684" s="7" t="n">
        <x:v>681</x:v>
      </x:c>
      <x:c r="B684" s="8" t="n">
        <x:v>46143</x:v>
      </x:c>
      <x:c r="C684" s="7" t="str">
        <x:v>Fracture</x:v>
      </x:c>
      <x:c r="D684" s="7" t="str">
        <x:v>3rd</x:v>
      </x:c>
      <x:c r="E684" s="7" t="str">
        <x:v>Neon</x:v>
      </x:c>
      <x:c r="F684" s="7" t="n">
        <x:v>13</x:v>
      </x:c>
      <x:c r="G684" s="7" t="n">
        <x:v>3</x:v>
      </x:c>
      <x:c r="H684" s="7" t="str">
        <x:f>IF(F684&gt;G684,"Win",IF(F684&lt;G684,"Loss","Draw"))</x:f>
        <x:v>Win</x:v>
      </x:c>
      <x:c r="I684" s="7" t="n">
        <x:f>IF(H684="Win",1,0)</x:f>
        <x:v>1</x:v>
      </x:c>
      <x:c r="J684" s="7" t="n">
        <x:f>F684-G684</x:f>
        <x:v>10</x:v>
      </x:c>
      <x:c r="K684" s="7" t="n">
        <x:f>F684+G684</x:f>
        <x:v>16</x:v>
      </x:c>
      <x:c r="L684" s="7" t="n">
        <x:v>19</x:v>
      </x:c>
      <x:c r="M684" s="7" t="n">
        <x:v>10</x:v>
      </x:c>
      <x:c r="N684" s="7" t="n">
        <x:v>4</x:v>
      </x:c>
      <x:c r="O684" s="9" t="n">
        <x:f>IF(M684=0,"n.a.",L684/M684)</x:f>
        <x:v>1.9</x:v>
      </x:c>
      <x:c r="P684" s="9" t="n">
        <x:f>IF(K684=0,"n.a.",L684/K684)</x:f>
        <x:v>1.1875</x:v>
      </x:c>
      <x:c r="Q684" s="9" t="n">
        <x:f>IF(K684=0,"n.a.",M684/K684)</x:f>
        <x:v>0.625</x:v>
      </x:c>
      <x:c r="R684" s="9" t="n">
        <x:f>IF(K684=0,"n.a.",N684/K684)</x:f>
        <x:v>0.25</x:v>
      </x:c>
      <x:c r="S684" s="7" t="n">
        <x:v>59</x:v>
      </x:c>
      <x:c r="T684" s="10" t="n">
        <x:v>0.23</x:v>
      </x:c>
      <x:c r="U684" s="7" t="n">
        <x:v>312</x:v>
      </x:c>
      <x:c r="V684" s="7" t="n">
        <x:v>948</x:v>
      </x:c>
    </x:row>
    <x:row r="685" ht="16" customHeight="1">
      <x:c r="A685" s="7" t="n">
        <x:v>682</x:v>
      </x:c>
      <x:c r="B685" s="8" t="n">
        <x:v>46146</x:v>
      </x:c>
      <x:c r="C685" s="7" t="str">
        <x:v>Fracture</x:v>
      </x:c>
      <x:c r="D685" s="7" t="str">
        <x:v>3rd</x:v>
      </x:c>
      <x:c r="E685" s="7" t="str">
        <x:v>Neon</x:v>
      </x:c>
      <x:c r="F685" s="7" t="n">
        <x:v>6</x:v>
      </x:c>
      <x:c r="G685" s="7" t="n">
        <x:v>13</x:v>
      </x:c>
      <x:c r="H685" s="7" t="str">
        <x:f>IF(F685&gt;G685,"Win",IF(F685&lt;G685,"Loss","Draw"))</x:f>
        <x:v>Loss</x:v>
      </x:c>
      <x:c r="I685" s="7" t="n">
        <x:f>IF(H685="Win",1,0)</x:f>
        <x:v>0</x:v>
      </x:c>
      <x:c r="J685" s="7" t="n">
        <x:f>F685-G685</x:f>
        <x:v>-7</x:v>
      </x:c>
      <x:c r="K685" s="7" t="n">
        <x:f>F685+G685</x:f>
        <x:v>19</x:v>
      </x:c>
      <x:c r="L685" s="7" t="n">
        <x:v>16</x:v>
      </x:c>
      <x:c r="M685" s="7" t="n">
        <x:v>16</x:v>
      </x:c>
      <x:c r="N685" s="7" t="n">
        <x:v>0</x:v>
      </x:c>
      <x:c r="O685" s="9" t="n">
        <x:f>IF(M685=0,"n.a.",L685/M685)</x:f>
        <x:v>1</x:v>
      </x:c>
      <x:c r="P685" s="9" t="n">
        <x:f>IF(K685=0,"n.a.",L685/K685)</x:f>
        <x:v>0.8421052631578947</x:v>
      </x:c>
      <x:c r="Q685" s="9" t="n">
        <x:f>IF(K685=0,"n.a.",M685/K685)</x:f>
        <x:v>0.8421052631578947</x:v>
      </x:c>
      <x:c r="R685" s="9" t="n">
        <x:f>IF(K685=0,"n.a.",N685/K685)</x:f>
        <x:v>0</x:v>
      </x:c>
      <x:c r="S685" s="7" t="n">
        <x:v>8</x:v>
      </x:c>
      <x:c r="T685" s="10" t="n">
        <x:v>0.28</x:v>
      </x:c>
      <x:c r="U685" s="7" t="n">
        <x:v>250</x:v>
      </x:c>
      <x:c r="V685" s="7" t="n">
        <x:v>440</x:v>
      </x:c>
    </x:row>
    <x:row r="686" ht="16" customHeight="1">
      <x:c r="A686" s="7" t="n">
        <x:v>683</x:v>
      </x:c>
      <x:c r="B686" s="8" t="n">
        <x:v>46146</x:v>
      </x:c>
      <x:c r="C686" s="7" t="str">
        <x:v>Breeze</x:v>
      </x:c>
      <x:c r="D686" s="7" t="str">
        <x:v>10th</x:v>
      </x:c>
      <x:c r="E686" s="7" t="str">
        <x:v>Neon</x:v>
      </x:c>
      <x:c r="F686" s="7" t="n">
        <x:v>8</x:v>
      </x:c>
      <x:c r="G686" s="7" t="n">
        <x:v>13</x:v>
      </x:c>
      <x:c r="H686" s="7" t="str">
        <x:f>IF(F686&gt;G686,"Win",IF(F686&lt;G686,"Loss","Draw"))</x:f>
        <x:v>Loss</x:v>
      </x:c>
      <x:c r="I686" s="7" t="n">
        <x:f>IF(H686="Win",1,0)</x:f>
        <x:v>0</x:v>
      </x:c>
      <x:c r="J686" s="7" t="n">
        <x:f>F686-G686</x:f>
        <x:v>-5</x:v>
      </x:c>
      <x:c r="K686" s="7" t="n">
        <x:f>F686+G686</x:f>
        <x:v>21</x:v>
      </x:c>
      <x:c r="L686" s="7" t="n">
        <x:v>9</x:v>
      </x:c>
      <x:c r="M686" s="7" t="n">
        <x:v>17</x:v>
      </x:c>
      <x:c r="N686" s="7" t="n">
        <x:v>0</x:v>
      </x:c>
      <x:c r="O686" s="9" t="n">
        <x:f>IF(M686=0,"n.a.",L686/M686)</x:f>
        <x:v>0.5294117647058824</x:v>
      </x:c>
      <x:c r="P686" s="9" t="n">
        <x:f>IF(K686=0,"n.a.",L686/K686)</x:f>
        <x:v>0.42857142857142855</x:v>
      </x:c>
      <x:c r="Q686" s="9" t="n">
        <x:f>IF(K686=0,"n.a.",M686/K686)</x:f>
        <x:v>0.8095238095238095</x:v>
      </x:c>
      <x:c r="R686" s="9" t="n">
        <x:f>IF(K686=0,"n.a.",N686/K686)</x:f>
        <x:v>0</x:v>
      </x:c>
      <x:c r="S686" s="7" t="n">
        <x:v>-69</x:v>
      </x:c>
      <x:c r="T686" s="10" t="n">
        <x:v>0.24</x:v>
      </x:c>
      <x:c r="U686" s="7" t="n">
        <x:v>112</x:v>
      </x:c>
      <x:c r="V686" s="7" t="n">
        <x:v>109</x:v>
      </x:c>
    </x:row>
    <x:row r="687" ht="16" customHeight="1">
      <x:c r="A687" s="7" t="n">
        <x:v>684</x:v>
      </x:c>
      <x:c r="B687" s="8" t="n">
        <x:v>46147</x:v>
      </x:c>
      <x:c r="C687" s="7" t="str">
        <x:v>Lotus</x:v>
      </x:c>
      <x:c r="D687" s="7" t="str">
        <x:v>8th</x:v>
      </x:c>
      <x:c r="E687" s="7" t="str">
        <x:v>Omen</x:v>
      </x:c>
      <x:c r="F687" s="7" t="n">
        <x:v>7</x:v>
      </x:c>
      <x:c r="G687" s="7" t="n">
        <x:v>13</x:v>
      </x:c>
      <x:c r="H687" s="7" t="str">
        <x:f>IF(F687&gt;G687,"Win",IF(F687&lt;G687,"Loss","Draw"))</x:f>
        <x:v>Loss</x:v>
      </x:c>
      <x:c r="I687" s="7" t="n">
        <x:f>IF(H687="Win",1,0)</x:f>
        <x:v>0</x:v>
      </x:c>
      <x:c r="J687" s="7" t="n">
        <x:f>F687-G687</x:f>
        <x:v>-6</x:v>
      </x:c>
      <x:c r="K687" s="7" t="n">
        <x:f>F687+G687</x:f>
        <x:v>20</x:v>
      </x:c>
      <x:c r="L687" s="7" t="n">
        <x:v>10</x:v>
      </x:c>
      <x:c r="M687" s="7" t="n">
        <x:v>20</x:v>
      </x:c>
      <x:c r="N687" s="7" t="n">
        <x:v>2</x:v>
      </x:c>
      <x:c r="O687" s="9" t="n">
        <x:f>IF(M687=0,"n.a.",L687/M687)</x:f>
        <x:v>0.5</x:v>
      </x:c>
      <x:c r="P687" s="9" t="n">
        <x:f>IF(K687=0,"n.a.",L687/K687)</x:f>
        <x:v>0.5</x:v>
      </x:c>
      <x:c r="Q687" s="9" t="n">
        <x:f>IF(K687=0,"n.a.",M687/K687)</x:f>
        <x:v>1</x:v>
      </x:c>
      <x:c r="R687" s="9" t="n">
        <x:f>IF(K687=0,"n.a.",N687/K687)</x:f>
        <x:v>0.1</x:v>
      </x:c>
      <x:c r="S687" s="7" t="n">
        <x:v>-83</x:v>
      </x:c>
      <x:c r="T687" s="10" t="n">
        <x:v>0.2</x:v>
      </x:c>
      <x:c r="U687" s="7" t="n">
        <x:v>148</x:v>
      </x:c>
      <x:c r="V687" s="7" t="n">
        <x:v>134</x:v>
      </x:c>
    </x:row>
    <x:row r="688" ht="16" customHeight="1">
      <x:c r="A688" s="7" t="n">
        <x:v>685</x:v>
      </x:c>
      <x:c r="B688" s="8" t="n">
        <x:v>46147</x:v>
      </x:c>
      <x:c r="C688" s="7" t="str">
        <x:v>Haven</x:v>
      </x:c>
      <x:c r="D688" s="7" t="str">
        <x:v>4th</x:v>
      </x:c>
      <x:c r="E688" s="7" t="str">
        <x:v>Neon</x:v>
      </x:c>
      <x:c r="F688" s="7" t="n">
        <x:v>5</x:v>
      </x:c>
      <x:c r="G688" s="7" t="n">
        <x:v>13</x:v>
      </x:c>
      <x:c r="H688" s="7" t="str">
        <x:f>IF(F688&gt;G688,"Win",IF(F688&lt;G688,"Loss","Draw"))</x:f>
        <x:v>Loss</x:v>
      </x:c>
      <x:c r="I688" s="7" t="n">
        <x:f>IF(H688="Win",1,0)</x:f>
        <x:v>0</x:v>
      </x:c>
      <x:c r="J688" s="7" t="n">
        <x:f>F688-G688</x:f>
        <x:v>-8</x:v>
      </x:c>
      <x:c r="K688" s="7" t="n">
        <x:f>F688+G688</x:f>
        <x:v>18</x:v>
      </x:c>
      <x:c r="L688" s="7" t="n">
        <x:v>17</x:v>
      </x:c>
      <x:c r="M688" s="7" t="n">
        <x:v>16</x:v>
      </x:c>
      <x:c r="N688" s="7" t="n">
        <x:v>0</x:v>
      </x:c>
      <x:c r="O688" s="9" t="n">
        <x:f>IF(M688=0,"n.a.",L688/M688)</x:f>
        <x:v>1.0625</x:v>
      </x:c>
      <x:c r="P688" s="9" t="n">
        <x:f>IF(K688=0,"n.a.",L688/K688)</x:f>
        <x:v>0.9444444444444444</x:v>
      </x:c>
      <x:c r="Q688" s="9" t="n">
        <x:f>IF(K688=0,"n.a.",M688/K688)</x:f>
        <x:v>0.8888888888888888</x:v>
      </x:c>
      <x:c r="R688" s="9" t="n">
        <x:f>IF(K688=0,"n.a.",N688/K688)</x:f>
        <x:v>0</x:v>
      </x:c>
      <x:c r="S688" s="7" t="n">
        <x:v>-5</x:v>
      </x:c>
      <x:c r="T688" s="10" t="n">
        <x:v>0.32</x:v>
      </x:c>
      <x:c r="U688" s="7" t="n">
        <x:v>246</x:v>
      </x:c>
      <x:c r="V688" s="7" t="n">
        <x:v>439</x:v>
      </x:c>
    </x:row>
    <x:row r="689" ht="16" customHeight="1">
      <x:c r="A689" s="7" t="n">
        <x:v>686</x:v>
      </x:c>
      <x:c r="B689" s="8" t="n">
        <x:v>46147</x:v>
      </x:c>
      <x:c r="C689" s="7" t="str">
        <x:v>Haven</x:v>
      </x:c>
      <x:c r="D689" s="7" t="str">
        <x:v>6th</x:v>
      </x:c>
      <x:c r="E689" s="7" t="str">
        <x:v>Neon</x:v>
      </x:c>
      <x:c r="F689" s="7" t="n">
        <x:v>2</x:v>
      </x:c>
      <x:c r="G689" s="7" t="n">
        <x:v>13</x:v>
      </x:c>
      <x:c r="H689" s="7" t="str">
        <x:f>IF(F689&gt;G689,"Win",IF(F689&lt;G689,"Loss","Draw"))</x:f>
        <x:v>Loss</x:v>
      </x:c>
      <x:c r="I689" s="7" t="n">
        <x:f>IF(H689="Win",1,0)</x:f>
        <x:v>0</x:v>
      </x:c>
      <x:c r="J689" s="7" t="n">
        <x:f>F689-G689</x:f>
        <x:v>-11</x:v>
      </x:c>
      <x:c r="K689" s="7" t="n">
        <x:f>F689+G689</x:f>
        <x:v>15</x:v>
      </x:c>
      <x:c r="L689" s="7" t="n">
        <x:v>9</x:v>
      </x:c>
      <x:c r="M689" s="7" t="n">
        <x:v>14</x:v>
      </x:c>
      <x:c r="N689" s="7" t="n">
        <x:v>0</x:v>
      </x:c>
      <x:c r="O689" s="9" t="n">
        <x:f>IF(M689=0,"n.a.",L689/M689)</x:f>
        <x:v>0.6428571428571429</x:v>
      </x:c>
      <x:c r="P689" s="9" t="n">
        <x:f>IF(K689=0,"n.a.",L689/K689)</x:f>
        <x:v>0.6</x:v>
      </x:c>
      <x:c r="Q689" s="9" t="n">
        <x:f>IF(K689=0,"n.a.",M689/K689)</x:f>
        <x:v>0.9333333333333333</x:v>
      </x:c>
      <x:c r="R689" s="9" t="n">
        <x:f>IF(K689=0,"n.a.",N689/K689)</x:f>
        <x:v>0</x:v>
      </x:c>
      <x:c r="S689" s="7" t="n">
        <x:v>-53</x:v>
      </x:c>
      <x:c r="T689" s="10" t="n">
        <x:v>0.16</x:v>
      </x:c>
      <x:c r="U689" s="7" t="n">
        <x:v>193</x:v>
      </x:c>
      <x:c r="V689" s="7" t="n">
        <x:v>185</x:v>
      </x:c>
    </x:row>
    <x:row r="690" ht="16" customHeight="1">
      <x:c r="A690" s="7" t="n">
        <x:v>687</x:v>
      </x:c>
      <x:c r="B690" s="8" t="n">
        <x:v>46147</x:v>
      </x:c>
      <x:c r="C690" s="7" t="str">
        <x:v>Ascent</x:v>
      </x:c>
      <x:c r="D690" s="7" t="str">
        <x:v>5th</x:v>
      </x:c>
      <x:c r="E690" s="7" t="str">
        <x:v>Neon</x:v>
      </x:c>
      <x:c r="F690" s="7" t="n">
        <x:v>14</x:v>
      </x:c>
      <x:c r="G690" s="7" t="n">
        <x:v>12</x:v>
      </x:c>
      <x:c r="H690" s="7" t="str">
        <x:f>IF(F690&gt;G690,"Win",IF(F690&lt;G690,"Loss","Draw"))</x:f>
        <x:v>Win</x:v>
      </x:c>
      <x:c r="I690" s="7" t="n">
        <x:f>IF(H690="Win",1,0)</x:f>
        <x:v>1</x:v>
      </x:c>
      <x:c r="J690" s="7" t="n">
        <x:f>F690-G690</x:f>
        <x:v>2</x:v>
      </x:c>
      <x:c r="K690" s="7" t="n">
        <x:f>F690+G690</x:f>
        <x:v>26</x:v>
      </x:c>
      <x:c r="L690" s="7" t="n">
        <x:v>19</x:v>
      </x:c>
      <x:c r="M690" s="7" t="n">
        <x:v>21</x:v>
      </x:c>
      <x:c r="N690" s="7" t="n">
        <x:v>1</x:v>
      </x:c>
      <x:c r="O690" s="9" t="n">
        <x:f>IF(M690=0,"n.a.",L690/M690)</x:f>
        <x:v>0.9047619047619048</x:v>
      </x:c>
      <x:c r="P690" s="9" t="n">
        <x:f>IF(K690=0,"n.a.",L690/K690)</x:f>
        <x:v>0.7307692307692307</x:v>
      </x:c>
      <x:c r="Q690" s="9" t="n">
        <x:f>IF(K690=0,"n.a.",M690/K690)</x:f>
        <x:v>0.8076923076923077</x:v>
      </x:c>
      <x:c r="R690" s="9" t="n">
        <x:f>IF(K690=0,"n.a.",N690/K690)</x:f>
        <x:v>0.038461538461538464</x:v>
      </x:c>
      <x:c r="S690" s="7" t="n">
        <x:v>-23</x:v>
      </x:c>
      <x:c r="T690" s="10" t="n">
        <x:v>0.17</x:v>
      </x:c>
      <x:c r="U690" s="7" t="n">
        <x:v>214</x:v>
      </x:c>
      <x:c r="V690" s="7" t="n">
        <x:v>520</x:v>
      </x:c>
    </x:row>
    <x:row r="691" ht="16" customHeight="1">
      <x:c r="A691" s="7" t="n">
        <x:v>688</x:v>
      </x:c>
      <x:c r="B691" s="8" t="n">
        <x:v>46147</x:v>
      </x:c>
      <x:c r="C691" s="7" t="str">
        <x:v>Lotus</x:v>
      </x:c>
      <x:c r="D691" s="7" t="str">
        <x:v>5th</x:v>
      </x:c>
      <x:c r="E691" s="7" t="str">
        <x:v>Neon</x:v>
      </x:c>
      <x:c r="F691" s="7" t="n">
        <x:v>13</x:v>
      </x:c>
      <x:c r="G691" s="7" t="n">
        <x:v>8</x:v>
      </x:c>
      <x:c r="H691" s="7" t="str">
        <x:f>IF(F691&gt;G691,"Win",IF(F691&lt;G691,"Loss","Draw"))</x:f>
        <x:v>Win</x:v>
      </x:c>
      <x:c r="I691" s="7" t="n">
        <x:f>IF(H691="Win",1,0)</x:f>
        <x:v>1</x:v>
      </x:c>
      <x:c r="J691" s="7" t="n">
        <x:f>F691-G691</x:f>
        <x:v>5</x:v>
      </x:c>
      <x:c r="K691" s="7" t="n">
        <x:f>F691+G691</x:f>
        <x:v>21</x:v>
      </x:c>
      <x:c r="L691" s="7" t="n">
        <x:v>16</x:v>
      </x:c>
      <x:c r="M691" s="7" t="n">
        <x:v>19</x:v>
      </x:c>
      <x:c r="N691" s="7" t="n">
        <x:v>1</x:v>
      </x:c>
      <x:c r="O691" s="9" t="n">
        <x:f>IF(M691=0,"n.a.",L691/M691)</x:f>
        <x:v>0.8421052631578947</x:v>
      </x:c>
      <x:c r="P691" s="9" t="n">
        <x:f>IF(K691=0,"n.a.",L691/K691)</x:f>
        <x:v>0.7619047619047619</x:v>
      </x:c>
      <x:c r="Q691" s="9" t="n">
        <x:f>IF(K691=0,"n.a.",M691/K691)</x:f>
        <x:v>0.9047619047619048</x:v>
      </x:c>
      <x:c r="R691" s="9" t="n">
        <x:f>IF(K691=0,"n.a.",N691/K691)</x:f>
        <x:v>0.047619047619047616</x:v>
      </x:c>
      <x:c r="S691" s="7" t="n">
        <x:v>-13</x:v>
      </x:c>
      <x:c r="T691" s="10" t="n">
        <x:v>0.28</x:v>
      </x:c>
      <x:c r="U691" s="7" t="n">
        <x:v>225</x:v>
      </x:c>
      <x:c r="V691" s="7" t="n">
        <x:v>605</x:v>
      </x:c>
    </x:row>
    <x:row r="692" ht="16" customHeight="1">
      <x:c r="A692" s="7" t="n">
        <x:v>689</x:v>
      </x:c>
      <x:c r="B692" s="8" t="n">
        <x:v>46147</x:v>
      </x:c>
      <x:c r="C692" s="7" t="str">
        <x:v>Split</x:v>
      </x:c>
      <x:c r="D692" s="7" t="str">
        <x:v>MVP</x:v>
      </x:c>
      <x:c r="E692" s="7" t="str">
        <x:v>Neon</x:v>
      </x:c>
      <x:c r="F692" s="7" t="n">
        <x:v>8</x:v>
      </x:c>
      <x:c r="G692" s="7" t="n">
        <x:v>13</x:v>
      </x:c>
      <x:c r="H692" s="7" t="str">
        <x:f>IF(F692&gt;G692,"Win",IF(F692&lt;G692,"Loss","Draw"))</x:f>
        <x:v>Loss</x:v>
      </x:c>
      <x:c r="I692" s="7" t="n">
        <x:f>IF(H692="Win",1,0)</x:f>
        <x:v>0</x:v>
      </x:c>
      <x:c r="J692" s="7" t="n">
        <x:f>F692-G692</x:f>
        <x:v>-5</x:v>
      </x:c>
      <x:c r="K692" s="7" t="n">
        <x:f>F692+G692</x:f>
        <x:v>21</x:v>
      </x:c>
      <x:c r="L692" s="7" t="n">
        <x:v>22</x:v>
      </x:c>
      <x:c r="M692" s="7" t="n">
        <x:v>15</x:v>
      </x:c>
      <x:c r="N692" s="7" t="n">
        <x:v>3</x:v>
      </x:c>
      <x:c r="O692" s="9" t="n">
        <x:f>IF(M692=0,"n.a.",L692/M692)</x:f>
        <x:v>1.4666666666666666</x:v>
      </x:c>
      <x:c r="P692" s="9" t="n">
        <x:f>IF(K692=0,"n.a.",L692/K692)</x:f>
        <x:v>1.0476190476190477</x:v>
      </x:c>
      <x:c r="Q692" s="9" t="n">
        <x:f>IF(K692=0,"n.a.",M692/K692)</x:f>
        <x:v>0.7142857142857143</x:v>
      </x:c>
      <x:c r="R692" s="9" t="n">
        <x:f>IF(K692=0,"n.a.",N692/K692)</x:f>
        <x:v>0.14285714285714285</x:v>
      </x:c>
      <x:c r="S692" s="7" t="n">
        <x:v>35</x:v>
      </x:c>
      <x:c r="T692" s="10" t="n">
        <x:v>0.33</x:v>
      </x:c>
      <x:c r="U692" s="7" t="n">
        <x:v>310</x:v>
      </x:c>
      <x:c r="V692" s="7" t="n">
        <x:v>605</x:v>
      </x:c>
    </x:row>
    <x:row r="693" ht="16" customHeight="1">
      <x:c r="A693" s="7" t="n">
        <x:v>690</x:v>
      </x:c>
      <x:c r="B693" s="8" t="n">
        <x:v>46147</x:v>
      </x:c>
      <x:c r="C693" s="7" t="str">
        <x:v>Ascent</x:v>
      </x:c>
      <x:c r="D693" s="7" t="str">
        <x:v>8th</x:v>
      </x:c>
      <x:c r="E693" s="7" t="str">
        <x:v>Neon</x:v>
      </x:c>
      <x:c r="F693" s="7" t="n">
        <x:v>14</x:v>
      </x:c>
      <x:c r="G693" s="7" t="n">
        <x:v>12</x:v>
      </x:c>
      <x:c r="H693" s="7" t="str">
        <x:f>IF(F693&gt;G693,"Win",IF(F693&lt;G693,"Loss","Draw"))</x:f>
        <x:v>Win</x:v>
      </x:c>
      <x:c r="I693" s="7" t="n">
        <x:f>IF(H693="Win",1,0)</x:f>
        <x:v>1</x:v>
      </x:c>
      <x:c r="J693" s="7" t="n">
        <x:f>F693-G693</x:f>
        <x:v>2</x:v>
      </x:c>
      <x:c r="K693" s="7" t="n">
        <x:f>F693+G693</x:f>
        <x:v>26</x:v>
      </x:c>
      <x:c r="L693" s="7" t="n">
        <x:v>15</x:v>
      </x:c>
      <x:c r="M693" s="7" t="n">
        <x:v>22</x:v>
      </x:c>
      <x:c r="N693" s="7" t="n">
        <x:v>7</x:v>
      </x:c>
      <x:c r="O693" s="9" t="n">
        <x:f>IF(M693=0,"n.a.",L693/M693)</x:f>
        <x:v>0.6818181818181818</x:v>
      </x:c>
      <x:c r="P693" s="9" t="n">
        <x:f>IF(K693=0,"n.a.",L693/K693)</x:f>
        <x:v>0.5769230769230769</x:v>
      </x:c>
      <x:c r="Q693" s="9" t="n">
        <x:f>IF(K693=0,"n.a.",M693/K693)</x:f>
        <x:v>0.8461538461538461</x:v>
      </x:c>
      <x:c r="R693" s="9" t="n">
        <x:f>IF(K693=0,"n.a.",N693/K693)</x:f>
        <x:v>0.2692307692307692</x:v>
      </x:c>
      <x:c r="S693" s="7" t="n">
        <x:v>-23</x:v>
      </x:c>
      <x:c r="T693" s="10" t="n">
        <x:v>0.14</x:v>
      </x:c>
      <x:c r="U693" s="7" t="n">
        <x:v>173</x:v>
      </x:c>
      <x:c r="V693" s="7" t="n">
        <x:v>482</x:v>
      </x:c>
    </x:row>
    <x:row r="694" ht="16" customHeight="1">
      <x:c r="A694" s="7" t="n">
        <x:v>691</x:v>
      </x:c>
      <x:c r="B694" s="8" t="n">
        <x:v>46148</x:v>
      </x:c>
      <x:c r="C694" s="7" t="str">
        <x:v>Haven</x:v>
      </x:c>
      <x:c r="D694" s="7" t="str">
        <x:v>9th</x:v>
      </x:c>
      <x:c r="E694" s="7" t="str">
        <x:v>Neon</x:v>
      </x:c>
      <x:c r="F694" s="7" t="n">
        <x:v>13</x:v>
      </x:c>
      <x:c r="G694" s="7" t="n">
        <x:v>10</x:v>
      </x:c>
      <x:c r="H694" s="7" t="str">
        <x:f>IF(F694&gt;G694,"Win",IF(F694&lt;G694,"Loss","Draw"))</x:f>
        <x:v>Win</x:v>
      </x:c>
      <x:c r="I694" s="7" t="n">
        <x:f>IF(H694="Win",1,0)</x:f>
        <x:v>1</x:v>
      </x:c>
      <x:c r="J694" s="7" t="n">
        <x:f>F694-G694</x:f>
        <x:v>3</x:v>
      </x:c>
      <x:c r="K694" s="7" t="n">
        <x:f>F694+G694</x:f>
        <x:v>23</x:v>
      </x:c>
      <x:c r="L694" s="7" t="n">
        <x:v>14</x:v>
      </x:c>
      <x:c r="M694" s="7" t="n">
        <x:v>18</x:v>
      </x:c>
      <x:c r="N694" s="7" t="n">
        <x:v>0</x:v>
      </x:c>
      <x:c r="O694" s="9" t="n">
        <x:f>IF(M694=0,"n.a.",L694/M694)</x:f>
        <x:v>0.7777777777777778</x:v>
      </x:c>
      <x:c r="P694" s="9" t="n">
        <x:f>IF(K694=0,"n.a.",L694/K694)</x:f>
        <x:v>0.6086956521739131</x:v>
      </x:c>
      <x:c r="Q694" s="9" t="n">
        <x:f>IF(K694=0,"n.a.",M694/K694)</x:f>
        <x:v>0.782608695652174</x:v>
      </x:c>
      <x:c r="R694" s="9" t="n">
        <x:f>IF(K694=0,"n.a.",N694/K694)</x:f>
        <x:v>0</x:v>
      </x:c>
      <x:c r="S694" s="7" t="n">
        <x:v>-49</x:v>
      </x:c>
      <x:c r="T694" s="10" t="n">
        <x:v>0.43</x:v>
      </x:c>
      <x:c r="U694" s="7" t="n">
        <x:v>152</x:v>
      </x:c>
      <x:c r="V694" s="7" t="n">
        <x:v>388</x:v>
      </x:c>
    </x:row>
    <x:row r="695" ht="16" customHeight="1">
      <x:c r="A695" s="7" t="n">
        <x:v>692</x:v>
      </x:c>
      <x:c r="B695" s="8" t="n">
        <x:v>46148</x:v>
      </x:c>
      <x:c r="C695" s="7" t="str">
        <x:v>Split</x:v>
      </x:c>
      <x:c r="D695" s="7" t="str">
        <x:v>9th</x:v>
      </x:c>
      <x:c r="E695" s="7" t="str">
        <x:v>Neon</x:v>
      </x:c>
      <x:c r="F695" s="7" t="n">
        <x:v>13</x:v>
      </x:c>
      <x:c r="G695" s="7" t="n">
        <x:v>10</x:v>
      </x:c>
      <x:c r="H695" s="7" t="str">
        <x:f>IF(F695&gt;G695,"Win",IF(F695&lt;G695,"Loss","Draw"))</x:f>
        <x:v>Win</x:v>
      </x:c>
      <x:c r="I695" s="7" t="n">
        <x:f>IF(H695="Win",1,0)</x:f>
        <x:v>1</x:v>
      </x:c>
      <x:c r="J695" s="7" t="n">
        <x:f>F695-G695</x:f>
        <x:v>3</x:v>
      </x:c>
      <x:c r="K695" s="7" t="n">
        <x:f>F695+G695</x:f>
        <x:v>23</x:v>
      </x:c>
      <x:c r="L695" s="7" t="n">
        <x:v>12</x:v>
      </x:c>
      <x:c r="M695" s="7" t="n">
        <x:v>18</x:v>
      </x:c>
      <x:c r="N695" s="7" t="n">
        <x:v>7</x:v>
      </x:c>
      <x:c r="O695" s="9" t="n">
        <x:f>IF(M695=0,"n.a.",L695/M695)</x:f>
        <x:v>0.6666666666666666</x:v>
      </x:c>
      <x:c r="P695" s="9" t="n">
        <x:f>IF(K695=0,"n.a.",L695/K695)</x:f>
        <x:v>0.5217391304347826</x:v>
      </x:c>
      <x:c r="Q695" s="9" t="n">
        <x:f>IF(K695=0,"n.a.",M695/K695)</x:f>
        <x:v>0.782608695652174</x:v>
      </x:c>
      <x:c r="R695" s="9" t="n">
        <x:f>IF(K695=0,"n.a.",N695/K695)</x:f>
        <x:v>0.30434782608695654</x:v>
      </x:c>
      <x:c r="S695" s="7" t="n">
        <x:v>-39</x:v>
      </x:c>
      <x:c r="T695" s="10" t="n">
        <x:v>0.19</x:v>
      </x:c>
      <x:c r="U695" s="7" t="n">
        <x:v>168</x:v>
      </x:c>
      <x:c r="V695" s="7" t="n">
        <x:v>385</x:v>
      </x:c>
    </x:row>
    <x:row r="696" ht="16" customHeight="1">
      <x:c r="A696" s="7" t="n">
        <x:v>693</x:v>
      </x:c>
      <x:c r="B696" s="8" t="n">
        <x:v>46148</x:v>
      </x:c>
      <x:c r="C696" s="7" t="str">
        <x:v>Haven</x:v>
      </x:c>
      <x:c r="D696" s="7" t="str">
        <x:v>8th</x:v>
      </x:c>
      <x:c r="E696" s="7" t="str">
        <x:v>Neon</x:v>
      </x:c>
      <x:c r="F696" s="7" t="n">
        <x:v>8</x:v>
      </x:c>
      <x:c r="G696" s="7" t="n">
        <x:v>13</x:v>
      </x:c>
      <x:c r="H696" s="7" t="str">
        <x:f>IF(F696&gt;G696,"Win",IF(F696&lt;G696,"Loss","Draw"))</x:f>
        <x:v>Loss</x:v>
      </x:c>
      <x:c r="I696" s="7" t="n">
        <x:f>IF(H696="Win",1,0)</x:f>
        <x:v>0</x:v>
      </x:c>
      <x:c r="J696" s="7" t="n">
        <x:f>F696-G696</x:f>
        <x:v>-5</x:v>
      </x:c>
      <x:c r="K696" s="7" t="n">
        <x:f>F696+G696</x:f>
        <x:v>21</x:v>
      </x:c>
      <x:c r="L696" s="7" t="n">
        <x:v>14</x:v>
      </x:c>
      <x:c r="M696" s="7" t="n">
        <x:v>20</x:v>
      </x:c>
      <x:c r="N696" s="7" t="n">
        <x:v>3</x:v>
      </x:c>
      <x:c r="O696" s="9" t="n">
        <x:f>IF(M696=0,"n.a.",L696/M696)</x:f>
        <x:v>0.7</x:v>
      </x:c>
      <x:c r="P696" s="9" t="n">
        <x:f>IF(K696=0,"n.a.",L696/K696)</x:f>
        <x:v>0.6666666666666666</x:v>
      </x:c>
      <x:c r="Q696" s="9" t="n">
        <x:f>IF(K696=0,"n.a.",M696/K696)</x:f>
        <x:v>0.9523809523809523</x:v>
      </x:c>
      <x:c r="R696" s="9" t="n">
        <x:f>IF(K696=0,"n.a.",N696/K696)</x:f>
        <x:v>0.14285714285714285</x:v>
      </x:c>
      <x:c r="S696" s="7" t="n">
        <x:v>-43</x:v>
      </x:c>
      <x:c r="T696" s="10" t="n">
        <x:v>0.09</x:v>
      </x:c>
      <x:c r="U696" s="7" t="n">
        <x:v>194</x:v>
      </x:c>
      <x:c r="V696" s="7" t="n">
        <x:v>284</x:v>
      </x:c>
    </x:row>
    <x:row r="697" ht="16" customHeight="1">
      <x:c r="A697" s="7" t="n">
        <x:v>694</x:v>
      </x:c>
      <x:c r="B697" s="8" t="n">
        <x:v>46148</x:v>
      </x:c>
      <x:c r="C697" s="7" t="str">
        <x:v>Pearl</x:v>
      </x:c>
      <x:c r="D697" s="7" t="str">
        <x:v>2nd</x:v>
      </x:c>
      <x:c r="E697" s="7" t="str">
        <x:v>Neon</x:v>
      </x:c>
      <x:c r="F697" s="7" t="n">
        <x:v>6</x:v>
      </x:c>
      <x:c r="G697" s="7" t="n">
        <x:v>13</x:v>
      </x:c>
      <x:c r="H697" s="7" t="str">
        <x:f>IF(F697&gt;G697,"Win",IF(F697&lt;G697,"Loss","Draw"))</x:f>
        <x:v>Loss</x:v>
      </x:c>
      <x:c r="I697" s="7" t="n">
        <x:f>IF(H697="Win",1,0)</x:f>
        <x:v>0</x:v>
      </x:c>
      <x:c r="J697" s="7" t="n">
        <x:f>F697-G697</x:f>
        <x:v>-7</x:v>
      </x:c>
      <x:c r="K697" s="7" t="n">
        <x:f>F697+G697</x:f>
        <x:v>19</x:v>
      </x:c>
      <x:c r="L697" s="7" t="n">
        <x:v>16</x:v>
      </x:c>
      <x:c r="M697" s="7" t="n">
        <x:v>16</x:v>
      </x:c>
      <x:c r="N697" s="7" t="n">
        <x:v>3</x:v>
      </x:c>
      <x:c r="O697" s="9" t="n">
        <x:f>IF(M697=0,"n.a.",L697/M697)</x:f>
        <x:v>1</x:v>
      </x:c>
      <x:c r="P697" s="9" t="n">
        <x:f>IF(K697=0,"n.a.",L697/K697)</x:f>
        <x:v>0.8421052631578947</x:v>
      </x:c>
      <x:c r="Q697" s="9" t="n">
        <x:f>IF(K697=0,"n.a.",M697/K697)</x:f>
        <x:v>0.8421052631578947</x:v>
      </x:c>
      <x:c r="R697" s="9" t="n">
        <x:f>IF(K697=0,"n.a.",N697/K697)</x:f>
        <x:v>0.15789473684210525</x:v>
      </x:c>
      <x:c r="S697" s="7" t="n">
        <x:v>-23</x:v>
      </x:c>
      <x:c r="T697" s="10" t="n">
        <x:v>0.29</x:v>
      </x:c>
      <x:c r="U697" s="7" t="n">
        <x:v>240</x:v>
      </x:c>
      <x:c r="V697" s="7" t="n">
        <x:v>390</x:v>
      </x:c>
    </x:row>
    <x:row r="698" ht="16" customHeight="1">
      <x:c r="A698" s="7" t="n">
        <x:v>695</x:v>
      </x:c>
      <x:c r="B698" s="8" t="n">
        <x:v>46148</x:v>
      </x:c>
      <x:c r="C698" s="7" t="str">
        <x:v>Lotus</x:v>
      </x:c>
      <x:c r="D698" s="7" t="str">
        <x:v>3rd</x:v>
      </x:c>
      <x:c r="E698" s="7" t="str">
        <x:v>Neon</x:v>
      </x:c>
      <x:c r="F698" s="7" t="n">
        <x:v>13</x:v>
      </x:c>
      <x:c r="G698" s="7" t="n">
        <x:v>6</x:v>
      </x:c>
      <x:c r="H698" s="7" t="str">
        <x:f>IF(F698&gt;G698,"Win",IF(F698&lt;G698,"Loss","Draw"))</x:f>
        <x:v>Win</x:v>
      </x:c>
      <x:c r="I698" s="7" t="n">
        <x:f>IF(H698="Win",1,0)</x:f>
        <x:v>1</x:v>
      </x:c>
      <x:c r="J698" s="7" t="n">
        <x:f>F698-G698</x:f>
        <x:v>7</x:v>
      </x:c>
      <x:c r="K698" s="7" t="n">
        <x:f>F698+G698</x:f>
        <x:v>19</x:v>
      </x:c>
      <x:c r="L698" s="7" t="n">
        <x:v>18</x:v>
      </x:c>
      <x:c r="M698" s="7" t="n">
        <x:v>14</x:v>
      </x:c>
      <x:c r="N698" s="7" t="n">
        <x:v>1</x:v>
      </x:c>
      <x:c r="O698" s="9" t="n">
        <x:f>IF(M698=0,"n.a.",L698/M698)</x:f>
        <x:v>1.2857142857142858</x:v>
      </x:c>
      <x:c r="P698" s="9" t="n">
        <x:f>IF(K698=0,"n.a.",L698/K698)</x:f>
        <x:v>0.9473684210526315</x:v>
      </x:c>
      <x:c r="Q698" s="9" t="n">
        <x:f>IF(K698=0,"n.a.",M698/K698)</x:f>
        <x:v>0.7368421052631579</x:v>
      </x:c>
      <x:c r="R698" s="9" t="n">
        <x:f>IF(K698=0,"n.a.",N698/K698)</x:f>
        <x:v>0.05263157894736842</x:v>
      </x:c>
      <x:c r="S698" s="7" t="n">
        <x:v>15</x:v>
      </x:c>
      <x:c r="T698" s="10" t="n">
        <x:v>0.33</x:v>
      </x:c>
      <x:c r="U698" s="7" t="n">
        <x:v>258</x:v>
      </x:c>
      <x:c r="V698" s="7" t="n">
        <x:v>603</x:v>
      </x:c>
    </x:row>
    <x:row r="699" ht="16" customHeight="1">
      <x:c r="A699" s="7" t="n">
        <x:v>696</x:v>
      </x:c>
      <x:c r="B699" s="8" t="n">
        <x:v>46151</x:v>
      </x:c>
      <x:c r="C699" s="7" t="str">
        <x:v>Lotus</x:v>
      </x:c>
      <x:c r="D699" s="7" t="str">
        <x:v>6th</x:v>
      </x:c>
      <x:c r="E699" s="7" t="str">
        <x:v>Reyna</x:v>
      </x:c>
      <x:c r="F699" s="7" t="n">
        <x:v>2</x:v>
      </x:c>
      <x:c r="G699" s="7" t="n">
        <x:v>13</x:v>
      </x:c>
      <x:c r="H699" s="7" t="str">
        <x:f>IF(F699&gt;G699,"Win",IF(F699&lt;G699,"Loss","Draw"))</x:f>
        <x:v>Loss</x:v>
      </x:c>
      <x:c r="I699" s="7" t="n">
        <x:f>IF(H699="Win",1,0)</x:f>
        <x:v>0</x:v>
      </x:c>
      <x:c r="J699" s="7" t="n">
        <x:f>F699-G699</x:f>
        <x:v>-11</x:v>
      </x:c>
      <x:c r="K699" s="7" t="n">
        <x:f>F699+G699</x:f>
        <x:v>15</x:v>
      </x:c>
      <x:c r="L699" s="7" t="n">
        <x:v>9</x:v>
      </x:c>
      <x:c r="M699" s="7" t="n">
        <x:v>15</x:v>
      </x:c>
      <x:c r="N699" s="7" t="n">
        <x:v>0</x:v>
      </x:c>
      <x:c r="O699" s="9" t="n">
        <x:f>IF(M699=0,"n.a.",L699/M699)</x:f>
        <x:v>0.6</x:v>
      </x:c>
      <x:c r="P699" s="9" t="n">
        <x:f>IF(K699=0,"n.a.",L699/K699)</x:f>
        <x:v>0.6</x:v>
      </x:c>
      <x:c r="Q699" s="9" t="n">
        <x:f>IF(K699=0,"n.a.",M699/K699)</x:f>
        <x:v>1</x:v>
      </x:c>
      <x:c r="R699" s="9" t="n">
        <x:f>IF(K699=0,"n.a.",N699/K699)</x:f>
        <x:v>0</x:v>
      </x:c>
      <x:c r="S699" s="7" t="n">
        <x:v>-48</x:v>
      </x:c>
      <x:c r="T699" s="10" t="n">
        <x:v>0.29</x:v>
      </x:c>
      <x:c r="U699" s="7" t="n">
        <x:v>186</x:v>
      </x:c>
      <x:c r="V699" s="7" t="n">
        <x:v>200</x:v>
      </x:c>
    </x:row>
    <x:row r="700" ht="16" customHeight="1">
      <x:c r="A700" s="7" t="n">
        <x:v>697</x:v>
      </x:c>
      <x:c r="B700" s="8" t="n">
        <x:v>46151</x:v>
      </x:c>
      <x:c r="C700" s="7" t="str">
        <x:v>Breeze</x:v>
      </x:c>
      <x:c r="D700" s="7" t="str">
        <x:v>6th</x:v>
      </x:c>
      <x:c r="E700" s="7" t="str">
        <x:v>Phoenix</x:v>
      </x:c>
      <x:c r="F700" s="7" t="n">
        <x:v>8</x:v>
      </x:c>
      <x:c r="G700" s="7" t="n">
        <x:v>13</x:v>
      </x:c>
      <x:c r="H700" s="7" t="str">
        <x:f>IF(F700&gt;G700,"Win",IF(F700&lt;G700,"Loss","Draw"))</x:f>
        <x:v>Loss</x:v>
      </x:c>
      <x:c r="I700" s="7" t="n">
        <x:f>IF(H700="Win",1,0)</x:f>
        <x:v>0</x:v>
      </x:c>
      <x:c r="J700" s="7" t="n">
        <x:f>F700-G700</x:f>
        <x:v>-5</x:v>
      </x:c>
      <x:c r="K700" s="7" t="n">
        <x:f>F700+G700</x:f>
        <x:v>21</x:v>
      </x:c>
      <x:c r="L700" s="7" t="n">
        <x:v>14</x:v>
      </x:c>
      <x:c r="M700" s="7" t="n">
        <x:v>15</x:v>
      </x:c>
      <x:c r="N700" s="7" t="n">
        <x:v>7</x:v>
      </x:c>
      <x:c r="O700" s="9" t="n">
        <x:f>IF(M700=0,"n.a.",L700/M700)</x:f>
        <x:v>0.9333333333333333</x:v>
      </x:c>
      <x:c r="P700" s="9" t="n">
        <x:f>IF(K700=0,"n.a.",L700/K700)</x:f>
        <x:v>0.6666666666666666</x:v>
      </x:c>
      <x:c r="Q700" s="9" t="n">
        <x:f>IF(K700=0,"n.a.",M700/K700)</x:f>
        <x:v>0.7142857142857143</x:v>
      </x:c>
      <x:c r="R700" s="9" t="n">
        <x:f>IF(K700=0,"n.a.",N700/K700)</x:f>
        <x:v>0.3333333333333333</x:v>
      </x:c>
      <x:c r="S700" s="7" t="n">
        <x:v>-45</x:v>
      </x:c>
      <x:c r="T700" s="10" t="n">
        <x:v>0.23</x:v>
      </x:c>
      <x:c r="U700" s="7" t="n">
        <x:v>196</x:v>
      </x:c>
      <x:c r="V700" s="7" t="n">
        <x:v>318</x:v>
      </x:c>
    </x:row>
    <x:row r="701" ht="16" customHeight="1">
      <x:c r="A701" s="7" t="n">
        <x:v>698</x:v>
      </x:c>
      <x:c r="B701" s="8" t="n">
        <x:v>46151</x:v>
      </x:c>
      <x:c r="C701" s="7" t="str">
        <x:v>Split</x:v>
      </x:c>
      <x:c r="D701" s="7" t="str">
        <x:v>5th</x:v>
      </x:c>
      <x:c r="E701" s="7" t="str">
        <x:v>Jett</x:v>
      </x:c>
      <x:c r="F701" s="7" t="n">
        <x:v>2</x:v>
      </x:c>
      <x:c r="G701" s="7" t="n">
        <x:v>13</x:v>
      </x:c>
      <x:c r="H701" s="7" t="str">
        <x:f>IF(F701&gt;G701,"Win",IF(F701&lt;G701,"Loss","Draw"))</x:f>
        <x:v>Loss</x:v>
      </x:c>
      <x:c r="I701" s="7" t="n">
        <x:f>IF(H701="Win",1,0)</x:f>
        <x:v>0</x:v>
      </x:c>
      <x:c r="J701" s="7" t="n">
        <x:f>F701-G701</x:f>
        <x:v>-11</x:v>
      </x:c>
      <x:c r="K701" s="7" t="n">
        <x:f>F701+G701</x:f>
        <x:v>15</x:v>
      </x:c>
      <x:c r="L701" s="7" t="n">
        <x:v>8</x:v>
      </x:c>
      <x:c r="M701" s="7" t="n">
        <x:v>14</x:v>
      </x:c>
      <x:c r="N701" s="7" t="n">
        <x:v>2</x:v>
      </x:c>
      <x:c r="O701" s="9" t="n">
        <x:f>IF(M701=0,"n.a.",L701/M701)</x:f>
        <x:v>0.5714285714285714</x:v>
      </x:c>
      <x:c r="P701" s="9" t="n">
        <x:f>IF(K701=0,"n.a.",L701/K701)</x:f>
        <x:v>0.5333333333333333</x:v>
      </x:c>
      <x:c r="Q701" s="9" t="n">
        <x:f>IF(K701=0,"n.a.",M701/K701)</x:f>
        <x:v>0.9333333333333333</x:v>
      </x:c>
      <x:c r="R701" s="9" t="n">
        <x:f>IF(K701=0,"n.a.",N701/K701)</x:f>
        <x:v>0.13333333333333333</x:v>
      </x:c>
      <x:c r="S701" s="7" t="n">
        <x:v>-84</x:v>
      </x:c>
      <x:c r="T701" s="10" t="n">
        <x:v>0.25</x:v>
      </x:c>
      <x:c r="U701" s="7" t="n">
        <x:v>158</x:v>
      </x:c>
      <x:c r="V701" s="7" t="n">
        <x:v>100</x:v>
      </x:c>
    </x:row>
    <x:row r="702" ht="16" customHeight="1">
      <x:c r="A702" s="7" t="n">
        <x:v>699</x:v>
      </x:c>
      <x:c r="B702" s="8" t="n">
        <x:v>46151</x:v>
      </x:c>
      <x:c r="C702" s="7" t="str">
        <x:v>Haven</x:v>
      </x:c>
      <x:c r="D702" s="7" t="str">
        <x:v>3rd</x:v>
      </x:c>
      <x:c r="E702" s="7" t="str">
        <x:v>Iso</x:v>
      </x:c>
      <x:c r="F702" s="7" t="n">
        <x:v>11</x:v>
      </x:c>
      <x:c r="G702" s="7" t="n">
        <x:v>13</x:v>
      </x:c>
      <x:c r="H702" s="7" t="str">
        <x:f>IF(F702&gt;G702,"Win",IF(F702&lt;G702,"Loss","Draw"))</x:f>
        <x:v>Loss</x:v>
      </x:c>
      <x:c r="I702" s="7" t="n">
        <x:f>IF(H702="Win",1,0)</x:f>
        <x:v>0</x:v>
      </x:c>
      <x:c r="J702" s="7" t="n">
        <x:f>F702-G702</x:f>
        <x:v>-2</x:v>
      </x:c>
      <x:c r="K702" s="7" t="n">
        <x:f>F702+G702</x:f>
        <x:v>24</x:v>
      </x:c>
      <x:c r="L702" s="7" t="n">
        <x:v>22</x:v>
      </x:c>
      <x:c r="M702" s="7" t="n">
        <x:v>19</x:v>
      </x:c>
      <x:c r="N702" s="7" t="n">
        <x:v>3</x:v>
      </x:c>
      <x:c r="O702" s="9" t="n">
        <x:f>IF(M702=0,"n.a.",L702/M702)</x:f>
        <x:v>1.1578947368421053</x:v>
      </x:c>
      <x:c r="P702" s="9" t="n">
        <x:f>IF(K702=0,"n.a.",L702/K702)</x:f>
        <x:v>0.9166666666666666</x:v>
      </x:c>
      <x:c r="Q702" s="9" t="n">
        <x:f>IF(K702=0,"n.a.",M702/K702)</x:f>
        <x:v>0.7916666666666666</x:v>
      </x:c>
      <x:c r="R702" s="9" t="n">
        <x:f>IF(K702=0,"n.a.",N702/K702)</x:f>
        <x:v>0.125</x:v>
      </x:c>
      <x:c r="S702" s="7" t="n">
        <x:v>26</x:v>
      </x:c>
      <x:c r="T702" s="10" t="n">
        <x:v>0.4</x:v>
      </x:c>
      <x:c r="U702" s="7" t="n">
        <x:v>255</x:v>
      </x:c>
      <x:c r="V702" s="7" t="n">
        <x:v>697</x:v>
      </x:c>
    </x:row>
    <x:row r="703" ht="16" customHeight="1">
      <x:c r="A703" s="7" t="n">
        <x:v>700</x:v>
      </x:c>
      <x:c r="B703" s="8" t="n">
        <x:v>46151</x:v>
      </x:c>
      <x:c r="C703" s="7" t="str">
        <x:v>Fracture</x:v>
      </x:c>
      <x:c r="D703" s="7" t="str">
        <x:v>2nd</x:v>
      </x:c>
      <x:c r="E703" s="7" t="str">
        <x:v>Reyna</x:v>
      </x:c>
      <x:c r="F703" s="7" t="n">
        <x:v>15</x:v>
      </x:c>
      <x:c r="G703" s="7" t="n">
        <x:v>13</x:v>
      </x:c>
      <x:c r="H703" s="7" t="str">
        <x:f>IF(F703&gt;G703,"Win",IF(F703&lt;G703,"Loss","Draw"))</x:f>
        <x:v>Win</x:v>
      </x:c>
      <x:c r="I703" s="7" t="n">
        <x:f>IF(H703="Win",1,0)</x:f>
        <x:v>1</x:v>
      </x:c>
      <x:c r="J703" s="7" t="n">
        <x:f>F703-G703</x:f>
        <x:v>2</x:v>
      </x:c>
      <x:c r="K703" s="7" t="n">
        <x:f>F703+G703</x:f>
        <x:v>28</x:v>
      </x:c>
      <x:c r="L703" s="7" t="n">
        <x:v>29</x:v>
      </x:c>
      <x:c r="M703" s="7" t="n">
        <x:v>21</x:v>
      </x:c>
      <x:c r="N703" s="7" t="n">
        <x:v>5</x:v>
      </x:c>
      <x:c r="O703" s="9" t="n">
        <x:f>IF(M703=0,"n.a.",L703/M703)</x:f>
        <x:v>1.380952380952381</x:v>
      </x:c>
      <x:c r="P703" s="9" t="n">
        <x:f>IF(K703=0,"n.a.",L703/K703)</x:f>
        <x:v>1.0357142857142858</x:v>
      </x:c>
      <x:c r="Q703" s="9" t="n">
        <x:f>IF(K703=0,"n.a.",M703/K703)</x:f>
        <x:v>0.75</x:v>
      </x:c>
      <x:c r="R703" s="9" t="n">
        <x:f>IF(K703=0,"n.a.",N703/K703)</x:f>
        <x:v>0.17857142857142858</x:v>
      </x:c>
      <x:c r="S703" s="7" t="n">
        <x:v>46</x:v>
      </x:c>
      <x:c r="T703" s="10" t="n">
        <x:v>0.31</x:v>
      </x:c>
      <x:c r="U703" s="7" t="n">
        <x:v>292</x:v>
      </x:c>
      <x:c r="V703" s="7" t="n">
        <x:v>725</x:v>
      </x:c>
    </x:row>
    <x:row r="704" ht="16" customHeight="1">
      <x:c r="A704" s="7" t="n">
        <x:v>701</x:v>
      </x:c>
      <x:c r="B704" s="8" t="n">
        <x:v>46151</x:v>
      </x:c>
      <x:c r="C704" s="7" t="str">
        <x:v>Breeze</x:v>
      </x:c>
      <x:c r="D704" s="7" t="str">
        <x:v>MVP</x:v>
      </x:c>
      <x:c r="E704" s="7" t="str">
        <x:v>Yoru</x:v>
      </x:c>
      <x:c r="F704" s="7" t="n">
        <x:v>11</x:v>
      </x:c>
      <x:c r="G704" s="7" t="n">
        <x:v>13</x:v>
      </x:c>
      <x:c r="H704" s="7" t="str">
        <x:f>IF(F704&gt;G704,"Win",IF(F704&lt;G704,"Loss","Draw"))</x:f>
        <x:v>Loss</x:v>
      </x:c>
      <x:c r="I704" s="7" t="n">
        <x:f>IF(H704="Win",1,0)</x:f>
        <x:v>0</x:v>
      </x:c>
      <x:c r="J704" s="7" t="n">
        <x:f>F704-G704</x:f>
        <x:v>-2</x:v>
      </x:c>
      <x:c r="K704" s="7" t="n">
        <x:f>F704+G704</x:f>
        <x:v>24</x:v>
      </x:c>
      <x:c r="L704" s="7" t="n">
        <x:v>26</x:v>
      </x:c>
      <x:c r="M704" s="7" t="n">
        <x:v>17</x:v>
      </x:c>
      <x:c r="N704" s="7" t="n">
        <x:v>0</x:v>
      </x:c>
      <x:c r="O704" s="9" t="n">
        <x:f>IF(M704=0,"n.a.",L704/M704)</x:f>
        <x:v>1.5294117647058822</x:v>
      </x:c>
      <x:c r="P704" s="9" t="n">
        <x:f>IF(K704=0,"n.a.",L704/K704)</x:f>
        <x:v>1.0833333333333333</x:v>
      </x:c>
      <x:c r="Q704" s="9" t="n">
        <x:f>IF(K704=0,"n.a.",M704/K704)</x:f>
        <x:v>0.7083333333333334</x:v>
      </x:c>
      <x:c r="R704" s="9" t="n">
        <x:f>IF(K704=0,"n.a.",N704/K704)</x:f>
        <x:v>0</x:v>
      </x:c>
      <x:c r="S704" s="7" t="n">
        <x:v>47</x:v>
      </x:c>
      <x:c r="T704" s="10" t="n">
        <x:v>0.44</x:v>
      </x:c>
      <x:c r="U704" s="7" t="n">
        <x:v>308</x:v>
      </x:c>
      <x:c r="V704" s="7" t="n">
        <x:v>735</x:v>
      </x:c>
    </x:row>
    <x:row r="705" ht="16" customHeight="1">
      <x:c r="A705" s="7" t="n">
        <x:v>702</x:v>
      </x:c>
      <x:c r="B705" s="8" t="n">
        <x:v>46151</x:v>
      </x:c>
      <x:c r="C705" s="7" t="str">
        <x:v>Fracture</x:v>
      </x:c>
      <x:c r="D705" s="7" t="str">
        <x:v>2nd</x:v>
      </x:c>
      <x:c r="E705" s="7" t="str">
        <x:v>Breach</x:v>
      </x:c>
      <x:c r="F705" s="7" t="n">
        <x:v>13</x:v>
      </x:c>
      <x:c r="G705" s="7" t="n">
        <x:v>5</x:v>
      </x:c>
      <x:c r="H705" s="7" t="str">
        <x:f>IF(F705&gt;G705,"Win",IF(F705&lt;G705,"Loss","Draw"))</x:f>
        <x:v>Win</x:v>
      </x:c>
      <x:c r="I705" s="7" t="n">
        <x:f>IF(H705="Win",1,0)</x:f>
        <x:v>1</x:v>
      </x:c>
      <x:c r="J705" s="7" t="n">
        <x:f>F705-G705</x:f>
        <x:v>8</x:v>
      </x:c>
      <x:c r="K705" s="7" t="n">
        <x:f>F705+G705</x:f>
        <x:v>18</x:v>
      </x:c>
      <x:c r="L705" s="7" t="n">
        <x:v>16</x:v>
      </x:c>
      <x:c r="M705" s="7" t="n">
        <x:v>11</x:v>
      </x:c>
      <x:c r="N705" s="7" t="n">
        <x:v>8</x:v>
      </x:c>
      <x:c r="O705" s="9" t="n">
        <x:f>IF(M705=0,"n.a.",L705/M705)</x:f>
        <x:v>1.4545454545454546</x:v>
      </x:c>
      <x:c r="P705" s="9" t="n">
        <x:f>IF(K705=0,"n.a.",L705/K705)</x:f>
        <x:v>0.8888888888888888</x:v>
      </x:c>
      <x:c r="Q705" s="9" t="n">
        <x:f>IF(K705=0,"n.a.",M705/K705)</x:f>
        <x:v>0.6111111111111112</x:v>
      </x:c>
      <x:c r="R705" s="9" t="n">
        <x:f>IF(K705=0,"n.a.",N705/K705)</x:f>
        <x:v>0.4444444444444444</x:v>
      </x:c>
      <x:c r="S705" s="7" t="n">
        <x:v>61</x:v>
      </x:c>
      <x:c r="T705" s="10" t="n">
        <x:v>0.23</x:v>
      </x:c>
      <x:c r="U705" s="7" t="n">
        <x:v>278</x:v>
      </x:c>
      <x:c r="V705" s="7" t="n">
        <x:v>804</x:v>
      </x:c>
    </x:row>
    <x:row r="706" ht="16" customHeight="1">
      <x:c r="A706" s="7" t="n">
        <x:v>703</x:v>
      </x:c>
      <x:c r="B706" s="8" t="n">
        <x:v>46152</x:v>
      </x:c>
      <x:c r="C706" s="7" t="str">
        <x:v>Split</x:v>
      </x:c>
      <x:c r="D706" s="7" t="str">
        <x:v>9th</x:v>
      </x:c>
      <x:c r="E706" s="7" t="str">
        <x:v>Astra</x:v>
      </x:c>
      <x:c r="F706" s="7" t="n">
        <x:v>12</x:v>
      </x:c>
      <x:c r="G706" s="7" t="n">
        <x:v>14</x:v>
      </x:c>
      <x:c r="H706" s="7" t="str">
        <x:f>IF(F706&gt;G706,"Win",IF(F706&lt;G706,"Loss","Draw"))</x:f>
        <x:v>Loss</x:v>
      </x:c>
      <x:c r="I706" s="7" t="n">
        <x:f>IF(H706="Win",1,0)</x:f>
        <x:v>0</x:v>
      </x:c>
      <x:c r="J706" s="7" t="n">
        <x:f>F706-G706</x:f>
        <x:v>-2</x:v>
      </x:c>
      <x:c r="K706" s="7" t="n">
        <x:f>F706+G706</x:f>
        <x:v>26</x:v>
      </x:c>
      <x:c r="L706" s="7" t="n">
        <x:v>16</x:v>
      </x:c>
      <x:c r="M706" s="7" t="n">
        <x:v>18</x:v>
      </x:c>
      <x:c r="N706" s="7" t="n">
        <x:v>10</x:v>
      </x:c>
      <x:c r="O706" s="9" t="n">
        <x:f>IF(M706=0,"n.a.",L706/M706)</x:f>
        <x:v>0.8888888888888888</x:v>
      </x:c>
      <x:c r="P706" s="9" t="n">
        <x:f>IF(K706=0,"n.a.",L706/K706)</x:f>
        <x:v>0.6153846153846154</x:v>
      </x:c>
      <x:c r="Q706" s="9" t="n">
        <x:f>IF(K706=0,"n.a.",M706/K706)</x:f>
        <x:v>0.6923076923076923</x:v>
      </x:c>
      <x:c r="R706" s="9" t="n">
        <x:f>IF(K706=0,"n.a.",N706/K706)</x:f>
        <x:v>0.38461538461538464</x:v>
      </x:c>
      <x:c r="S706" s="7" t="n">
        <x:v>-22</x:v>
      </x:c>
      <x:c r="T706" s="10" t="n">
        <x:v>0.44</x:v>
      </x:c>
      <x:c r="U706" s="7" t="n">
        <x:v>172</x:v>
      </x:c>
      <x:c r="V706" s="7" t="n">
        <x:v>316</x:v>
      </x:c>
    </x:row>
    <x:row r="707" ht="16" customHeight="1">
      <x:c r="A707" s="7" t="n">
        <x:v>704</x:v>
      </x:c>
      <x:c r="B707" s="8" t="n">
        <x:v>46152</x:v>
      </x:c>
      <x:c r="C707" s="7" t="str">
        <x:v>Lotus</x:v>
      </x:c>
      <x:c r="D707" s="7" t="str">
        <x:v>MVP</x:v>
      </x:c>
      <x:c r="E707" s="7" t="str">
        <x:v>Jett</x:v>
      </x:c>
      <x:c r="F707" s="7" t="n">
        <x:v>13</x:v>
      </x:c>
      <x:c r="G707" s="7" t="n">
        <x:v>10</x:v>
      </x:c>
      <x:c r="H707" s="7" t="str">
        <x:f>IF(F707&gt;G707,"Win",IF(F707&lt;G707,"Loss","Draw"))</x:f>
        <x:v>Win</x:v>
      </x:c>
      <x:c r="I707" s="7" t="n">
        <x:f>IF(H707="Win",1,0)</x:f>
        <x:v>1</x:v>
      </x:c>
      <x:c r="J707" s="7" t="n">
        <x:f>F707-G707</x:f>
        <x:v>3</x:v>
      </x:c>
      <x:c r="K707" s="7" t="n">
        <x:f>F707+G707</x:f>
        <x:v>23</x:v>
      </x:c>
      <x:c r="L707" s="7" t="n">
        <x:v>26</x:v>
      </x:c>
      <x:c r="M707" s="7" t="n">
        <x:v>20</x:v>
      </x:c>
      <x:c r="N707" s="7" t="n">
        <x:v>2</x:v>
      </x:c>
      <x:c r="O707" s="9" t="n">
        <x:f>IF(M707=0,"n.a.",L707/M707)</x:f>
        <x:v>1.3</x:v>
      </x:c>
      <x:c r="P707" s="9" t="n">
        <x:f>IF(K707=0,"n.a.",L707/K707)</x:f>
        <x:v>1.1304347826086956</x:v>
      </x:c>
      <x:c r="Q707" s="9" t="n">
        <x:f>IF(K707=0,"n.a.",M707/K707)</x:f>
        <x:v>0.8695652173913043</x:v>
      </x:c>
      <x:c r="R707" s="9" t="n">
        <x:f>IF(K707=0,"n.a.",N707/K707)</x:f>
        <x:v>0.08695652173913043</x:v>
      </x:c>
      <x:c r="S707" s="7" t="n">
        <x:v>64</x:v>
      </x:c>
      <x:c r="T707" s="10" t="n">
        <x:v>0.23</x:v>
      </x:c>
      <x:c r="U707" s="7" t="n">
        <x:v>341</x:v>
      </x:c>
      <x:c r="V707" s="7" t="n">
        <x:v>845</x:v>
      </x:c>
    </x:row>
    <x:row r="708" ht="16" customHeight="1">
      <x:c r="A708" s="7" t="n">
        <x:v>705</x:v>
      </x:c>
      <x:c r="B708" s="8" t="n">
        <x:v>46152</x:v>
      </x:c>
      <x:c r="C708" s="7" t="str">
        <x:v>Lotus</x:v>
      </x:c>
      <x:c r="D708" s="7" t="str">
        <x:v>5th</x:v>
      </x:c>
      <x:c r="E708" s="7" t="str">
        <x:v>Jett</x:v>
      </x:c>
      <x:c r="F708" s="7" t="n">
        <x:v>15</x:v>
      </x:c>
      <x:c r="G708" s="7" t="n">
        <x:v>13</x:v>
      </x:c>
      <x:c r="H708" s="7" t="str">
        <x:f>IF(F708&gt;G708,"Win",IF(F708&lt;G708,"Loss","Draw"))</x:f>
        <x:v>Win</x:v>
      </x:c>
      <x:c r="I708" s="7" t="n">
        <x:f>IF(H708="Win",1,0)</x:f>
        <x:v>1</x:v>
      </x:c>
      <x:c r="J708" s="7" t="n">
        <x:f>F708-G708</x:f>
        <x:v>2</x:v>
      </x:c>
      <x:c r="K708" s="7" t="n">
        <x:f>F708+G708</x:f>
        <x:v>28</x:v>
      </x:c>
      <x:c r="L708" s="7" t="n">
        <x:v>24</x:v>
      </x:c>
      <x:c r="M708" s="7" t="n">
        <x:v>22</x:v>
      </x:c>
      <x:c r="N708" s="7" t="n">
        <x:v>2</x:v>
      </x:c>
      <x:c r="O708" s="9" t="n">
        <x:f>IF(M708=0,"n.a.",L708/M708)</x:f>
        <x:v>1.0909090909090908</x:v>
      </x:c>
      <x:c r="P708" s="9" t="n">
        <x:f>IF(K708=0,"n.a.",L708/K708)</x:f>
        <x:v>0.8571428571428571</x:v>
      </x:c>
      <x:c r="Q708" s="9" t="n">
        <x:f>IF(K708=0,"n.a.",M708/K708)</x:f>
        <x:v>0.7857142857142857</x:v>
      </x:c>
      <x:c r="R708" s="9" t="n">
        <x:f>IF(K708=0,"n.a.",N708/K708)</x:f>
        <x:v>0.07142857142857142</x:v>
      </x:c>
      <x:c r="S708" s="7" t="n">
        <x:v>6</x:v>
      </x:c>
      <x:c r="T708" s="10" t="n">
        <x:v>0.31</x:v>
      </x:c>
      <x:c r="U708" s="7" t="n">
        <x:v>235</x:v>
      </x:c>
      <x:c r="V708" s="7" t="n">
        <x:v>560</x:v>
      </x:c>
    </x:row>
    <x:row r="709" ht="16" customHeight="1">
      <x:c r="A709" s="7" t="n">
        <x:v>706</x:v>
      </x:c>
      <x:c r="B709" s="8" t="n">
        <x:v>46152</x:v>
      </x:c>
      <x:c r="C709" s="7" t="str">
        <x:v>Pearl</x:v>
      </x:c>
      <x:c r="D709" s="7" t="str">
        <x:v>5th</x:v>
      </x:c>
      <x:c r="E709" s="7" t="str">
        <x:v>Jett</x:v>
      </x:c>
      <x:c r="F709" s="7" t="n">
        <x:v>13</x:v>
      </x:c>
      <x:c r="G709" s="7" t="n">
        <x:v>11</x:v>
      </x:c>
      <x:c r="H709" s="7" t="str">
        <x:f>IF(F709&gt;G709,"Win",IF(F709&lt;G709,"Loss","Draw"))</x:f>
        <x:v>Win</x:v>
      </x:c>
      <x:c r="I709" s="7" t="n">
        <x:f>IF(H709="Win",1,0)</x:f>
        <x:v>1</x:v>
      </x:c>
      <x:c r="J709" s="7" t="n">
        <x:f>F709-G709</x:f>
        <x:v>2</x:v>
      </x:c>
      <x:c r="K709" s="7" t="n">
        <x:f>F709+G709</x:f>
        <x:v>24</x:v>
      </x:c>
      <x:c r="L709" s="7" t="n">
        <x:v>18</x:v>
      </x:c>
      <x:c r="M709" s="7" t="n">
        <x:v>17</x:v>
      </x:c>
      <x:c r="N709" s="7" t="n">
        <x:v>6</x:v>
      </x:c>
      <x:c r="O709" s="9" t="n">
        <x:f>IF(M709=0,"n.a.",L709/M709)</x:f>
        <x:v>1.0588235294117647</x:v>
      </x:c>
      <x:c r="P709" s="9" t="n">
        <x:f>IF(K709=0,"n.a.",L709/K709)</x:f>
        <x:v>0.75</x:v>
      </x:c>
      <x:c r="Q709" s="9" t="n">
        <x:f>IF(K709=0,"n.a.",M709/K709)</x:f>
        <x:v>0.7083333333333334</x:v>
      </x:c>
      <x:c r="R709" s="9" t="n">
        <x:f>IF(K709=0,"n.a.",N709/K709)</x:f>
        <x:v>0.25</x:v>
      </x:c>
      <x:c r="S709" s="7" t="n">
        <x:v>24</x:v>
      </x:c>
      <x:c r="T709" s="10" t="n">
        <x:v>0.43</x:v>
      </x:c>
      <x:c r="U709" s="7" t="n">
        <x:v>221</x:v>
      </x:c>
      <x:c r="V709" s="7" t="n">
        <x:v>558</x:v>
      </x:c>
    </x:row>
    <x:row r="710" ht="16" customHeight="1">
      <x:c r="A710" s="7" t="n">
        <x:v>707</x:v>
      </x:c>
      <x:c r="B710" s="8" t="n">
        <x:v>46152</x:v>
      </x:c>
      <x:c r="C710" s="7" t="str">
        <x:v>Breeze</x:v>
      </x:c>
      <x:c r="D710" s="7" t="str">
        <x:v>7th</x:v>
      </x:c>
      <x:c r="E710" s="7" t="str">
        <x:v>Jett</x:v>
      </x:c>
      <x:c r="F710" s="7" t="n">
        <x:v>13</x:v>
      </x:c>
      <x:c r="G710" s="7" t="n">
        <x:v>9</x:v>
      </x:c>
      <x:c r="H710" s="7" t="str">
        <x:f>IF(F710&gt;G710,"Win",IF(F710&lt;G710,"Loss","Draw"))</x:f>
        <x:v>Win</x:v>
      </x:c>
      <x:c r="I710" s="7" t="n">
        <x:f>IF(H710="Win",1,0)</x:f>
        <x:v>1</x:v>
      </x:c>
      <x:c r="J710" s="7" t="n">
        <x:f>F710-G710</x:f>
        <x:v>4</x:v>
      </x:c>
      <x:c r="K710" s="7" t="n">
        <x:f>F710+G710</x:f>
        <x:v>22</x:v>
      </x:c>
      <x:c r="L710" s="7" t="n">
        <x:v>15</x:v>
      </x:c>
      <x:c r="M710" s="7" t="n">
        <x:v>20</x:v>
      </x:c>
      <x:c r="N710" s="7" t="n">
        <x:v>4</x:v>
      </x:c>
      <x:c r="O710" s="9" t="n">
        <x:f>IF(M710=0,"n.a.",L710/M710)</x:f>
        <x:v>0.75</x:v>
      </x:c>
      <x:c r="P710" s="9" t="n">
        <x:f>IF(K710=0,"n.a.",L710/K710)</x:f>
        <x:v>0.6818181818181818</x:v>
      </x:c>
      <x:c r="Q710" s="9" t="n">
        <x:f>IF(K710=0,"n.a.",M710/K710)</x:f>
        <x:v>0.9090909090909091</x:v>
      </x:c>
      <x:c r="R710" s="9" t="n">
        <x:f>IF(K710=0,"n.a.",N710/K710)</x:f>
        <x:v>0.18181818181818182</x:v>
      </x:c>
      <x:c r="S710" s="7" t="n">
        <x:v>-27</x:v>
      </x:c>
      <x:c r="T710" s="10" t="n">
        <x:v>0.28</x:v>
      </x:c>
      <x:c r="U710" s="7" t="n">
        <x:v>201</x:v>
      </x:c>
      <x:c r="V710" s="7" t="n">
        <x:v>438</x:v>
      </x:c>
    </x:row>
    <x:row r="711" ht="16" customHeight="1">
      <x:c r="A711" s="7" t="n">
        <x:v>708</x:v>
      </x:c>
      <x:c r="B711" s="8" t="n">
        <x:v>46152</x:v>
      </x:c>
      <x:c r="C711" s="7" t="str">
        <x:v>Haven</x:v>
      </x:c>
      <x:c r="D711" s="7" t="str">
        <x:v>3rd</x:v>
      </x:c>
      <x:c r="E711" s="7" t="str">
        <x:v>Raze</x:v>
      </x:c>
      <x:c r="F711" s="7" t="n">
        <x:v>13</x:v>
      </x:c>
      <x:c r="G711" s="7" t="n">
        <x:v>6</x:v>
      </x:c>
      <x:c r="H711" s="7" t="str">
        <x:f>IF(F711&gt;G711,"Win",IF(F711&lt;G711,"Loss","Draw"))</x:f>
        <x:v>Win</x:v>
      </x:c>
      <x:c r="I711" s="7" t="n">
        <x:f>IF(H711="Win",1,0)</x:f>
        <x:v>1</x:v>
      </x:c>
      <x:c r="J711" s="7" t="n">
        <x:f>F711-G711</x:f>
        <x:v>7</x:v>
      </x:c>
      <x:c r="K711" s="7" t="n">
        <x:f>F711+G711</x:f>
        <x:v>19</x:v>
      </x:c>
      <x:c r="L711" s="7" t="n">
        <x:v>18</x:v>
      </x:c>
      <x:c r="M711" s="7" t="n">
        <x:v>14</x:v>
      </x:c>
      <x:c r="N711" s="7" t="n">
        <x:v>3</x:v>
      </x:c>
      <x:c r="O711" s="9" t="n">
        <x:f>IF(M711=0,"n.a.",L711/M711)</x:f>
        <x:v>1.2857142857142858</x:v>
      </x:c>
      <x:c r="P711" s="9" t="n">
        <x:f>IF(K711=0,"n.a.",L711/K711)</x:f>
        <x:v>0.9473684210526315</x:v>
      </x:c>
      <x:c r="Q711" s="9" t="n">
        <x:f>IF(K711=0,"n.a.",M711/K711)</x:f>
        <x:v>0.7368421052631579</x:v>
      </x:c>
      <x:c r="R711" s="9" t="n">
        <x:f>IF(K711=0,"n.a.",N711/K711)</x:f>
        <x:v>0.15789473684210525</x:v>
      </x:c>
      <x:c r="S711" s="7" t="n">
        <x:v>16</x:v>
      </x:c>
      <x:c r="T711" s="10" t="n">
        <x:v>0.28</x:v>
      </x:c>
      <x:c r="U711" s="7" t="n">
        <x:v>255</x:v>
      </x:c>
      <x:c r="V711" s="7" t="n">
        <x:v>729</x:v>
      </x:c>
    </x:row>
    <x:row r="712" ht="16" customHeight="1">
      <x:c r="A712" s="7" t="n">
        <x:v>709</x:v>
      </x:c>
      <x:c r="B712" s="8" t="n">
        <x:v>46152</x:v>
      </x:c>
      <x:c r="C712" s="7" t="str">
        <x:v>Haven</x:v>
      </x:c>
      <x:c r="D712" s="7" t="str">
        <x:v>5th</x:v>
      </x:c>
      <x:c r="E712" s="7" t="str">
        <x:v>Jett</x:v>
      </x:c>
      <x:c r="F712" s="7" t="n">
        <x:v>13</x:v>
      </x:c>
      <x:c r="G712" s="7" t="n">
        <x:v>10</x:v>
      </x:c>
      <x:c r="H712" s="7" t="str">
        <x:f>IF(F712&gt;G712,"Win",IF(F712&lt;G712,"Loss","Draw"))</x:f>
        <x:v>Win</x:v>
      </x:c>
      <x:c r="I712" s="7" t="n">
        <x:f>IF(H712="Win",1,0)</x:f>
        <x:v>1</x:v>
      </x:c>
      <x:c r="J712" s="7" t="n">
        <x:f>F712-G712</x:f>
        <x:v>3</x:v>
      </x:c>
      <x:c r="K712" s="7" t="n">
        <x:f>F712+G712</x:f>
        <x:v>23</x:v>
      </x:c>
      <x:c r="L712" s="7" t="n">
        <x:v>20</x:v>
      </x:c>
      <x:c r="M712" s="7" t="n">
        <x:v>18</x:v>
      </x:c>
      <x:c r="N712" s="7" t="n">
        <x:v>4</x:v>
      </x:c>
      <x:c r="O712" s="9" t="n">
        <x:f>IF(M712=0,"n.a.",L712/M712)</x:f>
        <x:v>1.1111111111111112</x:v>
      </x:c>
      <x:c r="P712" s="9" t="n">
        <x:f>IF(K712=0,"n.a.",L712/K712)</x:f>
        <x:v>0.8695652173913043</x:v>
      </x:c>
      <x:c r="Q712" s="9" t="n">
        <x:f>IF(K712=0,"n.a.",M712/K712)</x:f>
        <x:v>0.782608695652174</x:v>
      </x:c>
      <x:c r="R712" s="9" t="n">
        <x:f>IF(K712=0,"n.a.",N712/K712)</x:f>
        <x:v>0.17391304347826086</x:v>
      </x:c>
      <x:c r="S712" s="7" t="n">
        <x:v>-10</x:v>
      </x:c>
      <x:c r="T712" s="10" t="n">
        <x:v>0.3</x:v>
      </x:c>
      <x:c r="U712" s="7" t="n">
        <x:v>239</x:v>
      </x:c>
      <x:c r="V712" s="7" t="n">
        <x:v>608</x:v>
      </x:c>
    </x:row>
    <x:row r="713" ht="16" customHeight="1">
      <x:c r="A713" s="7" t="n">
        <x:v>710</x:v>
      </x:c>
      <x:c r="B713" s="8" t="n">
        <x:v>46152</x:v>
      </x:c>
      <x:c r="C713" s="7" t="str">
        <x:v>Fracture</x:v>
      </x:c>
      <x:c r="D713" s="7" t="str">
        <x:v>MVP</x:v>
      </x:c>
      <x:c r="E713" s="7" t="str">
        <x:v>Chamber</x:v>
      </x:c>
      <x:c r="F713" s="7" t="n">
        <x:v>7</x:v>
      </x:c>
      <x:c r="G713" s="7" t="n">
        <x:v>13</x:v>
      </x:c>
      <x:c r="H713" s="7" t="str">
        <x:f>IF(F713&gt;G713,"Win",IF(F713&lt;G713,"Loss","Draw"))</x:f>
        <x:v>Loss</x:v>
      </x:c>
      <x:c r="I713" s="7" t="n">
        <x:f>IF(H713="Win",1,0)</x:f>
        <x:v>0</x:v>
      </x:c>
      <x:c r="J713" s="7" t="n">
        <x:f>F713-G713</x:f>
        <x:v>-6</x:v>
      </x:c>
      <x:c r="K713" s="7" t="n">
        <x:f>F713+G713</x:f>
        <x:v>20</x:v>
      </x:c>
      <x:c r="L713" s="7" t="n">
        <x:v>20</x:v>
      </x:c>
      <x:c r="M713" s="7" t="n">
        <x:v>17</x:v>
      </x:c>
      <x:c r="N713" s="7" t="n">
        <x:v>4</x:v>
      </x:c>
      <x:c r="O713" s="9" t="n">
        <x:f>IF(M713=0,"n.a.",L713/M713)</x:f>
        <x:v>1.1764705882352942</x:v>
      </x:c>
      <x:c r="P713" s="9" t="n">
        <x:f>IF(K713=0,"n.a.",L713/K713)</x:f>
        <x:v>1</x:v>
      </x:c>
      <x:c r="Q713" s="9" t="n">
        <x:f>IF(K713=0,"n.a.",M713/K713)</x:f>
        <x:v>0.85</x:v>
      </x:c>
      <x:c r="R713" s="9" t="n">
        <x:f>IF(K713=0,"n.a.",N713/K713)</x:f>
        <x:v>0.2</x:v>
      </x:c>
      <x:c r="S713" s="7" t="n">
        <x:v>56</x:v>
      </x:c>
      <x:c r="T713" s="10" t="n">
        <x:v>0.16</x:v>
      </x:c>
      <x:c r="U713" s="7" t="n">
        <x:v>315</x:v>
      </x:c>
      <x:c r="V713" s="7" t="n">
        <x:v>611</x:v>
      </x:c>
    </x:row>
    <x:row r="714" ht="16" customHeight="1">
      <x:c r="A714" s="7" t="n">
        <x:v>711</x:v>
      </x:c>
      <x:c r="B714" s="8" t="n">
        <x:v>46152</x:v>
      </x:c>
      <x:c r="C714" s="7" t="str">
        <x:v>Breeze</x:v>
      </x:c>
      <x:c r="D714" s="7" t="str">
        <x:v>6th</x:v>
      </x:c>
      <x:c r="E714" s="7" t="str">
        <x:v>Astra</x:v>
      </x:c>
      <x:c r="F714" s="7" t="n">
        <x:v>1</x:v>
      </x:c>
      <x:c r="G714" s="7" t="n">
        <x:v>13</x:v>
      </x:c>
      <x:c r="H714" s="7" t="str">
        <x:f>IF(F714&gt;G714,"Win",IF(F714&lt;G714,"Loss","Draw"))</x:f>
        <x:v>Loss</x:v>
      </x:c>
      <x:c r="I714" s="7" t="n">
        <x:f>IF(H714="Win",1,0)</x:f>
        <x:v>0</x:v>
      </x:c>
      <x:c r="J714" s="7" t="n">
        <x:f>F714-G714</x:f>
        <x:v>-12</x:v>
      </x:c>
      <x:c r="K714" s="7" t="n">
        <x:f>F714+G714</x:f>
        <x:v>14</x:v>
      </x:c>
      <x:c r="L714" s="7" t="n">
        <x:v>9</x:v>
      </x:c>
      <x:c r="M714" s="7" t="n">
        <x:v>14</x:v>
      </x:c>
      <x:c r="N714" s="7" t="n">
        <x:v>3</x:v>
      </x:c>
      <x:c r="O714" s="9" t="n">
        <x:f>IF(M714=0,"n.a.",L714/M714)</x:f>
        <x:v>0.6428571428571429</x:v>
      </x:c>
      <x:c r="P714" s="9" t="n">
        <x:f>IF(K714=0,"n.a.",L714/K714)</x:f>
        <x:v>0.6428571428571429</x:v>
      </x:c>
      <x:c r="Q714" s="9" t="n">
        <x:f>IF(K714=0,"n.a.",M714/K714)</x:f>
        <x:v>1</x:v>
      </x:c>
      <x:c r="R714" s="9" t="n">
        <x:f>IF(K714=0,"n.a.",N714/K714)</x:f>
        <x:v>0.21428571428571427</x:v>
      </x:c>
      <x:c r="S714" s="7" t="n">
        <x:v>-15</x:v>
      </x:c>
      <x:c r="T714" s="10" t="n">
        <x:v>0.26</x:v>
      </x:c>
      <x:c r="U714" s="7" t="n">
        <x:v>215</x:v>
      </x:c>
      <x:c r="V714" s="7" t="n">
        <x:v>429</x:v>
      </x:c>
    </x:row>
    <x:row r="715" ht="16" customHeight="1">
      <x:c r="A715" s="7" t="n">
        <x:v>712</x:v>
      </x:c>
      <x:c r="B715" s="8" t="n">
        <x:v>46152</x:v>
      </x:c>
      <x:c r="C715" s="7" t="str">
        <x:v>Split</x:v>
      </x:c>
      <x:c r="D715" s="7" t="str">
        <x:v>4th</x:v>
      </x:c>
      <x:c r="E715" s="7" t="str">
        <x:v>Astra</x:v>
      </x:c>
      <x:c r="F715" s="7" t="n">
        <x:v>13</x:v>
      </x:c>
      <x:c r="G715" s="7" t="n">
        <x:v>4</x:v>
      </x:c>
      <x:c r="H715" s="7" t="str">
        <x:f>IF(F715&gt;G715,"Win",IF(F715&lt;G715,"Loss","Draw"))</x:f>
        <x:v>Win</x:v>
      </x:c>
      <x:c r="I715" s="7" t="n">
        <x:f>IF(H715="Win",1,0)</x:f>
        <x:v>1</x:v>
      </x:c>
      <x:c r="J715" s="7" t="n">
        <x:f>F715-G715</x:f>
        <x:v>9</x:v>
      </x:c>
      <x:c r="K715" s="7" t="n">
        <x:f>F715+G715</x:f>
        <x:v>17</x:v>
      </x:c>
      <x:c r="L715" s="7" t="n">
        <x:v>15</x:v>
      </x:c>
      <x:c r="M715" s="7" t="n">
        <x:v>15</x:v>
      </x:c>
      <x:c r="N715" s="7" t="n">
        <x:v>5</x:v>
      </x:c>
      <x:c r="O715" s="9" t="n">
        <x:f>IF(M715=0,"n.a.",L715/M715)</x:f>
        <x:v>1</x:v>
      </x:c>
      <x:c r="P715" s="9" t="n">
        <x:f>IF(K715=0,"n.a.",L715/K715)</x:f>
        <x:v>0.8823529411764706</x:v>
      </x:c>
      <x:c r="Q715" s="9" t="n">
        <x:f>IF(K715=0,"n.a.",M715/K715)</x:f>
        <x:v>0.8823529411764706</x:v>
      </x:c>
      <x:c r="R715" s="9" t="n">
        <x:f>IF(K715=0,"n.a.",N715/K715)</x:f>
        <x:v>0.29411764705882354</x:v>
      </x:c>
      <x:c r="S715" s="7" t="n">
        <x:v>5</x:v>
      </x:c>
      <x:c r="T715" s="10" t="n">
        <x:v>0.24</x:v>
      </x:c>
      <x:c r="U715" s="7" t="n">
        <x:v>253</x:v>
      </x:c>
      <x:c r="V715" s="7" t="n">
        <x:v>676</x:v>
      </x:c>
    </x:row>
    <x:row r="716" ht="16" customHeight="1">
      <x:c r="A716" s="7" t="n">
        <x:v>713</x:v>
      </x:c>
      <x:c r="B716" s="8" t="n">
        <x:v>46153</x:v>
      </x:c>
      <x:c r="C716" s="7" t="str">
        <x:v>Haven</x:v>
      </x:c>
      <x:c r="D716" s="7" t="str">
        <x:v>5th</x:v>
      </x:c>
      <x:c r="E716" s="7" t="str">
        <x:v>Jett</x:v>
      </x:c>
      <x:c r="F716" s="7" t="n">
        <x:v>14</x:v>
      </x:c>
      <x:c r="G716" s="7" t="n">
        <x:v>12</x:v>
      </x:c>
      <x:c r="H716" s="7" t="str">
        <x:f>IF(F716&gt;G716,"Win",IF(F716&lt;G716,"Loss","Draw"))</x:f>
        <x:v>Win</x:v>
      </x:c>
      <x:c r="I716" s="7" t="n">
        <x:f>IF(H716="Win",1,0)</x:f>
        <x:v>1</x:v>
      </x:c>
      <x:c r="J716" s="7" t="n">
        <x:f>F716-G716</x:f>
        <x:v>2</x:v>
      </x:c>
      <x:c r="K716" s="7" t="n">
        <x:f>F716+G716</x:f>
        <x:v>26</x:v>
      </x:c>
      <x:c r="L716" s="7" t="n">
        <x:v>21</x:v>
      </x:c>
      <x:c r="M716" s="7" t="n">
        <x:v>20</x:v>
      </x:c>
      <x:c r="N716" s="7" t="n">
        <x:v>4</x:v>
      </x:c>
      <x:c r="O716" s="9" t="n">
        <x:f>IF(M716=0,"n.a.",L716/M716)</x:f>
        <x:v>1.05</x:v>
      </x:c>
      <x:c r="P716" s="9" t="n">
        <x:f>IF(K716=0,"n.a.",L716/K716)</x:f>
        <x:v>0.8076923076923077</x:v>
      </x:c>
      <x:c r="Q716" s="9" t="n">
        <x:f>IF(K716=0,"n.a.",M716/K716)</x:f>
        <x:v>0.7692307692307693</x:v>
      </x:c>
      <x:c r="R716" s="9" t="n">
        <x:f>IF(K716=0,"n.a.",N716/K716)</x:f>
        <x:v>0.15384615384615385</x:v>
      </x:c>
      <x:c r="S716" s="7" t="n">
        <x:v>7</x:v>
      </x:c>
      <x:c r="T716" s="10" t="n">
        <x:v>0.4</x:v>
      </x:c>
      <x:c r="U716" s="7" t="n">
        <x:v>230</x:v>
      </x:c>
      <x:c r="V716" s="7" t="n">
        <x:v>608</x:v>
      </x:c>
    </x:row>
    <x:row r="717" ht="16" customHeight="1">
      <x:c r="A717" s="7" t="n">
        <x:v>714</x:v>
      </x:c>
      <x:c r="B717" s="8" t="n">
        <x:v>46153</x:v>
      </x:c>
      <x:c r="C717" s="7" t="str">
        <x:v>Split</x:v>
      </x:c>
      <x:c r="D717" s="7" t="str">
        <x:v>6th</x:v>
      </x:c>
      <x:c r="E717" s="7" t="str">
        <x:v>Jett</x:v>
      </x:c>
      <x:c r="F717" s="7" t="n">
        <x:v>11</x:v>
      </x:c>
      <x:c r="G717" s="7" t="n">
        <x:v>13</x:v>
      </x:c>
      <x:c r="H717" s="7" t="str">
        <x:f>IF(F717&gt;G717,"Win",IF(F717&lt;G717,"Loss","Draw"))</x:f>
        <x:v>Loss</x:v>
      </x:c>
      <x:c r="I717" s="7" t="n">
        <x:f>IF(H717="Win",1,0)</x:f>
        <x:v>0</x:v>
      </x:c>
      <x:c r="J717" s="7" t="n">
        <x:f>F717-G717</x:f>
        <x:v>-2</x:v>
      </x:c>
      <x:c r="K717" s="7" t="n">
        <x:f>F717+G717</x:f>
        <x:v>24</x:v>
      </x:c>
      <x:c r="L717" s="7" t="n">
        <x:v>16</x:v>
      </x:c>
      <x:c r="M717" s="7" t="n">
        <x:v>21</x:v>
      </x:c>
      <x:c r="N717" s="7" t="n">
        <x:v>3</x:v>
      </x:c>
      <x:c r="O717" s="9" t="n">
        <x:f>IF(M717=0,"n.a.",L717/M717)</x:f>
        <x:v>0.7619047619047619</x:v>
      </x:c>
      <x:c r="P717" s="9" t="n">
        <x:f>IF(K717=0,"n.a.",L717/K717)</x:f>
        <x:v>0.6666666666666666</x:v>
      </x:c>
      <x:c r="Q717" s="9" t="n">
        <x:f>IF(K717=0,"n.a.",M717/K717)</x:f>
        <x:v>0.875</x:v>
      </x:c>
      <x:c r="R717" s="9" t="n">
        <x:f>IF(K717=0,"n.a.",N717/K717)</x:f>
        <x:v>0.125</x:v>
      </x:c>
      <x:c r="S717" s="7" t="n">
        <x:v>-32</x:v>
      </x:c>
      <x:c r="T717" s="10" t="n">
        <x:v>0.33</x:v>
      </x:c>
      <x:c r="U717" s="7" t="n">
        <x:v>210</x:v>
      </x:c>
      <x:c r="V717" s="7" t="n">
        <x:v>347</x:v>
      </x:c>
    </x:row>
    <x:row r="718" ht="16" customHeight="1">
      <x:c r="A718" s="7" t="n">
        <x:v>715</x:v>
      </x:c>
      <x:c r="B718" s="8" t="n">
        <x:v>46153</x:v>
      </x:c>
      <x:c r="C718" s="7" t="str">
        <x:v>Lotus</x:v>
      </x:c>
      <x:c r="D718" s="7" t="str">
        <x:v>MVP</x:v>
      </x:c>
      <x:c r="E718" s="7" t="str">
        <x:v>Jett</x:v>
      </x:c>
      <x:c r="F718" s="7" t="n">
        <x:v>2</x:v>
      </x:c>
      <x:c r="G718" s="7" t="n">
        <x:v>2</x:v>
      </x:c>
      <x:c r="H718" s="7" t="str">
        <x:f>IF(F718&gt;G718,"Win",IF(F718&lt;G718,"Loss","Draw"))</x:f>
        <x:v>Draw</x:v>
      </x:c>
      <x:c r="I718" s="7" t="n">
        <x:f>IF(H718="Win",1,0)</x:f>
        <x:v>0</x:v>
      </x:c>
      <x:c r="J718" s="7" t="n">
        <x:f>F718-G718</x:f>
        <x:v>0</x:v>
      </x:c>
      <x:c r="K718" s="7" t="n">
        <x:f>F718+G718</x:f>
        <x:v>4</x:v>
      </x:c>
      <x:c r="L718" s="7" t="n">
        <x:v>5</x:v>
      </x:c>
      <x:c r="M718" s="7" t="n">
        <x:v>3</x:v>
      </x:c>
      <x:c r="N718" s="7" t="n">
        <x:v>1</x:v>
      </x:c>
      <x:c r="O718" s="9" t="n">
        <x:f>IF(M718=0,"n.a.",L718/M718)</x:f>
        <x:v>1.6666666666666667</x:v>
      </x:c>
      <x:c r="P718" s="9" t="n">
        <x:f>IF(K718=0,"n.a.",L718/K718)</x:f>
        <x:v>1.25</x:v>
      </x:c>
      <x:c r="Q718" s="9" t="n">
        <x:f>IF(K718=0,"n.a.",M718/K718)</x:f>
        <x:v>0.75</x:v>
      </x:c>
      <x:c r="R718" s="9" t="n">
        <x:f>IF(K718=0,"n.a.",N718/K718)</x:f>
        <x:v>0.25</x:v>
      </x:c>
      <x:c r="S718" s="7" t="n">
        <x:v>103</x:v>
      </x:c>
      <x:c r="T718" s="10" t="n">
        <x:v>0.26</x:v>
      </x:c>
      <x:c r="U718" s="7" t="n">
        <x:v>386</x:v>
      </x:c>
      <x:c r="V718" s="7" t="n">
        <x:v>963</x:v>
      </x:c>
    </x:row>
    <x:row r="719" ht="16" customHeight="1">
      <x:c r="A719" s="7" t="n">
        <x:v>716</x:v>
      </x:c>
      <x:c r="B719" s="8" t="n">
        <x:v>46153</x:v>
      </x:c>
      <x:c r="C719" s="7" t="str">
        <x:v>Lotus</x:v>
      </x:c>
      <x:c r="D719" s="7" t="str">
        <x:v>MVP</x:v>
      </x:c>
      <x:c r="E719" s="7" t="str">
        <x:v>Jett</x:v>
      </x:c>
      <x:c r="F719" s="7" t="n">
        <x:v>13</x:v>
      </x:c>
      <x:c r="G719" s="7" t="n">
        <x:v>11</x:v>
      </x:c>
      <x:c r="H719" s="7" t="str">
        <x:f>IF(F719&gt;G719,"Win",IF(F719&lt;G719,"Loss","Draw"))</x:f>
        <x:v>Win</x:v>
      </x:c>
      <x:c r="I719" s="7" t="n">
        <x:f>IF(H719="Win",1,0)</x:f>
        <x:v>1</x:v>
      </x:c>
      <x:c r="J719" s="7" t="n">
        <x:f>F719-G719</x:f>
        <x:v>2</x:v>
      </x:c>
      <x:c r="K719" s="7" t="n">
        <x:f>F719+G719</x:f>
        <x:v>24</x:v>
      </x:c>
      <x:c r="L719" s="7" t="n">
        <x:v>30</x:v>
      </x:c>
      <x:c r="M719" s="7" t="n">
        <x:v>14</x:v>
      </x:c>
      <x:c r="N719" s="7" t="n">
        <x:v>6</x:v>
      </x:c>
      <x:c r="O719" s="9" t="n">
        <x:f>IF(M719=0,"n.a.",L719/M719)</x:f>
        <x:v>2.142857142857143</x:v>
      </x:c>
      <x:c r="P719" s="9" t="n">
        <x:f>IF(K719=0,"n.a.",L719/K719)</x:f>
        <x:v>1.25</x:v>
      </x:c>
      <x:c r="Q719" s="9" t="n">
        <x:f>IF(K719=0,"n.a.",M719/K719)</x:f>
        <x:v>0.5833333333333334</x:v>
      </x:c>
      <x:c r="R719" s="9" t="n">
        <x:f>IF(K719=0,"n.a.",N719/K719)</x:f>
        <x:v>0.25</x:v>
      </x:c>
      <x:c r="S719" s="7" t="n">
        <x:v>104</x:v>
      </x:c>
      <x:c r="T719" s="10" t="n">
        <x:v>0.3</x:v>
      </x:c>
      <x:c r="U719" s="7" t="n">
        <x:v>337</x:v>
      </x:c>
      <x:c r="V719" s="7" t="n">
        <x:v>954</x:v>
      </x:c>
    </x:row>
    <x:row r="720" ht="16" customHeight="1">
      <x:c r="A720" s="7" t="n">
        <x:v>717</x:v>
      </x:c>
      <x:c r="B720" s="8" t="n">
        <x:v>46153</x:v>
      </x:c>
      <x:c r="C720" s="7" t="str">
        <x:v>Ascent</x:v>
      </x:c>
      <x:c r="D720" s="7" t="str">
        <x:v>2nd</x:v>
      </x:c>
      <x:c r="E720" s="7" t="str">
        <x:v>Jett</x:v>
      </x:c>
      <x:c r="F720" s="7" t="n">
        <x:v>2</x:v>
      </x:c>
      <x:c r="G720" s="7" t="n">
        <x:v>13</x:v>
      </x:c>
      <x:c r="H720" s="7" t="str">
        <x:f>IF(F720&gt;G720,"Win",IF(F720&lt;G720,"Loss","Draw"))</x:f>
        <x:v>Loss</x:v>
      </x:c>
      <x:c r="I720" s="7" t="n">
        <x:f>IF(H720="Win",1,0)</x:f>
        <x:v>0</x:v>
      </x:c>
      <x:c r="J720" s="7" t="n">
        <x:f>F720-G720</x:f>
        <x:v>-11</x:v>
      </x:c>
      <x:c r="K720" s="7" t="n">
        <x:f>F720+G720</x:f>
        <x:v>15</x:v>
      </x:c>
      <x:c r="L720" s="7" t="n">
        <x:v>15</x:v>
      </x:c>
      <x:c r="M720" s="7" t="n">
        <x:v>17</x:v>
      </x:c>
      <x:c r="N720" s="7" t="n">
        <x:v>4</x:v>
      </x:c>
      <x:c r="O720" s="9" t="n">
        <x:f>IF(M720=0,"n.a.",L720/M720)</x:f>
        <x:v>0.8823529411764706</x:v>
      </x:c>
      <x:c r="P720" s="9" t="n">
        <x:f>IF(K720=0,"n.a.",L720/K720)</x:f>
        <x:v>1</x:v>
      </x:c>
      <x:c r="Q720" s="9" t="n">
        <x:f>IF(K720=0,"n.a.",M720/K720)</x:f>
        <x:v>1.1333333333333333</x:v>
      </x:c>
      <x:c r="R720" s="9" t="n">
        <x:f>IF(K720=0,"n.a.",N720/K720)</x:f>
        <x:v>0.26666666666666666</x:v>
      </x:c>
      <x:c r="S720" s="7" t="n">
        <x:v>-20</x:v>
      </x:c>
      <x:c r="T720" s="10" t="n">
        <x:v>0.26</x:v>
      </x:c>
      <x:c r="U720" s="7" t="n">
        <x:v>309</x:v>
      </x:c>
      <x:c r="V720" s="7" t="n">
        <x:v>621</x:v>
      </x:c>
    </x:row>
    <x:row r="721" ht="16" customHeight="1">
      <x:c r="A721" s="7" t="n">
        <x:v>718</x:v>
      </x:c>
      <x:c r="B721" s="8" t="n">
        <x:v>46153</x:v>
      </x:c>
      <x:c r="C721" s="7" t="str">
        <x:v>Pearl</x:v>
      </x:c>
      <x:c r="D721" s="7" t="str">
        <x:v>9th</x:v>
      </x:c>
      <x:c r="E721" s="7" t="str">
        <x:v>Astra</x:v>
      </x:c>
      <x:c r="F721" s="7" t="n">
        <x:v>12</x:v>
      </x:c>
      <x:c r="G721" s="7" t="n">
        <x:v>14</x:v>
      </x:c>
      <x:c r="H721" s="7" t="str">
        <x:f>IF(F721&gt;G721,"Win",IF(F721&lt;G721,"Loss","Draw"))</x:f>
        <x:v>Loss</x:v>
      </x:c>
      <x:c r="I721" s="7" t="n">
        <x:f>IF(H721="Win",1,0)</x:f>
        <x:v>0</x:v>
      </x:c>
      <x:c r="J721" s="7" t="n">
        <x:f>F721-G721</x:f>
        <x:v>-2</x:v>
      </x:c>
      <x:c r="K721" s="7" t="n">
        <x:f>F721+G721</x:f>
        <x:v>26</x:v>
      </x:c>
      <x:c r="L721" s="7" t="n">
        <x:v>11</x:v>
      </x:c>
      <x:c r="M721" s="7" t="n">
        <x:v>20</x:v>
      </x:c>
      <x:c r="N721" s="7" t="n">
        <x:v>4</x:v>
      </x:c>
      <x:c r="O721" s="9" t="n">
        <x:f>IF(M721=0,"n.a.",L721/M721)</x:f>
        <x:v>0.55</x:v>
      </x:c>
      <x:c r="P721" s="9" t="n">
        <x:f>IF(K721=0,"n.a.",L721/K721)</x:f>
        <x:v>0.4230769230769231</x:v>
      </x:c>
      <x:c r="Q721" s="9" t="n">
        <x:f>IF(K721=0,"n.a.",M721/K721)</x:f>
        <x:v>0.7692307692307693</x:v>
      </x:c>
      <x:c r="R721" s="9" t="n">
        <x:f>IF(K721=0,"n.a.",N721/K721)</x:f>
        <x:v>0.15384615384615385</x:v>
      </x:c>
      <x:c r="S721" s="7" t="n">
        <x:v>-62</x:v>
      </x:c>
      <x:c r="T721" s="10" t="n">
        <x:v>0.31</x:v>
      </x:c>
      <x:c r="U721" s="7" t="n">
        <x:v>120</x:v>
      </x:c>
      <x:c r="V721" s="7" t="n">
        <x:v>244</x:v>
      </x:c>
    </x:row>
    <x:row r="722" ht="16" customHeight="1">
      <x:c r="A722" s="7" t="n">
        <x:v>719</x:v>
      </x:c>
      <x:c r="B722" s="8" t="n">
        <x:v>46153</x:v>
      </x:c>
      <x:c r="C722" s="7" t="str">
        <x:v>Fracture</x:v>
      </x:c>
      <x:c r="D722" s="7" t="str">
        <x:v>10th</x:v>
      </x:c>
      <x:c r="E722" s="7" t="str">
        <x:v>Phoenix</x:v>
      </x:c>
      <x:c r="F722" s="7" t="n">
        <x:v>13</x:v>
      </x:c>
      <x:c r="G722" s="7" t="n">
        <x:v>11</x:v>
      </x:c>
      <x:c r="H722" s="7" t="str">
        <x:f>IF(F722&gt;G722,"Win",IF(F722&lt;G722,"Loss","Draw"))</x:f>
        <x:v>Win</x:v>
      </x:c>
      <x:c r="I722" s="7" t="n">
        <x:f>IF(H722="Win",1,0)</x:f>
        <x:v>1</x:v>
      </x:c>
      <x:c r="J722" s="7" t="n">
        <x:f>F722-G722</x:f>
        <x:v>2</x:v>
      </x:c>
      <x:c r="K722" s="7" t="n">
        <x:f>F722+G722</x:f>
        <x:v>24</x:v>
      </x:c>
      <x:c r="L722" s="7" t="n">
        <x:v>11</x:v>
      </x:c>
      <x:c r="M722" s="7" t="n">
        <x:v>19</x:v>
      </x:c>
      <x:c r="N722" s="7" t="n">
        <x:v>4</x:v>
      </x:c>
      <x:c r="O722" s="9" t="n">
        <x:f>IF(M722=0,"n.a.",L722/M722)</x:f>
        <x:v>0.5789473684210527</x:v>
      </x:c>
      <x:c r="P722" s="9" t="n">
        <x:f>IF(K722=0,"n.a.",L722/K722)</x:f>
        <x:v>0.4583333333333333</x:v>
      </x:c>
      <x:c r="Q722" s="9" t="n">
        <x:f>IF(K722=0,"n.a.",M722/K722)</x:f>
        <x:v>0.7916666666666666</x:v>
      </x:c>
      <x:c r="R722" s="9" t="n">
        <x:f>IF(K722=0,"n.a.",N722/K722)</x:f>
        <x:v>0.16666666666666666</x:v>
      </x:c>
      <x:c r="S722" s="7" t="n">
        <x:v>-51</x:v>
      </x:c>
      <x:c r="T722" s="10" t="n">
        <x:v>0.34</x:v>
      </x:c>
      <x:c r="U722" s="7" t="n">
        <x:v>135</x:v>
      </x:c>
      <x:c r="V722" s="7" t="n">
        <x:v>226</x:v>
      </x:c>
    </x:row>
    <x:row r="723" ht="16" customHeight="1">
      <x:c r="A723" s="7" t="n">
        <x:v>720</x:v>
      </x:c>
      <x:c r="B723" s="8" t="n">
        <x:v>46153</x:v>
      </x:c>
      <x:c r="C723" s="7" t="str">
        <x:v>Breeze</x:v>
      </x:c>
      <x:c r="D723" s="7" t="str">
        <x:v>4th</x:v>
      </x:c>
      <x:c r="E723" s="7" t="str">
        <x:v>Jett</x:v>
      </x:c>
      <x:c r="F723" s="7" t="n">
        <x:v>13</x:v>
      </x:c>
      <x:c r="G723" s="7" t="n">
        <x:v>8</x:v>
      </x:c>
      <x:c r="H723" s="7" t="str">
        <x:f>IF(F723&gt;G723,"Win",IF(F723&lt;G723,"Loss","Draw"))</x:f>
        <x:v>Win</x:v>
      </x:c>
      <x:c r="I723" s="7" t="n">
        <x:f>IF(H723="Win",1,0)</x:f>
        <x:v>1</x:v>
      </x:c>
      <x:c r="J723" s="7" t="n">
        <x:f>F723-G723</x:f>
        <x:v>5</x:v>
      </x:c>
      <x:c r="K723" s="7" t="n">
        <x:f>F723+G723</x:f>
        <x:v>21</x:v>
      </x:c>
      <x:c r="L723" s="7" t="n">
        <x:v>18</x:v>
      </x:c>
      <x:c r="M723" s="7" t="n">
        <x:v>14</x:v>
      </x:c>
      <x:c r="N723" s="7" t="n">
        <x:v>2</x:v>
      </x:c>
      <x:c r="O723" s="9" t="n">
        <x:f>IF(M723=0,"n.a.",L723/M723)</x:f>
        <x:v>1.2857142857142858</x:v>
      </x:c>
      <x:c r="P723" s="9" t="n">
        <x:f>IF(K723=0,"n.a.",L723/K723)</x:f>
        <x:v>0.8571428571428571</x:v>
      </x:c>
      <x:c r="Q723" s="9" t="n">
        <x:f>IF(K723=0,"n.a.",M723/K723)</x:f>
        <x:v>0.6666666666666666</x:v>
      </x:c>
      <x:c r="R723" s="9" t="n">
        <x:f>IF(K723=0,"n.a.",N723/K723)</x:f>
        <x:v>0.09523809523809523</x:v>
      </x:c>
      <x:c r="S723" s="7" t="n">
        <x:v>47</x:v>
      </x:c>
      <x:c r="T723" s="10" t="n">
        <x:v>0.26</x:v>
      </x:c>
      <x:c r="U723" s="7" t="n">
        <x:v>238</x:v>
      </x:c>
      <x:c r="V723" s="7" t="n">
        <x:v>650</x:v>
      </x:c>
    </x:row>
    <x:row r="724" ht="16" customHeight="1">
      <x:c r="A724" s="7" t="n">
        <x:v>721</x:v>
      </x:c>
      <x:c r="B724" s="8" t="n">
        <x:v>46153</x:v>
      </x:c>
      <x:c r="C724" s="7" t="str">
        <x:v>Split</x:v>
      </x:c>
      <x:c r="D724" s="7" t="str">
        <x:v>7th</x:v>
      </x:c>
      <x:c r="E724" s="7" t="str">
        <x:v>Jett</x:v>
      </x:c>
      <x:c r="F724" s="7" t="n">
        <x:v>8</x:v>
      </x:c>
      <x:c r="G724" s="7" t="n">
        <x:v>13</x:v>
      </x:c>
      <x:c r="H724" s="7" t="str">
        <x:f>IF(F724&gt;G724,"Win",IF(F724&lt;G724,"Loss","Draw"))</x:f>
        <x:v>Loss</x:v>
      </x:c>
      <x:c r="I724" s="7" t="n">
        <x:f>IF(H724="Win",1,0)</x:f>
        <x:v>0</x:v>
      </x:c>
      <x:c r="J724" s="7" t="n">
        <x:f>F724-G724</x:f>
        <x:v>-5</x:v>
      </x:c>
      <x:c r="K724" s="7" t="n">
        <x:f>F724+G724</x:f>
        <x:v>21</x:v>
      </x:c>
      <x:c r="L724" s="7" t="n">
        <x:v>14</x:v>
      </x:c>
      <x:c r="M724" s="7" t="n">
        <x:v>20</x:v>
      </x:c>
      <x:c r="N724" s="7" t="n">
        <x:v>3</x:v>
      </x:c>
      <x:c r="O724" s="9" t="n">
        <x:f>IF(M724=0,"n.a.",L724/M724)</x:f>
        <x:v>0.7</x:v>
      </x:c>
      <x:c r="P724" s="9" t="n">
        <x:f>IF(K724=0,"n.a.",L724/K724)</x:f>
        <x:v>0.6666666666666666</x:v>
      </x:c>
      <x:c r="Q724" s="9" t="n">
        <x:f>IF(K724=0,"n.a.",M724/K724)</x:f>
        <x:v>0.9523809523809523</x:v>
      </x:c>
      <x:c r="R724" s="9" t="n">
        <x:f>IF(K724=0,"n.a.",N724/K724)</x:f>
        <x:v>0.14285714285714285</x:v>
      </x:c>
      <x:c r="S724" s="7" t="n">
        <x:v>-35</x:v>
      </x:c>
      <x:c r="T724" s="10" t="n">
        <x:v>0.28</x:v>
      </x:c>
      <x:c r="U724" s="7" t="n">
        <x:v>198</x:v>
      </x:c>
      <x:c r="V724" s="7" t="n">
        <x:v>413</x:v>
      </x:c>
    </x:row>
    <x:row r="725" ht="16" customHeight="1">
      <x:c r="A725" s="7" t="n">
        <x:v>722</x:v>
      </x:c>
      <x:c r="B725" s="8" t="n">
        <x:v>46154</x:v>
      </x:c>
      <x:c r="C725" s="7" t="str">
        <x:v>Split</x:v>
      </x:c>
      <x:c r="D725" s="7" t="str">
        <x:v>MVP</x:v>
      </x:c>
      <x:c r="E725" s="7" t="str">
        <x:v>Jett</x:v>
      </x:c>
      <x:c r="F725" s="7" t="n">
        <x:v>13</x:v>
      </x:c>
      <x:c r="G725" s="7" t="n">
        <x:v>5</x:v>
      </x:c>
      <x:c r="H725" s="7" t="str">
        <x:f>IF(F725&gt;G725,"Win",IF(F725&lt;G725,"Loss","Draw"))</x:f>
        <x:v>Win</x:v>
      </x:c>
      <x:c r="I725" s="7" t="n">
        <x:f>IF(H725="Win",1,0)</x:f>
        <x:v>1</x:v>
      </x:c>
      <x:c r="J725" s="7" t="n">
        <x:f>F725-G725</x:f>
        <x:v>8</x:v>
      </x:c>
      <x:c r="K725" s="7" t="n">
        <x:f>F725+G725</x:f>
        <x:v>18</x:v>
      </x:c>
      <x:c r="L725" s="7" t="n">
        <x:v>20</x:v>
      </x:c>
      <x:c r="M725" s="7" t="n">
        <x:v>13</x:v>
      </x:c>
      <x:c r="N725" s="7" t="n">
        <x:v>6</x:v>
      </x:c>
      <x:c r="O725" s="9" t="n">
        <x:f>IF(M725=0,"n.a.",L725/M725)</x:f>
        <x:v>1.5384615384615385</x:v>
      </x:c>
      <x:c r="P725" s="9" t="n">
        <x:f>IF(K725=0,"n.a.",L725/K725)</x:f>
        <x:v>1.1111111111111112</x:v>
      </x:c>
      <x:c r="Q725" s="9" t="n">
        <x:f>IF(K725=0,"n.a.",M725/K725)</x:f>
        <x:v>0.7222222222222222</x:v>
      </x:c>
      <x:c r="R725" s="9" t="n">
        <x:f>IF(K725=0,"n.a.",N725/K725)</x:f>
        <x:v>0.3333333333333333</x:v>
      </x:c>
      <x:c r="S725" s="7" t="n">
        <x:v>74</x:v>
      </x:c>
      <x:c r="T725" s="10" t="n">
        <x:v>0.34</x:v>
      </x:c>
      <x:c r="U725" s="7" t="n">
        <x:v>313</x:v>
      </x:c>
      <x:c r="V725" s="7" t="n">
        <x:v>892</x:v>
      </x:c>
    </x:row>
    <x:row r="726" ht="16" customHeight="1">
      <x:c r="A726" s="7" t="n">
        <x:v>723</x:v>
      </x:c>
      <x:c r="B726" s="8" t="n">
        <x:v>46154</x:v>
      </x:c>
      <x:c r="C726" s="7" t="str">
        <x:v>Fracture</x:v>
      </x:c>
      <x:c r="D726" s="7" t="str">
        <x:v>MVP</x:v>
      </x:c>
      <x:c r="E726" s="7" t="str">
        <x:v>Jett</x:v>
      </x:c>
      <x:c r="F726" s="7" t="n">
        <x:v>6</x:v>
      </x:c>
      <x:c r="G726" s="7" t="n">
        <x:v>13</x:v>
      </x:c>
      <x:c r="H726" s="7" t="str">
        <x:f>IF(F726&gt;G726,"Win",IF(F726&lt;G726,"Loss","Draw"))</x:f>
        <x:v>Loss</x:v>
      </x:c>
      <x:c r="I726" s="7" t="n">
        <x:f>IF(H726="Win",1,0)</x:f>
        <x:v>0</x:v>
      </x:c>
      <x:c r="J726" s="7" t="n">
        <x:f>F726-G726</x:f>
        <x:v>-7</x:v>
      </x:c>
      <x:c r="K726" s="7" t="n">
        <x:f>F726+G726</x:f>
        <x:v>19</x:v>
      </x:c>
      <x:c r="L726" s="7" t="n">
        <x:v>21</x:v>
      </x:c>
      <x:c r="M726" s="7" t="n">
        <x:v>17</x:v>
      </x:c>
      <x:c r="N726" s="7" t="n">
        <x:v>2</x:v>
      </x:c>
      <x:c r="O726" s="9" t="n">
        <x:f>IF(M726=0,"n.a.",L726/M726)</x:f>
        <x:v>1.2352941176470589</x:v>
      </x:c>
      <x:c r="P726" s="9" t="n">
        <x:f>IF(K726=0,"n.a.",L726/K726)</x:f>
        <x:v>1.105263157894737</x:v>
      </x:c>
      <x:c r="Q726" s="9" t="n">
        <x:f>IF(K726=0,"n.a.",M726/K726)</x:f>
        <x:v>0.8947368421052632</x:v>
      </x:c>
      <x:c r="R726" s="9" t="n">
        <x:f>IF(K726=0,"n.a.",N726/K726)</x:f>
        <x:v>0.10526315789473684</x:v>
      </x:c>
      <x:c r="S726" s="7" t="n">
        <x:v>34</x:v>
      </x:c>
      <x:c r="T726" s="10" t="n">
        <x:v>0.34</x:v>
      </x:c>
      <x:c r="U726" s="7" t="n">
        <x:v>338</x:v>
      </x:c>
      <x:c r="V726" s="7" t="n">
        <x:v>754</x:v>
      </x:c>
    </x:row>
    <x:row r="727" ht="16" customHeight="1">
      <x:c r="A727" s="7" t="n">
        <x:v>724</x:v>
      </x:c>
      <x:c r="B727" s="8" t="n">
        <x:v>46155</x:v>
      </x:c>
      <x:c r="C727" s="7" t="str">
        <x:v>Haven</x:v>
      </x:c>
      <x:c r="D727" s="7" t="str">
        <x:v>2nd</x:v>
      </x:c>
      <x:c r="E727" s="7" t="str">
        <x:v>Jett</x:v>
      </x:c>
      <x:c r="F727" s="7" t="n">
        <x:v>5</x:v>
      </x:c>
      <x:c r="G727" s="7" t="n">
        <x:v>13</x:v>
      </x:c>
      <x:c r="H727" s="7" t="str">
        <x:f>IF(F727&gt;G727,"Win",IF(F727&lt;G727,"Loss","Draw"))</x:f>
        <x:v>Loss</x:v>
      </x:c>
      <x:c r="I727" s="7" t="n">
        <x:f>IF(H727="Win",1,0)</x:f>
        <x:v>0</x:v>
      </x:c>
      <x:c r="J727" s="7" t="n">
        <x:f>F727-G727</x:f>
        <x:v>-8</x:v>
      </x:c>
      <x:c r="K727" s="7" t="n">
        <x:f>F727+G727</x:f>
        <x:v>18</x:v>
      </x:c>
      <x:c r="L727" s="7" t="n">
        <x:v>15</x:v>
      </x:c>
      <x:c r="M727" s="7" t="n">
        <x:v>14</x:v>
      </x:c>
      <x:c r="N727" s="7" t="n">
        <x:v>3</x:v>
      </x:c>
      <x:c r="O727" s="9" t="n">
        <x:f>IF(M727=0,"n.a.",L727/M727)</x:f>
        <x:v>1.0714285714285714</x:v>
      </x:c>
      <x:c r="P727" s="9" t="n">
        <x:f>IF(K727=0,"n.a.",L727/K727)</x:f>
        <x:v>0.8333333333333334</x:v>
      </x:c>
      <x:c r="Q727" s="9" t="n">
        <x:f>IF(K727=0,"n.a.",M727/K727)</x:f>
        <x:v>0.7777777777777778</x:v>
      </x:c>
      <x:c r="R727" s="9" t="n">
        <x:f>IF(K727=0,"n.a.",N727/K727)</x:f>
        <x:v>0.16666666666666666</x:v>
      </x:c>
      <x:c r="S727" s="7" t="n">
        <x:v>22</x:v>
      </x:c>
      <x:c r="T727" s="10" t="n">
        <x:v>0.25</x:v>
      </x:c>
      <x:c r="U727" s="7" t="n">
        <x:v>251</x:v>
      </x:c>
      <x:c r="V727" s="7" t="n">
        <x:v>535</x:v>
      </x:c>
    </x:row>
    <x:row r="728" ht="16" customHeight="1">
      <x:c r="A728" s="7" t="n">
        <x:v>725</x:v>
      </x:c>
      <x:c r="B728" s="8" t="n">
        <x:v>46155</x:v>
      </x:c>
      <x:c r="C728" s="7" t="str">
        <x:v>Breeze</x:v>
      </x:c>
      <x:c r="D728" s="7" t="str">
        <x:v>4th</x:v>
      </x:c>
      <x:c r="E728" s="7" t="str">
        <x:v>Jett</x:v>
      </x:c>
      <x:c r="F728" s="7" t="n">
        <x:v>12</x:v>
      </x:c>
      <x:c r="G728" s="7" t="n">
        <x:v>14</x:v>
      </x:c>
      <x:c r="H728" s="7" t="str">
        <x:f>IF(F728&gt;G728,"Win",IF(F728&lt;G728,"Loss","Draw"))</x:f>
        <x:v>Loss</x:v>
      </x:c>
      <x:c r="I728" s="7" t="n">
        <x:f>IF(H728="Win",1,0)</x:f>
        <x:v>0</x:v>
      </x:c>
      <x:c r="J728" s="7" t="n">
        <x:f>F728-G728</x:f>
        <x:v>-2</x:v>
      </x:c>
      <x:c r="K728" s="7" t="n">
        <x:f>F728+G728</x:f>
        <x:v>26</x:v>
      </x:c>
      <x:c r="L728" s="7" t="n">
        <x:v>20</x:v>
      </x:c>
      <x:c r="M728" s="7" t="n">
        <x:v>26</x:v>
      </x:c>
      <x:c r="N728" s="7" t="n">
        <x:v>6</x:v>
      </x:c>
      <x:c r="O728" s="9" t="n">
        <x:f>IF(M728=0,"n.a.",L728/M728)</x:f>
        <x:v>0.7692307692307693</x:v>
      </x:c>
      <x:c r="P728" s="9" t="n">
        <x:f>IF(K728=0,"n.a.",L728/K728)</x:f>
        <x:v>0.7692307692307693</x:v>
      </x:c>
      <x:c r="Q728" s="9" t="n">
        <x:f>IF(K728=0,"n.a.",M728/K728)</x:f>
        <x:v>1</x:v>
      </x:c>
      <x:c r="R728" s="9" t="n">
        <x:f>IF(K728=0,"n.a.",N728/K728)</x:f>
        <x:v>0.23076923076923078</x:v>
      </x:c>
      <x:c r="S728" s="7" t="n">
        <x:v>-39</x:v>
      </x:c>
      <x:c r="T728" s="10" t="n">
        <x:v>0.25</x:v>
      </x:c>
      <x:c r="U728" s="7" t="n">
        <x:v>247</x:v>
      </x:c>
      <x:c r="V728" s="7" t="n">
        <x:v>541</x:v>
      </x:c>
    </x:row>
    <x:row r="729" ht="16" customHeight="1">
      <x:c r="A729" s="7" t="n">
        <x:v>726</x:v>
      </x:c>
      <x:c r="B729" s="8" t="n">
        <x:v>46155</x:v>
      </x:c>
      <x:c r="C729" s="7" t="str">
        <x:v>Lotus</x:v>
      </x:c>
      <x:c r="D729" s="7" t="str">
        <x:v>3rd</x:v>
      </x:c>
      <x:c r="E729" s="7" t="str">
        <x:v>Jett</x:v>
      </x:c>
      <x:c r="F729" s="7" t="n">
        <x:v>13</x:v>
      </x:c>
      <x:c r="G729" s="7" t="n">
        <x:v>6</x:v>
      </x:c>
      <x:c r="H729" s="7" t="str">
        <x:f>IF(F729&gt;G729,"Win",IF(F729&lt;G729,"Loss","Draw"))</x:f>
        <x:v>Win</x:v>
      </x:c>
      <x:c r="I729" s="7" t="n">
        <x:f>IF(H729="Win",1,0)</x:f>
        <x:v>1</x:v>
      </x:c>
      <x:c r="J729" s="7" t="n">
        <x:f>F729-G729</x:f>
        <x:v>7</x:v>
      </x:c>
      <x:c r="K729" s="7" t="n">
        <x:f>F729+G729</x:f>
        <x:v>19</x:v>
      </x:c>
      <x:c r="L729" s="7" t="n">
        <x:v>17</x:v>
      </x:c>
      <x:c r="M729" s="7" t="n">
        <x:v>13</x:v>
      </x:c>
      <x:c r="N729" s="7" t="n">
        <x:v>3</x:v>
      </x:c>
      <x:c r="O729" s="9" t="n">
        <x:f>IF(M729=0,"n.a.",L729/M729)</x:f>
        <x:v>1.3076923076923077</x:v>
      </x:c>
      <x:c r="P729" s="9" t="n">
        <x:f>IF(K729=0,"n.a.",L729/K729)</x:f>
        <x:v>0.8947368421052632</x:v>
      </x:c>
      <x:c r="Q729" s="9" t="n">
        <x:f>IF(K729=0,"n.a.",M729/K729)</x:f>
        <x:v>0.6842105263157895</x:v>
      </x:c>
      <x:c r="R729" s="9" t="n">
        <x:f>IF(K729=0,"n.a.",N729/K729)</x:f>
        <x:v>0.15789473684210525</x:v>
      </x:c>
      <x:c r="S729" s="7" t="n">
        <x:v>24</x:v>
      </x:c>
      <x:c r="T729" s="10" t="n">
        <x:v>0.24</x:v>
      </x:c>
      <x:c r="U729" s="7" t="n">
        <x:v>242</x:v>
      </x:c>
      <x:c r="V729" s="7" t="n">
        <x:v>725</x:v>
      </x:c>
    </x:row>
    <x:row r="730" ht="16" customHeight="1">
      <x:c r="A730" s="7" t="n">
        <x:v>727</x:v>
      </x:c>
      <x:c r="B730" s="8" t="n">
        <x:v>46155</x:v>
      </x:c>
      <x:c r="C730" s="7" t="str">
        <x:v>Lotus</x:v>
      </x:c>
      <x:c r="D730" s="7" t="str">
        <x:v>4th</x:v>
      </x:c>
      <x:c r="E730" s="7" t="str">
        <x:v>Raze</x:v>
      </x:c>
      <x:c r="F730" s="7" t="n">
        <x:v>4</x:v>
      </x:c>
      <x:c r="G730" s="7" t="n">
        <x:v>13</x:v>
      </x:c>
      <x:c r="H730" s="7" t="str">
        <x:f>IF(F730&gt;G730,"Win",IF(F730&lt;G730,"Loss","Draw"))</x:f>
        <x:v>Loss</x:v>
      </x:c>
      <x:c r="I730" s="7" t="n">
        <x:f>IF(H730="Win",1,0)</x:f>
        <x:v>0</x:v>
      </x:c>
      <x:c r="J730" s="7" t="n">
        <x:f>F730-G730</x:f>
        <x:v>-9</x:v>
      </x:c>
      <x:c r="K730" s="7" t="n">
        <x:f>F730+G730</x:f>
        <x:v>17</x:v>
      </x:c>
      <x:c r="L730" s="7" t="n">
        <x:v>14</x:v>
      </x:c>
      <x:c r="M730" s="7" t="n">
        <x:v>15</x:v>
      </x:c>
      <x:c r="N730" s="7" t="n">
        <x:v>2</x:v>
      </x:c>
      <x:c r="O730" s="9" t="n">
        <x:f>IF(M730=0,"n.a.",L730/M730)</x:f>
        <x:v>0.9333333333333333</x:v>
      </x:c>
      <x:c r="P730" s="9" t="n">
        <x:f>IF(K730=0,"n.a.",L730/K730)</x:f>
        <x:v>0.8235294117647058</x:v>
      </x:c>
      <x:c r="Q730" s="9" t="n">
        <x:f>IF(K730=0,"n.a.",M730/K730)</x:f>
        <x:v>0.8823529411764706</x:v>
      </x:c>
      <x:c r="R730" s="9" t="n">
        <x:f>IF(K730=0,"n.a.",N730/K730)</x:f>
        <x:v>0.11764705882352941</x:v>
      </x:c>
      <x:c r="S730" s="7" t="n">
        <x:v>-4</x:v>
      </x:c>
      <x:c r="T730" s="10" t="n">
        <x:v>0.21</x:v>
      </x:c>
      <x:c r="U730" s="7" t="n">
        <x:v>230</x:v>
      </x:c>
      <x:c r="V730" s="7" t="n">
        <x:v>438</x:v>
      </x:c>
    </x:row>
    <x:row r="731" ht="16" customHeight="1">
      <x:c r="A731" s="7" t="n">
        <x:v>728</x:v>
      </x:c>
      <x:c r="B731" s="8" t="n">
        <x:v>46156</x:v>
      </x:c>
      <x:c r="C731" s="7" t="str">
        <x:v>Ascent</x:v>
      </x:c>
      <x:c r="D731" s="7" t="str">
        <x:v>4th</x:v>
      </x:c>
      <x:c r="E731" s="7" t="str">
        <x:v>Reyna</x:v>
      </x:c>
      <x:c r="F731" s="7" t="n">
        <x:v>13</x:v>
      </x:c>
      <x:c r="G731" s="7" t="n">
        <x:v>9</x:v>
      </x:c>
      <x:c r="H731" s="7" t="str">
        <x:f>IF(F731&gt;G731,"Win",IF(F731&lt;G731,"Loss","Draw"))</x:f>
        <x:v>Win</x:v>
      </x:c>
      <x:c r="I731" s="7" t="n">
        <x:f>IF(H731="Win",1,0)</x:f>
        <x:v>1</x:v>
      </x:c>
      <x:c r="J731" s="7" t="n">
        <x:f>F731-G731</x:f>
        <x:v>4</x:v>
      </x:c>
      <x:c r="K731" s="7" t="n">
        <x:f>F731+G731</x:f>
        <x:v>22</x:v>
      </x:c>
      <x:c r="L731" s="7" t="n">
        <x:v>20</x:v>
      </x:c>
      <x:c r="M731" s="7" t="n">
        <x:v>16</x:v>
      </x:c>
      <x:c r="N731" s="7" t="n">
        <x:v>2</x:v>
      </x:c>
      <x:c r="O731" s="9" t="n">
        <x:f>IF(M731=0,"n.a.",L731/M731)</x:f>
        <x:v>1.25</x:v>
      </x:c>
      <x:c r="P731" s="9" t="n">
        <x:f>IF(K731=0,"n.a.",L731/K731)</x:f>
        <x:v>0.9090909090909091</x:v>
      </x:c>
      <x:c r="Q731" s="9" t="n">
        <x:f>IF(K731=0,"n.a.",M731/K731)</x:f>
        <x:v>0.7272727272727273</x:v>
      </x:c>
      <x:c r="R731" s="9" t="n">
        <x:f>IF(K731=0,"n.a.",N731/K731)</x:f>
        <x:v>0.09090909090909091</x:v>
      </x:c>
      <x:c r="S731" s="7" t="n">
        <x:v>7</x:v>
      </x:c>
      <x:c r="T731" s="10" t="n">
        <x:v>0.27</x:v>
      </x:c>
      <x:c r="U731" s="7" t="n">
        <x:v>252</x:v>
      </x:c>
      <x:c r="V731" s="7" t="n">
        <x:v>616</x:v>
      </x:c>
    </x:row>
    <x:row r="732" ht="16" customHeight="1">
      <x:c r="A732" s="7" t="n">
        <x:v>729</x:v>
      </x:c>
      <x:c r="B732" s="8" t="n">
        <x:v>46156</x:v>
      </x:c>
      <x:c r="C732" s="7" t="str">
        <x:v>Fracture</x:v>
      </x:c>
      <x:c r="D732" s="7" t="str">
        <x:v>9th</x:v>
      </x:c>
      <x:c r="E732" s="7" t="str">
        <x:v>Jett</x:v>
      </x:c>
      <x:c r="F732" s="7" t="n">
        <x:v>4</x:v>
      </x:c>
      <x:c r="G732" s="7" t="n">
        <x:v>13</x:v>
      </x:c>
      <x:c r="H732" s="7" t="str">
        <x:f>IF(F732&gt;G732,"Win",IF(F732&lt;G732,"Loss","Draw"))</x:f>
        <x:v>Loss</x:v>
      </x:c>
      <x:c r="I732" s="7" t="n">
        <x:f>IF(H732="Win",1,0)</x:f>
        <x:v>0</x:v>
      </x:c>
      <x:c r="J732" s="7" t="n">
        <x:f>F732-G732</x:f>
        <x:v>-9</x:v>
      </x:c>
      <x:c r="K732" s="7" t="n">
        <x:f>F732+G732</x:f>
        <x:v>17</x:v>
      </x:c>
      <x:c r="L732" s="7" t="n">
        <x:v>8</x:v>
      </x:c>
      <x:c r="M732" s="7" t="n">
        <x:v>15</x:v>
      </x:c>
      <x:c r="N732" s="7" t="n">
        <x:v>2</x:v>
      </x:c>
      <x:c r="O732" s="9" t="n">
        <x:f>IF(M732=0,"n.a.",L732/M732)</x:f>
        <x:v>0.5333333333333333</x:v>
      </x:c>
      <x:c r="P732" s="9" t="n">
        <x:f>IF(K732=0,"n.a.",L732/K732)</x:f>
        <x:v>0.47058823529411764</x:v>
      </x:c>
      <x:c r="Q732" s="9" t="n">
        <x:f>IF(K732=0,"n.a.",M732/K732)</x:f>
        <x:v>0.8823529411764706</x:v>
      </x:c>
      <x:c r="R732" s="9" t="n">
        <x:f>IF(K732=0,"n.a.",N732/K732)</x:f>
        <x:v>0.11764705882352941</x:v>
      </x:c>
      <x:c r="S732" s="7" t="n">
        <x:v>-62</x:v>
      </x:c>
      <x:c r="T732" s="10" t="n">
        <x:v>0.14</x:v>
      </x:c>
      <x:c r="U732" s="7" t="n">
        <x:v>136</x:v>
      </x:c>
      <x:c r="V732" s="7" t="n">
        <x:v>121</x:v>
      </x:c>
    </x:row>
    <x:row r="733" ht="16" customHeight="1">
      <x:c r="A733" s="7" t="n">
        <x:v>730</x:v>
      </x:c>
      <x:c r="B733" s="8" t="n">
        <x:v>46156</x:v>
      </x:c>
      <x:c r="C733" s="7" t="str">
        <x:v>Ascent</x:v>
      </x:c>
      <x:c r="D733" s="7" t="str">
        <x:v>5th</x:v>
      </x:c>
      <x:c r="E733" s="7" t="str">
        <x:v>Neon</x:v>
      </x:c>
      <x:c r="F733" s="7" t="n">
        <x:v>5</x:v>
      </x:c>
      <x:c r="G733" s="7" t="n">
        <x:v>13</x:v>
      </x:c>
      <x:c r="H733" s="7" t="str">
        <x:f>IF(F733&gt;G733,"Win",IF(F733&lt;G733,"Loss","Draw"))</x:f>
        <x:v>Loss</x:v>
      </x:c>
      <x:c r="I733" s="7" t="n">
        <x:f>IF(H733="Win",1,0)</x:f>
        <x:v>0</x:v>
      </x:c>
      <x:c r="J733" s="7" t="n">
        <x:f>F733-G733</x:f>
        <x:v>-8</x:v>
      </x:c>
      <x:c r="K733" s="7" t="n">
        <x:f>F733+G733</x:f>
        <x:v>18</x:v>
      </x:c>
      <x:c r="L733" s="7" t="n">
        <x:v>11</x:v>
      </x:c>
      <x:c r="M733" s="7" t="n">
        <x:v>17</x:v>
      </x:c>
      <x:c r="N733" s="7" t="n">
        <x:v>7</x:v>
      </x:c>
      <x:c r="O733" s="9" t="n">
        <x:f>IF(M733=0,"n.a.",L733/M733)</x:f>
        <x:v>0.6470588235294118</x:v>
      </x:c>
      <x:c r="P733" s="9" t="n">
        <x:f>IF(K733=0,"n.a.",L733/K733)</x:f>
        <x:v>0.6111111111111112</x:v>
      </x:c>
      <x:c r="Q733" s="9" t="n">
        <x:f>IF(K733=0,"n.a.",M733/K733)</x:f>
        <x:v>0.9444444444444444</x:v>
      </x:c>
      <x:c r="R733" s="9" t="n">
        <x:f>IF(K733=0,"n.a.",N733/K733)</x:f>
        <x:v>0.3888888888888889</x:v>
      </x:c>
      <x:c r="S733" s="7" t="n">
        <x:v>-36</x:v>
      </x:c>
      <x:c r="T733" s="10" t="n">
        <x:v>0.14</x:v>
      </x:c>
      <x:c r="U733" s="7" t="n">
        <x:v>211</x:v>
      </x:c>
      <x:c r="V733" s="7" t="n">
        <x:v>323</x:v>
      </x:c>
    </x:row>
    <x:row r="734" ht="16" customHeight="1">
      <x:c r="A734" s="7" t="n">
        <x:v>731</x:v>
      </x:c>
      <x:c r="B734" s="8" t="n">
        <x:v>46156</x:v>
      </x:c>
      <x:c r="C734" s="7" t="str">
        <x:v>Lotus</x:v>
      </x:c>
      <x:c r="D734" s="7" t="str">
        <x:v>2nd</x:v>
      </x:c>
      <x:c r="E734" s="7" t="str">
        <x:v>Jett</x:v>
      </x:c>
      <x:c r="F734" s="7" t="n">
        <x:v>13</x:v>
      </x:c>
      <x:c r="G734" s="7" t="n">
        <x:v>6</x:v>
      </x:c>
      <x:c r="H734" s="7" t="str">
        <x:f>IF(F734&gt;G734,"Win",IF(F734&lt;G734,"Loss","Draw"))</x:f>
        <x:v>Win</x:v>
      </x:c>
      <x:c r="I734" s="7" t="n">
        <x:f>IF(H734="Win",1,0)</x:f>
        <x:v>1</x:v>
      </x:c>
      <x:c r="J734" s="7" t="n">
        <x:f>F734-G734</x:f>
        <x:v>7</x:v>
      </x:c>
      <x:c r="K734" s="7" t="n">
        <x:f>F734+G734</x:f>
        <x:v>19</x:v>
      </x:c>
      <x:c r="L734" s="7" t="n">
        <x:v>20</x:v>
      </x:c>
      <x:c r="M734" s="7" t="n">
        <x:v>17</x:v>
      </x:c>
      <x:c r="N734" s="7" t="n">
        <x:v>3</x:v>
      </x:c>
      <x:c r="O734" s="9" t="n">
        <x:f>IF(M734=0,"n.a.",L734/M734)</x:f>
        <x:v>1.1764705882352942</x:v>
      </x:c>
      <x:c r="P734" s="9" t="n">
        <x:f>IF(K734=0,"n.a.",L734/K734)</x:f>
        <x:v>1.0526315789473684</x:v>
      </x:c>
      <x:c r="Q734" s="9" t="n">
        <x:f>IF(K734=0,"n.a.",M734/K734)</x:f>
        <x:v>0.8947368421052632</x:v>
      </x:c>
      <x:c r="R734" s="9" t="n">
        <x:f>IF(K734=0,"n.a.",N734/K734)</x:f>
        <x:v>0.15789473684210525</x:v>
      </x:c>
      <x:c r="S734" s="7" t="n">
        <x:v>-1</x:v>
      </x:c>
      <x:c r="T734" s="10" t="n">
        <x:v>0.28</x:v>
      </x:c>
      <x:c r="U734" s="7" t="n">
        <x:v>291</x:v>
      </x:c>
      <x:c r="V734" s="7" t="n">
        <x:v>828</x:v>
      </x:c>
    </x:row>
    <x:row r="735" ht="16" customHeight="1">
      <x:c r="A735" s="7" t="n">
        <x:v>732</x:v>
      </x:c>
      <x:c r="B735" s="8" t="n">
        <x:v>46156</x:v>
      </x:c>
      <x:c r="C735" s="7" t="str">
        <x:v>Split</x:v>
      </x:c>
      <x:c r="D735" s="7" t="str">
        <x:v>4th</x:v>
      </x:c>
      <x:c r="E735" s="7" t="str">
        <x:v>Jett</x:v>
      </x:c>
      <x:c r="F735" s="7" t="n">
        <x:v>13</x:v>
      </x:c>
      <x:c r="G735" s="7" t="n">
        <x:v>9</x:v>
      </x:c>
      <x:c r="H735" s="7" t="str">
        <x:f>IF(F735&gt;G735,"Win",IF(F735&lt;G735,"Loss","Draw"))</x:f>
        <x:v>Win</x:v>
      </x:c>
      <x:c r="I735" s="7" t="n">
        <x:f>IF(H735="Win",1,0)</x:f>
        <x:v>1</x:v>
      </x:c>
      <x:c r="J735" s="7" t="n">
        <x:f>F735-G735</x:f>
        <x:v>4</x:v>
      </x:c>
      <x:c r="K735" s="7" t="n">
        <x:f>F735+G735</x:f>
        <x:v>22</x:v>
      </x:c>
      <x:c r="L735" s="7" t="n">
        <x:v>23</x:v>
      </x:c>
      <x:c r="M735" s="7" t="n">
        <x:v>21</x:v>
      </x:c>
      <x:c r="N735" s="7" t="n">
        <x:v>5</x:v>
      </x:c>
      <x:c r="O735" s="9" t="n">
        <x:f>IF(M735=0,"n.a.",L735/M735)</x:f>
        <x:v>1.0952380952380953</x:v>
      </x:c>
      <x:c r="P735" s="9" t="n">
        <x:f>IF(K735=0,"n.a.",L735/K735)</x:f>
        <x:v>1.0454545454545454</x:v>
      </x:c>
      <x:c r="Q735" s="9" t="n">
        <x:f>IF(K735=0,"n.a.",M735/K735)</x:f>
        <x:v>0.9545454545454546</x:v>
      </x:c>
      <x:c r="R735" s="9" t="n">
        <x:f>IF(K735=0,"n.a.",N735/K735)</x:f>
        <x:v>0.22727272727272727</x:v>
      </x:c>
      <x:c r="S735" s="7" t="n">
        <x:v>11</x:v>
      </x:c>
      <x:c r="T735" s="10" t="n">
        <x:v>0.33</x:v>
      </x:c>
      <x:c r="U735" s="7" t="n">
        <x:v>292</x:v>
      </x:c>
      <x:c r="V735" s="7" t="n">
        <x:v>836</x:v>
      </x:c>
    </x:row>
    <x:row r="736" ht="16" customHeight="1">
      <x:c r="A736" s="7" t="n">
        <x:v>733</x:v>
      </x:c>
      <x:c r="B736" s="8" t="n">
        <x:v>46156</x:v>
      </x:c>
      <x:c r="C736" s="7" t="str">
        <x:v>Haven</x:v>
      </x:c>
      <x:c r="D736" s="7" t="str">
        <x:v>4th</x:v>
      </x:c>
      <x:c r="E736" s="7" t="str">
        <x:v>Iso</x:v>
      </x:c>
      <x:c r="F736" s="7" t="n">
        <x:v>13</x:v>
      </x:c>
      <x:c r="G736" s="7" t="n">
        <x:v>9</x:v>
      </x:c>
      <x:c r="H736" s="7" t="str">
        <x:f>IF(F736&gt;G736,"Win",IF(F736&lt;G736,"Loss","Draw"))</x:f>
        <x:v>Win</x:v>
      </x:c>
      <x:c r="I736" s="7" t="n">
        <x:f>IF(H736="Win",1,0)</x:f>
        <x:v>1</x:v>
      </x:c>
      <x:c r="J736" s="7" t="n">
        <x:f>F736-G736</x:f>
        <x:v>4</x:v>
      </x:c>
      <x:c r="K736" s="7" t="n">
        <x:f>F736+G736</x:f>
        <x:v>22</x:v>
      </x:c>
      <x:c r="L736" s="7" t="n">
        <x:v>17</x:v>
      </x:c>
      <x:c r="M736" s="7" t="n">
        <x:v>17</x:v>
      </x:c>
      <x:c r="N736" s="7" t="n">
        <x:v>2</x:v>
      </x:c>
      <x:c r="O736" s="9" t="n">
        <x:f>IF(M736=0,"n.a.",L736/M736)</x:f>
        <x:v>1</x:v>
      </x:c>
      <x:c r="P736" s="9" t="n">
        <x:f>IF(K736=0,"n.a.",L736/K736)</x:f>
        <x:v>0.7727272727272727</x:v>
      </x:c>
      <x:c r="Q736" s="9" t="n">
        <x:f>IF(K736=0,"n.a.",M736/K736)</x:f>
        <x:v>0.7727272727272727</x:v>
      </x:c>
      <x:c r="R736" s="9" t="n">
        <x:f>IF(K736=0,"n.a.",N736/K736)</x:f>
        <x:v>0.09090909090909091</x:v>
      </x:c>
      <x:c r="S736" s="7" t="n">
        <x:v>5</x:v>
      </x:c>
      <x:c r="T736" s="10" t="n">
        <x:v>0.34</x:v>
      </x:c>
      <x:c r="U736" s="7" t="n">
        <x:v>222</x:v>
      </x:c>
      <x:c r="V736" s="7" t="n">
        <x:v>604</x:v>
      </x:c>
    </x:row>
    <x:row r="737" ht="16" customHeight="1">
      <x:c r="A737" s="7" t="n">
        <x:v>734</x:v>
      </x:c>
      <x:c r="B737" s="8" t="n">
        <x:v>46156</x:v>
      </x:c>
      <x:c r="C737" s="7" t="str">
        <x:v>Ascent</x:v>
      </x:c>
      <x:c r="D737" s="7" t="str">
        <x:v>MVP</x:v>
      </x:c>
      <x:c r="E737" s="7" t="str">
        <x:v>Chamber</x:v>
      </x:c>
      <x:c r="F737" s="7" t="n">
        <x:v>13</x:v>
      </x:c>
      <x:c r="G737" s="7" t="n">
        <x:v>3</x:v>
      </x:c>
      <x:c r="H737" s="7" t="str">
        <x:f>IF(F737&gt;G737,"Win",IF(F737&lt;G737,"Loss","Draw"))</x:f>
        <x:v>Win</x:v>
      </x:c>
      <x:c r="I737" s="7" t="n">
        <x:f>IF(H737="Win",1,0)</x:f>
        <x:v>1</x:v>
      </x:c>
      <x:c r="J737" s="7" t="n">
        <x:f>F737-G737</x:f>
        <x:v>10</x:v>
      </x:c>
      <x:c r="K737" s="7" t="n">
        <x:f>F737+G737</x:f>
        <x:v>16</x:v>
      </x:c>
      <x:c r="L737" s="7" t="n">
        <x:v>20</x:v>
      </x:c>
      <x:c r="M737" s="7" t="n">
        <x:v>11</x:v>
      </x:c>
      <x:c r="N737" s="7" t="n">
        <x:v>0</x:v>
      </x:c>
      <x:c r="O737" s="9" t="n">
        <x:f>IF(M737=0,"n.a.",L737/M737)</x:f>
        <x:v>1.8181818181818181</x:v>
      </x:c>
      <x:c r="P737" s="9" t="n">
        <x:f>IF(K737=0,"n.a.",L737/K737)</x:f>
        <x:v>1.25</x:v>
      </x:c>
      <x:c r="Q737" s="9" t="n">
        <x:f>IF(K737=0,"n.a.",M737/K737)</x:f>
        <x:v>0.6875</x:v>
      </x:c>
      <x:c r="R737" s="9" t="n">
        <x:f>IF(K737=0,"n.a.",N737/K737)</x:f>
        <x:v>0</x:v>
      </x:c>
      <x:c r="S737" s="7" t="n">
        <x:v>58</x:v>
      </x:c>
      <x:c r="T737" s="10" t="n">
        <x:v>0.64</x:v>
      </x:c>
      <x:c r="U737" s="7" t="n">
        <x:v>315</x:v>
      </x:c>
      <x:c r="V737" s="7" t="n">
        <x:v>907</x:v>
      </x:c>
    </x:row>
    <x:row r="738" ht="16" customHeight="1">
      <x:c r="A738" s="7" t="n">
        <x:v>735</x:v>
      </x:c>
      <x:c r="B738" s="8" t="n">
        <x:v>46156</x:v>
      </x:c>
      <x:c r="C738" s="7" t="str">
        <x:v>Breeze</x:v>
      </x:c>
      <x:c r="D738" s="7" t="str">
        <x:v>3rd</x:v>
      </x:c>
      <x:c r="E738" s="7" t="str">
        <x:v>Jett</x:v>
      </x:c>
      <x:c r="F738" s="7" t="n">
        <x:v>13</x:v>
      </x:c>
      <x:c r="G738" s="7" t="n">
        <x:v>8</x:v>
      </x:c>
      <x:c r="H738" s="7" t="str">
        <x:f>IF(F738&gt;G738,"Win",IF(F738&lt;G738,"Loss","Draw"))</x:f>
        <x:v>Win</x:v>
      </x:c>
      <x:c r="I738" s="7" t="n">
        <x:f>IF(H738="Win",1,0)</x:f>
        <x:v>1</x:v>
      </x:c>
      <x:c r="J738" s="7" t="n">
        <x:f>F738-G738</x:f>
        <x:v>5</x:v>
      </x:c>
      <x:c r="K738" s="7" t="n">
        <x:f>F738+G738</x:f>
        <x:v>21</x:v>
      </x:c>
      <x:c r="L738" s="7" t="n">
        <x:v>21</x:v>
      </x:c>
      <x:c r="M738" s="7" t="n">
        <x:v>14</x:v>
      </x:c>
      <x:c r="N738" s="7" t="n">
        <x:v>1</x:v>
      </x:c>
      <x:c r="O738" s="9" t="n">
        <x:f>IF(M738=0,"n.a.",L738/M738)</x:f>
        <x:v>1.5</x:v>
      </x:c>
      <x:c r="P738" s="9" t="n">
        <x:f>IF(K738=0,"n.a.",L738/K738)</x:f>
        <x:v>1</x:v>
      </x:c>
      <x:c r="Q738" s="9" t="n">
        <x:f>IF(K738=0,"n.a.",M738/K738)</x:f>
        <x:v>0.6666666666666666</x:v>
      </x:c>
      <x:c r="R738" s="9" t="n">
        <x:f>IF(K738=0,"n.a.",N738/K738)</x:f>
        <x:v>0.047619047619047616</x:v>
      </x:c>
      <x:c r="S738" s="7" t="n">
        <x:v>45</x:v>
      </x:c>
      <x:c r="T738" s="10" t="n">
        <x:v>0.32</x:v>
      </x:c>
      <x:c r="U738" s="7" t="n">
        <x:v>252</x:v>
      </x:c>
      <x:c r="V738" s="7" t="n">
        <x:v>797</x:v>
      </x:c>
    </x:row>
    <x:row r="739" ht="16" customHeight="1">
      <x:c r="A739" s="7" t="n">
        <x:v>736</x:v>
      </x:c>
      <x:c r="B739" s="8" t="n">
        <x:v>46156</x:v>
      </x:c>
      <x:c r="C739" s="7" t="str">
        <x:v>Ascent</x:v>
      </x:c>
      <x:c r="D739" s="7" t="str">
        <x:v>3rd</x:v>
      </x:c>
      <x:c r="E739" s="7" t="str">
        <x:v>Astra</x:v>
      </x:c>
      <x:c r="F739" s="7" t="n">
        <x:v>6</x:v>
      </x:c>
      <x:c r="G739" s="7" t="n">
        <x:v>13</x:v>
      </x:c>
      <x:c r="H739" s="7" t="str">
        <x:f>IF(F739&gt;G739,"Win",IF(F739&lt;G739,"Loss","Draw"))</x:f>
        <x:v>Loss</x:v>
      </x:c>
      <x:c r="I739" s="7" t="n">
        <x:f>IF(H739="Win",1,0)</x:f>
        <x:v>0</x:v>
      </x:c>
      <x:c r="J739" s="7" t="n">
        <x:f>F739-G739</x:f>
        <x:v>-7</x:v>
      </x:c>
      <x:c r="K739" s="7" t="n">
        <x:f>F739+G739</x:f>
        <x:v>19</x:v>
      </x:c>
      <x:c r="L739" s="7" t="n">
        <x:v>15</x:v>
      </x:c>
      <x:c r="M739" s="7" t="n">
        <x:v>18</x:v>
      </x:c>
      <x:c r="N739" s="7" t="n">
        <x:v>2</x:v>
      </x:c>
      <x:c r="O739" s="9" t="n">
        <x:f>IF(M739=0,"n.a.",L739/M739)</x:f>
        <x:v>0.8333333333333334</x:v>
      </x:c>
      <x:c r="P739" s="9" t="n">
        <x:f>IF(K739=0,"n.a.",L739/K739)</x:f>
        <x:v>0.7894736842105263</x:v>
      </x:c>
      <x:c r="Q739" s="9" t="n">
        <x:f>IF(K739=0,"n.a.",M739/K739)</x:f>
        <x:v>0.9473684210526315</x:v>
      </x:c>
      <x:c r="R739" s="9" t="n">
        <x:f>IF(K739=0,"n.a.",N739/K739)</x:f>
        <x:v>0.10526315789473684</x:v>
      </x:c>
      <x:c r="S739" s="7" t="n">
        <x:v>-29</x:v>
      </x:c>
      <x:c r="T739" s="10" t="n">
        <x:v>0.47</x:v>
      </x:c>
      <x:c r="U739" s="7" t="n">
        <x:v>239</x:v>
      </x:c>
      <x:c r="V739" s="7" t="n">
        <x:v>502</x:v>
      </x:c>
    </x:row>
    <x:row r="740" ht="16" customHeight="1">
      <x:c r="A740" s="7" t="n">
        <x:v>737</x:v>
      </x:c>
      <x:c r="B740" s="8" t="n">
        <x:v>46157</x:v>
      </x:c>
      <x:c r="C740" s="7" t="str">
        <x:v>Fracture</x:v>
      </x:c>
      <x:c r="D740" s="7" t="str">
        <x:v>9th</x:v>
      </x:c>
      <x:c r="E740" s="7" t="str">
        <x:v>Miks</x:v>
      </x:c>
      <x:c r="F740" s="7" t="n">
        <x:v>10</x:v>
      </x:c>
      <x:c r="G740" s="7" t="n">
        <x:v>13</x:v>
      </x:c>
      <x:c r="H740" s="7" t="str">
        <x:f>IF(F740&gt;G740,"Win",IF(F740&lt;G740,"Loss","Draw"))</x:f>
        <x:v>Loss</x:v>
      </x:c>
      <x:c r="I740" s="7" t="n">
        <x:f>IF(H740="Win",1,0)</x:f>
        <x:v>0</x:v>
      </x:c>
      <x:c r="J740" s="7" t="n">
        <x:f>F740-G740</x:f>
        <x:v>-3</x:v>
      </x:c>
      <x:c r="K740" s="7" t="n">
        <x:f>F740+G740</x:f>
        <x:v>23</x:v>
      </x:c>
      <x:c r="L740" s="7" t="n">
        <x:v>14</x:v>
      </x:c>
      <x:c r="M740" s="7" t="n">
        <x:v>17</x:v>
      </x:c>
      <x:c r="N740" s="7" t="n">
        <x:v>7</x:v>
      </x:c>
      <x:c r="O740" s="9" t="n">
        <x:f>IF(M740=0,"n.a.",L740/M740)</x:f>
        <x:v>0.8235294117647058</x:v>
      </x:c>
      <x:c r="P740" s="9" t="n">
        <x:f>IF(K740=0,"n.a.",L740/K740)</x:f>
        <x:v>0.6086956521739131</x:v>
      </x:c>
      <x:c r="Q740" s="9" t="n">
        <x:f>IF(K740=0,"n.a.",M740/K740)</x:f>
        <x:v>0.7391304347826086</x:v>
      </x:c>
      <x:c r="R740" s="9" t="n">
        <x:f>IF(K740=0,"n.a.",N740/K740)</x:f>
        <x:v>0.30434782608695654</x:v>
      </x:c>
      <x:c r="S740" s="7" t="n">
        <x:v>-29</x:v>
      </x:c>
      <x:c r="T740" s="10" t="n">
        <x:v>0.25</x:v>
      </x:c>
      <x:c r="U740" s="7" t="n">
        <x:v>159</x:v>
      </x:c>
      <x:c r="V740" s="7" t="n">
        <x:v>297</x:v>
      </x:c>
    </x:row>
    <x:row r="741" ht="16" customHeight="1">
      <x:c r="A741" s="7" t="n">
        <x:v>738</x:v>
      </x:c>
      <x:c r="B741" s="8" t="n">
        <x:v>46157</x:v>
      </x:c>
      <x:c r="C741" s="7" t="str">
        <x:v>Breeze</x:v>
      </x:c>
      <x:c r="D741" s="7" t="str">
        <x:v>7th</x:v>
      </x:c>
      <x:c r="E741" s="7" t="str">
        <x:v>Yoru</x:v>
      </x:c>
      <x:c r="F741" s="7" t="n">
        <x:v>8</x:v>
      </x:c>
      <x:c r="G741" s="7" t="n">
        <x:v>13</x:v>
      </x:c>
      <x:c r="H741" s="7" t="str">
        <x:f>IF(F741&gt;G741,"Win",IF(F741&lt;G741,"Loss","Draw"))</x:f>
        <x:v>Loss</x:v>
      </x:c>
      <x:c r="I741" s="7" t="n">
        <x:f>IF(H741="Win",1,0)</x:f>
        <x:v>0</x:v>
      </x:c>
      <x:c r="J741" s="7" t="n">
        <x:f>F741-G741</x:f>
        <x:v>-5</x:v>
      </x:c>
      <x:c r="K741" s="7" t="n">
        <x:f>F741+G741</x:f>
        <x:v>21</x:v>
      </x:c>
      <x:c r="L741" s="7" t="n">
        <x:v>14</x:v>
      </x:c>
      <x:c r="M741" s="7" t="n">
        <x:v>20</x:v>
      </x:c>
      <x:c r="N741" s="7" t="n">
        <x:v>2</x:v>
      </x:c>
      <x:c r="O741" s="9" t="n">
        <x:f>IF(M741=0,"n.a.",L741/M741)</x:f>
        <x:v>0.7</x:v>
      </x:c>
      <x:c r="P741" s="9" t="n">
        <x:f>IF(K741=0,"n.a.",L741/K741)</x:f>
        <x:v>0.6666666666666666</x:v>
      </x:c>
      <x:c r="Q741" s="9" t="n">
        <x:f>IF(K741=0,"n.a.",M741/K741)</x:f>
        <x:v>0.9523809523809523</x:v>
      </x:c>
      <x:c r="R741" s="9" t="n">
        <x:f>IF(K741=0,"n.a.",N741/K741)</x:f>
        <x:v>0.09523809523809523</x:v>
      </x:c>
      <x:c r="S741" s="7" t="n">
        <x:v>-57</x:v>
      </x:c>
      <x:c r="T741" s="10" t="n">
        <x:v>0.26</x:v>
      </x:c>
      <x:c r="U741" s="7" t="n">
        <x:v>204</x:v>
      </x:c>
      <x:c r="V741" s="7" t="n">
        <x:v>259</x:v>
      </x:c>
    </x:row>
    <x:row r="742" ht="16" customHeight="1">
      <x:c r="A742" s="7" t="n">
        <x:v>739</x:v>
      </x:c>
      <x:c r="B742" s="8" t="n">
        <x:v>46157</x:v>
      </x:c>
      <x:c r="C742" s="7" t="str">
        <x:v>Lotus</x:v>
      </x:c>
      <x:c r="D742" s="7" t="str">
        <x:v>9th</x:v>
      </x:c>
      <x:c r="E742" s="7" t="str">
        <x:v>Chamber</x:v>
      </x:c>
      <x:c r="F742" s="7" t="n">
        <x:v>13</x:v>
      </x:c>
      <x:c r="G742" s="7" t="n">
        <x:v>15</x:v>
      </x:c>
      <x:c r="H742" s="7" t="str">
        <x:f>IF(F742&gt;G742,"Win",IF(F742&lt;G742,"Loss","Draw"))</x:f>
        <x:v>Loss</x:v>
      </x:c>
      <x:c r="I742" s="7" t="n">
        <x:f>IF(H742="Win",1,0)</x:f>
        <x:v>0</x:v>
      </x:c>
      <x:c r="J742" s="7" t="n">
        <x:f>F742-G742</x:f>
        <x:v>-2</x:v>
      </x:c>
      <x:c r="K742" s="7" t="n">
        <x:f>F742+G742</x:f>
        <x:v>28</x:v>
      </x:c>
      <x:c r="L742" s="7" t="n">
        <x:v>14</x:v>
      </x:c>
      <x:c r="M742" s="7" t="n">
        <x:v>24</x:v>
      </x:c>
      <x:c r="N742" s="7" t="n">
        <x:v>2</x:v>
      </x:c>
      <x:c r="O742" s="9" t="n">
        <x:f>IF(M742=0,"n.a.",L742/M742)</x:f>
        <x:v>0.5833333333333334</x:v>
      </x:c>
      <x:c r="P742" s="9" t="n">
        <x:f>IF(K742=0,"n.a.",L742/K742)</x:f>
        <x:v>0.5</x:v>
      </x:c>
      <x:c r="Q742" s="9" t="n">
        <x:f>IF(K742=0,"n.a.",M742/K742)</x:f>
        <x:v>0.8571428571428571</x:v>
      </x:c>
      <x:c r="R742" s="9" t="n">
        <x:f>IF(K742=0,"n.a.",N742/K742)</x:f>
        <x:v>0.07142857142857142</x:v>
      </x:c>
      <x:c r="S742" s="7" t="n">
        <x:v>-76</x:v>
      </x:c>
      <x:c r="T742" s="10" t="n">
        <x:v>0.39</x:v>
      </x:c>
      <x:c r="U742" s="7" t="n">
        <x:v>140</x:v>
      </x:c>
      <x:c r="V742" s="7" t="n">
        <x:v>213</x:v>
      </x:c>
    </x:row>
    <x:row r="743" ht="16" customHeight="1">
      <x:c r="A743" s="7" t="n">
        <x:v>740</x:v>
      </x:c>
      <x:c r="B743" s="8" t="n">
        <x:v>46157</x:v>
      </x:c>
      <x:c r="C743" s="7" t="str">
        <x:v>Haven</x:v>
      </x:c>
      <x:c r="D743" s="7" t="str">
        <x:v>6th</x:v>
      </x:c>
      <x:c r="E743" s="7" t="str">
        <x:v>Omen</x:v>
      </x:c>
      <x:c r="F743" s="7" t="n">
        <x:v>11</x:v>
      </x:c>
      <x:c r="G743" s="7" t="n">
        <x:v>13</x:v>
      </x:c>
      <x:c r="H743" s="7" t="str">
        <x:f>IF(F743&gt;G743,"Win",IF(F743&lt;G743,"Loss","Draw"))</x:f>
        <x:v>Loss</x:v>
      </x:c>
      <x:c r="I743" s="7" t="n">
        <x:f>IF(H743="Win",1,0)</x:f>
        <x:v>0</x:v>
      </x:c>
      <x:c r="J743" s="7" t="n">
        <x:f>F743-G743</x:f>
        <x:v>-2</x:v>
      </x:c>
      <x:c r="K743" s="7" t="n">
        <x:f>F743+G743</x:f>
        <x:v>24</x:v>
      </x:c>
      <x:c r="L743" s="7" t="n">
        <x:v>17</x:v>
      </x:c>
      <x:c r="M743" s="7" t="n">
        <x:v>20</x:v>
      </x:c>
      <x:c r="N743" s="7" t="n">
        <x:v>2</x:v>
      </x:c>
      <x:c r="O743" s="9" t="n">
        <x:f>IF(M743=0,"n.a.",L743/M743)</x:f>
        <x:v>0.85</x:v>
      </x:c>
      <x:c r="P743" s="9" t="n">
        <x:f>IF(K743=0,"n.a.",L743/K743)</x:f>
        <x:v>0.7083333333333334</x:v>
      </x:c>
      <x:c r="Q743" s="9" t="n">
        <x:f>IF(K743=0,"n.a.",M743/K743)</x:f>
        <x:v>0.8333333333333334</x:v>
      </x:c>
      <x:c r="R743" s="9" t="n">
        <x:f>IF(K743=0,"n.a.",N743/K743)</x:f>
        <x:v>0.08333333333333333</x:v>
      </x:c>
      <x:c r="S743" s="7" t="n">
        <x:v>-33</x:v>
      </x:c>
      <x:c r="T743" s="10" t="n">
        <x:v>0.4</x:v>
      </x:c>
      <x:c r="U743" s="7" t="n">
        <x:v>200</x:v>
      </x:c>
      <x:c r="V743" s="7" t="n">
        <x:v>344</x:v>
      </x:c>
    </x:row>
    <x:row r="744" ht="16" customHeight="1">
      <x:c r="A744" s="7" t="n">
        <x:v>741</x:v>
      </x:c>
      <x:c r="B744" s="8" t="n">
        <x:v>46157</x:v>
      </x:c>
      <x:c r="C744" s="7" t="str">
        <x:v>Lotus</x:v>
      </x:c>
      <x:c r="D744" s="7" t="str">
        <x:v>MVP</x:v>
      </x:c>
      <x:c r="E744" s="7" t="str">
        <x:v>Omen</x:v>
      </x:c>
      <x:c r="F744" s="7" t="n">
        <x:v>13</x:v>
      </x:c>
      <x:c r="G744" s="7" t="n">
        <x:v>8</x:v>
      </x:c>
      <x:c r="H744" s="7" t="str">
        <x:f>IF(F744&gt;G744,"Win",IF(F744&lt;G744,"Loss","Draw"))</x:f>
        <x:v>Win</x:v>
      </x:c>
      <x:c r="I744" s="7" t="n">
        <x:f>IF(H744="Win",1,0)</x:f>
        <x:v>1</x:v>
      </x:c>
      <x:c r="J744" s="7" t="n">
        <x:f>F744-G744</x:f>
        <x:v>5</x:v>
      </x:c>
      <x:c r="K744" s="7" t="n">
        <x:f>F744+G744</x:f>
        <x:v>21</x:v>
      </x:c>
      <x:c r="L744" s="7" t="n">
        <x:v>25</x:v>
      </x:c>
      <x:c r="M744" s="7" t="n">
        <x:v>14</x:v>
      </x:c>
      <x:c r="N744" s="7" t="n">
        <x:v>8</x:v>
      </x:c>
      <x:c r="O744" s="9" t="n">
        <x:f>IF(M744=0,"n.a.",L744/M744)</x:f>
        <x:v>1.7857142857142858</x:v>
      </x:c>
      <x:c r="P744" s="9" t="n">
        <x:f>IF(K744=0,"n.a.",L744/K744)</x:f>
        <x:v>1.1904761904761905</x:v>
      </x:c>
      <x:c r="Q744" s="9" t="n">
        <x:f>IF(K744=0,"n.a.",M744/K744)</x:f>
        <x:v>0.6666666666666666</x:v>
      </x:c>
      <x:c r="R744" s="9" t="n">
        <x:f>IF(K744=0,"n.a.",N744/K744)</x:f>
        <x:v>0.38095238095238093</x:v>
      </x:c>
      <x:c r="S744" s="7" t="n">
        <x:v>98</x:v>
      </x:c>
      <x:c r="T744" s="10" t="n">
        <x:v>0.38</x:v>
      </x:c>
      <x:c r="U744" s="7" t="n">
        <x:v>340</x:v>
      </x:c>
      <x:c r="V744" s="7" t="n">
        <x:v>899</x:v>
      </x:c>
    </x:row>
    <x:row r="745" ht="16" customHeight="1">
      <x:c r="A745" s="7" t="n">
        <x:v>742</x:v>
      </x:c>
      <x:c r="B745" s="8" t="n">
        <x:v>46158</x:v>
      </x:c>
      <x:c r="C745" s="7" t="str">
        <x:v>Lotus</x:v>
      </x:c>
      <x:c r="D745" s="7" t="str">
        <x:v>8th</x:v>
      </x:c>
      <x:c r="E745" s="7" t="str">
        <x:v>Jett</x:v>
      </x:c>
      <x:c r="F745" s="7" t="n">
        <x:v>1</x:v>
      </x:c>
      <x:c r="G745" s="7" t="n">
        <x:v>13</x:v>
      </x:c>
      <x:c r="H745" s="7" t="str">
        <x:f>IF(F745&gt;G745,"Win",IF(F745&lt;G745,"Loss","Draw"))</x:f>
        <x:v>Loss</x:v>
      </x:c>
      <x:c r="I745" s="7" t="n">
        <x:f>IF(H745="Win",1,0)</x:f>
        <x:v>0</x:v>
      </x:c>
      <x:c r="J745" s="7" t="n">
        <x:f>F745-G745</x:f>
        <x:v>-12</x:v>
      </x:c>
      <x:c r="K745" s="7" t="n">
        <x:f>F745+G745</x:f>
        <x:v>14</x:v>
      </x:c>
      <x:c r="L745" s="7" t="n">
        <x:v>7</x:v>
      </x:c>
      <x:c r="M745" s="7" t="n">
        <x:v>14</x:v>
      </x:c>
      <x:c r="N745" s="7" t="n">
        <x:v>1</x:v>
      </x:c>
      <x:c r="O745" s="9" t="n">
        <x:f>IF(M745=0,"n.a.",L745/M745)</x:f>
        <x:v>0.5</x:v>
      </x:c>
      <x:c r="P745" s="9" t="n">
        <x:f>IF(K745=0,"n.a.",L745/K745)</x:f>
        <x:v>0.5</x:v>
      </x:c>
      <x:c r="Q745" s="9" t="n">
        <x:f>IF(K745=0,"n.a.",M745/K745)</x:f>
        <x:v>1</x:v>
      </x:c>
      <x:c r="R745" s="9" t="n">
        <x:f>IF(K745=0,"n.a.",N745/K745)</x:f>
        <x:v>0.07142857142857142</x:v>
      </x:c>
      <x:c r="S745" s="7" t="n">
        <x:v>-87</x:v>
      </x:c>
      <x:c r="T745" s="10" t="n">
        <x:v>0.48</x:v>
      </x:c>
      <x:c r="U745" s="7" t="n">
        <x:v>147</x:v>
      </x:c>
      <x:c r="V745" s="7" t="n">
        <x:v>100</x:v>
      </x:c>
    </x:row>
    <x:row r="746" ht="16" customHeight="1">
      <x:c r="A746" s="7" t="n">
        <x:v>743</x:v>
      </x:c>
      <x:c r="B746" s="8" t="n">
        <x:v>46158</x:v>
      </x:c>
      <x:c r="C746" s="7" t="str">
        <x:v>Breeze</x:v>
      </x:c>
      <x:c r="D746" s="7" t="str">
        <x:v>MVP</x:v>
      </x:c>
      <x:c r="E746" s="7" t="str">
        <x:v>Chamber</x:v>
      </x:c>
      <x:c r="F746" s="7" t="n">
        <x:v>15</x:v>
      </x:c>
      <x:c r="G746" s="7" t="n">
        <x:v>17</x:v>
      </x:c>
      <x:c r="H746" s="7" t="str">
        <x:f>IF(F746&gt;G746,"Win",IF(F746&lt;G746,"Loss","Draw"))</x:f>
        <x:v>Loss</x:v>
      </x:c>
      <x:c r="I746" s="7" t="n">
        <x:f>IF(H746="Win",1,0)</x:f>
        <x:v>0</x:v>
      </x:c>
      <x:c r="J746" s="7" t="n">
        <x:f>F746-G746</x:f>
        <x:v>-2</x:v>
      </x:c>
      <x:c r="K746" s="7" t="n">
        <x:f>F746+G746</x:f>
        <x:v>32</x:v>
      </x:c>
      <x:c r="L746" s="7" t="n">
        <x:v>30</x:v>
      </x:c>
      <x:c r="M746" s="7" t="n">
        <x:v>23</x:v>
      </x:c>
      <x:c r="N746" s="7" t="n">
        <x:v>4</x:v>
      </x:c>
      <x:c r="O746" s="9" t="n">
        <x:f>IF(M746=0,"n.a.",L746/M746)</x:f>
        <x:v>1.3043478260869565</x:v>
      </x:c>
      <x:c r="P746" s="9" t="n">
        <x:f>IF(K746=0,"n.a.",L746/K746)</x:f>
        <x:v>0.9375</x:v>
      </x:c>
      <x:c r="Q746" s="9" t="n">
        <x:f>IF(K746=0,"n.a.",M746/K746)</x:f>
        <x:v>0.71875</x:v>
      </x:c>
      <x:c r="R746" s="9" t="n">
        <x:f>IF(K746=0,"n.a.",N746/K746)</x:f>
        <x:v>0.125</x:v>
      </x:c>
      <x:c r="S746" s="7" t="n">
        <x:v>41</x:v>
      </x:c>
      <x:c r="T746" s="10" t="n">
        <x:v>0.32</x:v>
      </x:c>
      <x:c r="U746" s="7" t="n">
        <x:v>284</x:v>
      </x:c>
      <x:c r="V746" s="7" t="n">
        <x:v>772</x:v>
      </x:c>
    </x:row>
    <x:row r="747" ht="16" customHeight="1">
      <x:c r="A747" s="7" t="n">
        <x:v>744</x:v>
      </x:c>
      <x:c r="B747" s="8" t="n">
        <x:v>46158</x:v>
      </x:c>
      <x:c r="C747" s="7" t="str">
        <x:v>Haven</x:v>
      </x:c>
      <x:c r="D747" s="7" t="str">
        <x:v>8th</x:v>
      </x:c>
      <x:c r="E747" s="7" t="str">
        <x:v>Yoru</x:v>
      </x:c>
      <x:c r="F747" s="7" t="n">
        <x:v>6</x:v>
      </x:c>
      <x:c r="G747" s="7" t="n">
        <x:v>13</x:v>
      </x:c>
      <x:c r="H747" s="7" t="str">
        <x:f>IF(F747&gt;G747,"Win",IF(F747&lt;G747,"Loss","Draw"))</x:f>
        <x:v>Loss</x:v>
      </x:c>
      <x:c r="I747" s="7" t="n">
        <x:f>IF(H747="Win",1,0)</x:f>
        <x:v>0</x:v>
      </x:c>
      <x:c r="J747" s="7" t="n">
        <x:f>F747-G747</x:f>
        <x:v>-7</x:v>
      </x:c>
      <x:c r="K747" s="7" t="n">
        <x:f>F747+G747</x:f>
        <x:v>19</x:v>
      </x:c>
      <x:c r="L747" s="7" t="n">
        <x:v>13</x:v>
      </x:c>
      <x:c r="M747" s="7" t="n">
        <x:v>15</x:v>
      </x:c>
      <x:c r="N747" s="7" t="n">
        <x:v>1</x:v>
      </x:c>
      <x:c r="O747" s="9" t="n">
        <x:f>IF(M747=0,"n.a.",L747/M747)</x:f>
        <x:v>0.8666666666666667</x:v>
      </x:c>
      <x:c r="P747" s="9" t="n">
        <x:f>IF(K747=0,"n.a.",L747/K747)</x:f>
        <x:v>0.6842105263157895</x:v>
      </x:c>
      <x:c r="Q747" s="9" t="n">
        <x:f>IF(K747=0,"n.a.",M747/K747)</x:f>
        <x:v>0.7894736842105263</x:v>
      </x:c>
      <x:c r="R747" s="9" t="n">
        <x:f>IF(K747=0,"n.a.",N747/K747)</x:f>
        <x:v>0.05263157894736842</x:v>
      </x:c>
      <x:c r="S747" s="7" t="n">
        <x:v>-17</x:v>
      </x:c>
      <x:c r="T747" s="10" t="n">
        <x:v>0.23</x:v>
      </x:c>
      <x:c r="U747" s="7" t="n">
        <x:v>179</x:v>
      </x:c>
      <x:c r="V747" s="7" t="n">
        <x:v>275</x:v>
      </x:c>
    </x:row>
    <x:row r="748" ht="16" customHeight="1">
      <x:c r="A748" s="7" t="n">
        <x:v>745</x:v>
      </x:c>
      <x:c r="B748" s="8" t="n">
        <x:v>46158</x:v>
      </x:c>
      <x:c r="C748" s="7" t="str">
        <x:v>Split</x:v>
      </x:c>
      <x:c r="D748" s="7" t="str">
        <x:v>MVP</x:v>
      </x:c>
      <x:c r="E748" s="7" t="str">
        <x:v>Yoru</x:v>
      </x:c>
      <x:c r="F748" s="7" t="n">
        <x:v>13</x:v>
      </x:c>
      <x:c r="G748" s="7" t="n">
        <x:v>6</x:v>
      </x:c>
      <x:c r="H748" s="7" t="str">
        <x:f>IF(F748&gt;G748,"Win",IF(F748&lt;G748,"Loss","Draw"))</x:f>
        <x:v>Win</x:v>
      </x:c>
      <x:c r="I748" s="7" t="n">
        <x:f>IF(H748="Win",1,0)</x:f>
        <x:v>1</x:v>
      </x:c>
      <x:c r="J748" s="7" t="n">
        <x:f>F748-G748</x:f>
        <x:v>7</x:v>
      </x:c>
      <x:c r="K748" s="7" t="n">
        <x:f>F748+G748</x:f>
        <x:v>19</x:v>
      </x:c>
      <x:c r="L748" s="7" t="n">
        <x:v>29</x:v>
      </x:c>
      <x:c r="M748" s="7" t="n">
        <x:v>10</x:v>
      </x:c>
      <x:c r="N748" s="7" t="n">
        <x:v>3</x:v>
      </x:c>
      <x:c r="O748" s="9" t="n">
        <x:f>IF(M748=0,"n.a.",L748/M748)</x:f>
        <x:v>2.9</x:v>
      </x:c>
      <x:c r="P748" s="9" t="n">
        <x:f>IF(K748=0,"n.a.",L748/K748)</x:f>
        <x:v>1.5263157894736843</x:v>
      </x:c>
      <x:c r="Q748" s="9" t="n">
        <x:f>IF(K748=0,"n.a.",M748/K748)</x:f>
        <x:v>0.5263157894736842</x:v>
      </x:c>
      <x:c r="R748" s="9" t="n">
        <x:f>IF(K748=0,"n.a.",N748/K748)</x:f>
        <x:v>0.15789473684210525</x:v>
      </x:c>
      <x:c r="S748" s="7" t="n">
        <x:v>136</x:v>
      </x:c>
      <x:c r="T748" s="10" t="n">
        <x:v>0.36</x:v>
      </x:c>
      <x:c r="U748" s="7" t="n">
        <x:v>405</x:v>
      </x:c>
      <x:c r="V748" s="7" t="n">
        <x:v>1000</x:v>
      </x:c>
    </x:row>
    <x:row r="749" ht="16" customHeight="1">
      <x:c r="A749" s="7" t="n">
        <x:v>746</x:v>
      </x:c>
      <x:c r="B749" s="8" t="n">
        <x:v>46158</x:v>
      </x:c>
      <x:c r="C749" s="7" t="str">
        <x:v>Split</x:v>
      </x:c>
      <x:c r="D749" s="7" t="str">
        <x:v>MVP</x:v>
      </x:c>
      <x:c r="E749" s="7" t="str">
        <x:v>Reyna</x:v>
      </x:c>
      <x:c r="F749" s="7" t="n">
        <x:v>9</x:v>
      </x:c>
      <x:c r="G749" s="7" t="n">
        <x:v>13</x:v>
      </x:c>
      <x:c r="H749" s="7" t="str">
        <x:f>IF(F749&gt;G749,"Win",IF(F749&lt;G749,"Loss","Draw"))</x:f>
        <x:v>Loss</x:v>
      </x:c>
      <x:c r="I749" s="7" t="n">
        <x:f>IF(H749="Win",1,0)</x:f>
        <x:v>0</x:v>
      </x:c>
      <x:c r="J749" s="7" t="n">
        <x:f>F749-G749</x:f>
        <x:v>-4</x:v>
      </x:c>
      <x:c r="K749" s="7" t="n">
        <x:f>F749+G749</x:f>
        <x:v>22</x:v>
      </x:c>
      <x:c r="L749" s="7" t="n">
        <x:v>29</x:v>
      </x:c>
      <x:c r="M749" s="7" t="n">
        <x:v>16</x:v>
      </x:c>
      <x:c r="N749" s="7" t="n">
        <x:v>4</x:v>
      </x:c>
      <x:c r="O749" s="9" t="n">
        <x:f>IF(M749=0,"n.a.",L749/M749)</x:f>
        <x:v>1.8125</x:v>
      </x:c>
      <x:c r="P749" s="9" t="n">
        <x:f>IF(K749=0,"n.a.",L749/K749)</x:f>
        <x:v>1.3181818181818181</x:v>
      </x:c>
      <x:c r="Q749" s="9" t="n">
        <x:f>IF(K749=0,"n.a.",M749/K749)</x:f>
        <x:v>0.7272727272727273</x:v>
      </x:c>
      <x:c r="R749" s="9" t="n">
        <x:f>IF(K749=0,"n.a.",N749/K749)</x:f>
        <x:v>0.18181818181818182</x:v>
      </x:c>
      <x:c r="S749" s="7" t="n">
        <x:v>96</x:v>
      </x:c>
      <x:c r="T749" s="10" t="n">
        <x:v>0.38</x:v>
      </x:c>
      <x:c r="U749" s="7" t="n">
        <x:v>366</x:v>
      </x:c>
      <x:c r="V749" s="7" t="n">
        <x:v>866</x:v>
      </x:c>
    </x:row>
    <x:row r="750" ht="16" customHeight="1">
      <x:c r="A750" s="7" t="n">
        <x:v>747</x:v>
      </x:c>
      <x:c r="B750" s="8" t="n">
        <x:v>46158</x:v>
      </x:c>
      <x:c r="C750" s="7" t="str">
        <x:v>Lotus</x:v>
      </x:c>
      <x:c r="D750" s="7" t="str">
        <x:v>5th</x:v>
      </x:c>
      <x:c r="E750" s="7" t="str">
        <x:v>Jett</x:v>
      </x:c>
      <x:c r="F750" s="7" t="n">
        <x:v>9</x:v>
      </x:c>
      <x:c r="G750" s="7" t="n">
        <x:v>13</x:v>
      </x:c>
      <x:c r="H750" s="7" t="str">
        <x:f>IF(F750&gt;G750,"Win",IF(F750&lt;G750,"Loss","Draw"))</x:f>
        <x:v>Loss</x:v>
      </x:c>
      <x:c r="I750" s="7" t="n">
        <x:f>IF(H750="Win",1,0)</x:f>
        <x:v>0</x:v>
      </x:c>
      <x:c r="J750" s="7" t="n">
        <x:f>F750-G750</x:f>
        <x:v>-4</x:v>
      </x:c>
      <x:c r="K750" s="7" t="n">
        <x:f>F750+G750</x:f>
        <x:v>22</x:v>
      </x:c>
      <x:c r="L750" s="7" t="n">
        <x:v>23</x:v>
      </x:c>
      <x:c r="M750" s="7" t="n">
        <x:v>17</x:v>
      </x:c>
      <x:c r="N750" s="7" t="n">
        <x:v>1</x:v>
      </x:c>
      <x:c r="O750" s="9" t="n">
        <x:f>IF(M750=0,"n.a.",L750/M750)</x:f>
        <x:v>1.3529411764705883</x:v>
      </x:c>
      <x:c r="P750" s="9" t="n">
        <x:f>IF(K750=0,"n.a.",L750/K750)</x:f>
        <x:v>1.0454545454545454</x:v>
      </x:c>
      <x:c r="Q750" s="9" t="n">
        <x:f>IF(K750=0,"n.a.",M750/K750)</x:f>
        <x:v>0.7727272727272727</x:v>
      </x:c>
      <x:c r="R750" s="9" t="n">
        <x:f>IF(K750=0,"n.a.",N750/K750)</x:f>
        <x:v>0.045454545454545456</x:v>
      </x:c>
      <x:c r="S750" s="7" t="n">
        <x:v>24</x:v>
      </x:c>
      <x:c r="T750" s="10" t="n">
        <x:v>0.55</x:v>
      </x:c>
      <x:c r="U750" s="7" t="n">
        <x:v>265</x:v>
      </x:c>
      <x:c r="V750" s="7" t="n">
        <x:v>576</x:v>
      </x:c>
    </x:row>
    <x:row r="751" ht="16" customHeight="1">
      <x:c r="A751" s="7" t="n">
        <x:v>748</x:v>
      </x:c>
      <x:c r="B751" s="8" t="n">
        <x:v>46158</x:v>
      </x:c>
      <x:c r="C751" s="7" t="str">
        <x:v>Haven</x:v>
      </x:c>
      <x:c r="D751" s="7" t="str">
        <x:v>3rd</x:v>
      </x:c>
      <x:c r="E751" s="7" t="str">
        <x:v>Astra</x:v>
      </x:c>
      <x:c r="F751" s="7" t="n">
        <x:v>10</x:v>
      </x:c>
      <x:c r="G751" s="7" t="n">
        <x:v>13</x:v>
      </x:c>
      <x:c r="H751" s="7" t="str">
        <x:f>IF(F751&gt;G751,"Win",IF(F751&lt;G751,"Loss","Draw"))</x:f>
        <x:v>Loss</x:v>
      </x:c>
      <x:c r="I751" s="7" t="n">
        <x:f>IF(H751="Win",1,0)</x:f>
        <x:v>0</x:v>
      </x:c>
      <x:c r="J751" s="7" t="n">
        <x:f>F751-G751</x:f>
        <x:v>-3</x:v>
      </x:c>
      <x:c r="K751" s="7" t="n">
        <x:f>F751+G751</x:f>
        <x:v>23</x:v>
      </x:c>
      <x:c r="L751" s="7" t="n">
        <x:v>19</x:v>
      </x:c>
      <x:c r="M751" s="7" t="n">
        <x:v>15</x:v>
      </x:c>
      <x:c r="N751" s="7" t="n">
        <x:v>2</x:v>
      </x:c>
      <x:c r="O751" s="9" t="n">
        <x:f>IF(M751=0,"n.a.",L751/M751)</x:f>
        <x:v>1.2666666666666666</x:v>
      </x:c>
      <x:c r="P751" s="9" t="n">
        <x:f>IF(K751=0,"n.a.",L751/K751)</x:f>
        <x:v>0.8260869565217391</x:v>
      </x:c>
      <x:c r="Q751" s="9" t="n">
        <x:f>IF(K751=0,"n.a.",M751/K751)</x:f>
        <x:v>0.6521739130434783</x:v>
      </x:c>
      <x:c r="R751" s="9" t="n">
        <x:f>IF(K751=0,"n.a.",N751/K751)</x:f>
        <x:v>0.08695652173913043</x:v>
      </x:c>
      <x:c r="S751" s="7" t="n">
        <x:v>43</x:v>
      </x:c>
      <x:c r="T751" s="10" t="n">
        <x:v>0.3</x:v>
      </x:c>
      <x:c r="U751" s="7" t="n">
        <x:v>230</x:v>
      </x:c>
      <x:c r="V751" s="7" t="n">
        <x:v>662</x:v>
      </x:c>
    </x:row>
    <x:row r="752" ht="16" customHeight="1">
      <x:c r="A752" s="7" t="n">
        <x:v>749</x:v>
      </x:c>
      <x:c r="B752" s="8" t="n">
        <x:v>46159</x:v>
      </x:c>
      <x:c r="C752" s="7" t="str">
        <x:v>Breeze</x:v>
      </x:c>
      <x:c r="D752" s="7" t="str">
        <x:v>8th</x:v>
      </x:c>
      <x:c r="E752" s="7" t="str">
        <x:v>Iso</x:v>
      </x:c>
      <x:c r="F752" s="7" t="n">
        <x:v>11</x:v>
      </x:c>
      <x:c r="G752" s="7" t="n">
        <x:v>13</x:v>
      </x:c>
      <x:c r="H752" s="7" t="str">
        <x:f>IF(F752&gt;G752,"Win",IF(F752&lt;G752,"Loss","Draw"))</x:f>
        <x:v>Loss</x:v>
      </x:c>
      <x:c r="I752" s="7" t="n">
        <x:f>IF(H752="Win",1,0)</x:f>
        <x:v>0</x:v>
      </x:c>
      <x:c r="J752" s="7" t="n">
        <x:f>F752-G752</x:f>
        <x:v>-2</x:v>
      </x:c>
      <x:c r="K752" s="7" t="n">
        <x:f>F752+G752</x:f>
        <x:v>24</x:v>
      </x:c>
      <x:c r="L752" s="7" t="n">
        <x:v>15</x:v>
      </x:c>
      <x:c r="M752" s="7" t="n">
        <x:v>20</x:v>
      </x:c>
      <x:c r="N752" s="7" t="n">
        <x:v>2</x:v>
      </x:c>
      <x:c r="O752" s="9" t="n">
        <x:f>IF(M752=0,"n.a.",L752/M752)</x:f>
        <x:v>0.75</x:v>
      </x:c>
      <x:c r="P752" s="9" t="n">
        <x:f>IF(K752=0,"n.a.",L752/K752)</x:f>
        <x:v>0.625</x:v>
      </x:c>
      <x:c r="Q752" s="9" t="n">
        <x:f>IF(K752=0,"n.a.",M752/K752)</x:f>
        <x:v>0.8333333333333334</x:v>
      </x:c>
      <x:c r="R752" s="9" t="n">
        <x:f>IF(K752=0,"n.a.",N752/K752)</x:f>
        <x:v>0.08333333333333333</x:v>
      </x:c>
      <x:c r="S752" s="7" t="n">
        <x:v>-18</x:v>
      </x:c>
      <x:c r="T752" s="10" t="n">
        <x:v>0.43</x:v>
      </x:c>
      <x:c r="U752" s="7" t="n">
        <x:v>182</x:v>
      </x:c>
      <x:c r="V752" s="7" t="n">
        <x:v>339</x:v>
      </x:c>
    </x:row>
    <x:row r="753" ht="16" customHeight="1">
      <x:c r="A753" s="7" t="n">
        <x:v>750</x:v>
      </x:c>
      <x:c r="B753" s="8" t="n">
        <x:v>46159</x:v>
      </x:c>
      <x:c r="C753" s="7" t="str">
        <x:v>Split</x:v>
      </x:c>
      <x:c r="D753" s="7" t="str">
        <x:v>3rd</x:v>
      </x:c>
      <x:c r="E753" s="7" t="str">
        <x:v>Reyna</x:v>
      </x:c>
      <x:c r="F753" s="7" t="n">
        <x:v>10</x:v>
      </x:c>
      <x:c r="G753" s="7" t="n">
        <x:v>13</x:v>
      </x:c>
      <x:c r="H753" s="7" t="str">
        <x:f>IF(F753&gt;G753,"Win",IF(F753&lt;G753,"Loss","Draw"))</x:f>
        <x:v>Loss</x:v>
      </x:c>
      <x:c r="I753" s="7" t="n">
        <x:f>IF(H753="Win",1,0)</x:f>
        <x:v>0</x:v>
      </x:c>
      <x:c r="J753" s="7" t="n">
        <x:f>F753-G753</x:f>
        <x:v>-3</x:v>
      </x:c>
      <x:c r="K753" s="7" t="n">
        <x:f>F753+G753</x:f>
        <x:v>23</x:v>
      </x:c>
      <x:c r="L753" s="7" t="n">
        <x:v>22</x:v>
      </x:c>
      <x:c r="M753" s="7" t="n">
        <x:v>17</x:v>
      </x:c>
      <x:c r="N753" s="7" t="n">
        <x:v>3</x:v>
      </x:c>
      <x:c r="O753" s="9" t="n">
        <x:f>IF(M753=0,"n.a.",L753/M753)</x:f>
        <x:v>1.2941176470588236</x:v>
      </x:c>
      <x:c r="P753" s="9" t="n">
        <x:f>IF(K753=0,"n.a.",L753/K753)</x:f>
        <x:v>0.9565217391304348</x:v>
      </x:c>
      <x:c r="Q753" s="9" t="n">
        <x:f>IF(K753=0,"n.a.",M753/K753)</x:f>
        <x:v>0.7391304347826086</x:v>
      </x:c>
      <x:c r="R753" s="9" t="n">
        <x:f>IF(K753=0,"n.a.",N753/K753)</x:f>
        <x:v>0.13043478260869565</x:v>
      </x:c>
      <x:c r="S753" s="7" t="n">
        <x:v>13</x:v>
      </x:c>
      <x:c r="T753" s="10" t="n">
        <x:v>0.42</x:v>
      </x:c>
      <x:c r="U753" s="7" t="n">
        <x:v>260</x:v>
      </x:c>
      <x:c r="V753" s="7" t="n">
        <x:v>547</x:v>
      </x:c>
    </x:row>
    <x:row r="754" ht="16" customHeight="1">
      <x:c r="A754" s="7" t="n">
        <x:v>751</x:v>
      </x:c>
      <x:c r="B754" s="8" t="n">
        <x:v>46159</x:v>
      </x:c>
      <x:c r="C754" s="7" t="str">
        <x:v>Pearl</x:v>
      </x:c>
      <x:c r="D754" s="7" t="str">
        <x:v>9th</x:v>
      </x:c>
      <x:c r="E754" s="7" t="str">
        <x:v>Astra</x:v>
      </x:c>
      <x:c r="F754" s="7" t="n">
        <x:v>10</x:v>
      </x:c>
      <x:c r="G754" s="7" t="n">
        <x:v>13</x:v>
      </x:c>
      <x:c r="H754" s="7" t="str">
        <x:f>IF(F754&gt;G754,"Win",IF(F754&lt;G754,"Loss","Draw"))</x:f>
        <x:v>Loss</x:v>
      </x:c>
      <x:c r="I754" s="7" t="n">
        <x:f>IF(H754="Win",1,0)</x:f>
        <x:v>0</x:v>
      </x:c>
      <x:c r="J754" s="7" t="n">
        <x:f>F754-G754</x:f>
        <x:v>-3</x:v>
      </x:c>
      <x:c r="K754" s="7" t="n">
        <x:f>F754+G754</x:f>
        <x:v>23</x:v>
      </x:c>
      <x:c r="L754" s="7" t="n">
        <x:v>13</x:v>
      </x:c>
      <x:c r="M754" s="7" t="n">
        <x:v>15</x:v>
      </x:c>
      <x:c r="N754" s="7" t="n">
        <x:v>0</x:v>
      </x:c>
      <x:c r="O754" s="9" t="n">
        <x:f>IF(M754=0,"n.a.",L754/M754)</x:f>
        <x:v>0.8666666666666667</x:v>
      </x:c>
      <x:c r="P754" s="9" t="n">
        <x:f>IF(K754=0,"n.a.",L754/K754)</x:f>
        <x:v>0.5652173913043478</x:v>
      </x:c>
      <x:c r="Q754" s="9" t="n">
        <x:f>IF(K754=0,"n.a.",M754/K754)</x:f>
        <x:v>0.6521739130434783</x:v>
      </x:c>
      <x:c r="R754" s="9" t="n">
        <x:f>IF(K754=0,"n.a.",N754/K754)</x:f>
        <x:v>0</x:v>
      </x:c>
      <x:c r="S754" s="7" t="n">
        <x:v>-32</x:v>
      </x:c>
      <x:c r="T754" s="10" t="n">
        <x:v>0.42</x:v>
      </x:c>
      <x:c r="U754" s="7" t="n">
        <x:v>121</x:v>
      </x:c>
      <x:c r="V754" s="7" t="n">
        <x:v>277</x:v>
      </x:c>
    </x:row>
    <x:row r="755" ht="16" customHeight="1">
      <x:c r="A755" s="7" t="n">
        <x:v>752</x:v>
      </x:c>
      <x:c r="B755" s="8" t="n">
        <x:v>46159</x:v>
      </x:c>
      <x:c r="C755" s="7" t="str">
        <x:v>Pearl</x:v>
      </x:c>
      <x:c r="D755" s="7" t="str">
        <x:v>7th</x:v>
      </x:c>
      <x:c r="E755" s="7" t="str">
        <x:v>Jett</x:v>
      </x:c>
      <x:c r="F755" s="7" t="n">
        <x:v>13</x:v>
      </x:c>
      <x:c r="G755" s="7" t="n">
        <x:v>8</x:v>
      </x:c>
      <x:c r="H755" s="7" t="str">
        <x:f>IF(F755&gt;G755,"Win",IF(F755&lt;G755,"Loss","Draw"))</x:f>
        <x:v>Win</x:v>
      </x:c>
      <x:c r="I755" s="7" t="n">
        <x:f>IF(H755="Win",1,0)</x:f>
        <x:v>1</x:v>
      </x:c>
      <x:c r="J755" s="7" t="n">
        <x:f>F755-G755</x:f>
        <x:v>5</x:v>
      </x:c>
      <x:c r="K755" s="7" t="n">
        <x:f>F755+G755</x:f>
        <x:v>21</x:v>
      </x:c>
      <x:c r="L755" s="7" t="n">
        <x:v>15</x:v>
      </x:c>
      <x:c r="M755" s="7" t="n">
        <x:v>17</x:v>
      </x:c>
      <x:c r="N755" s="7" t="n">
        <x:v>1</x:v>
      </x:c>
      <x:c r="O755" s="9" t="n">
        <x:f>IF(M755=0,"n.a.",L755/M755)</x:f>
        <x:v>0.8823529411764706</x:v>
      </x:c>
      <x:c r="P755" s="9" t="n">
        <x:f>IF(K755=0,"n.a.",L755/K755)</x:f>
        <x:v>0.7142857142857143</x:v>
      </x:c>
      <x:c r="Q755" s="9" t="n">
        <x:f>IF(K755=0,"n.a.",M755/K755)</x:f>
        <x:v>0.8095238095238095</x:v>
      </x:c>
      <x:c r="R755" s="9" t="n">
        <x:f>IF(K755=0,"n.a.",N755/K755)</x:f>
        <x:v>0.047619047619047616</x:v>
      </x:c>
      <x:c r="S755" s="7" t="n">
        <x:v>-15</x:v>
      </x:c>
      <x:c r="T755" s="10" t="n">
        <x:v>0.22</x:v>
      </x:c>
      <x:c r="U755" s="7" t="n">
        <x:v>210</x:v>
      </x:c>
      <x:c r="V755" s="7" t="n">
        <x:v>531</x:v>
      </x:c>
    </x:row>
    <x:row r="756" ht="16" customHeight="1">
      <x:c r="A756" s="7" t="n">
        <x:v>753</x:v>
      </x:c>
      <x:c r="B756" s="8" t="n">
        <x:v>46160</x:v>
      </x:c>
      <x:c r="C756" s="7" t="str">
        <x:v>Fracture</x:v>
      </x:c>
      <x:c r="D756" s="7" t="str">
        <x:v>6th</x:v>
      </x:c>
      <x:c r="E756" s="7" t="str">
        <x:v>Iso</x:v>
      </x:c>
      <x:c r="F756" s="7" t="n">
        <x:v>10</x:v>
      </x:c>
      <x:c r="G756" s="7" t="n">
        <x:v>13</x:v>
      </x:c>
      <x:c r="H756" s="7" t="str">
        <x:f>IF(F756&gt;G756,"Win",IF(F756&lt;G756,"Loss","Draw"))</x:f>
        <x:v>Loss</x:v>
      </x:c>
      <x:c r="I756" s="7" t="n">
        <x:f>IF(H756="Win",1,0)</x:f>
        <x:v>0</x:v>
      </x:c>
      <x:c r="J756" s="7" t="n">
        <x:f>F756-G756</x:f>
        <x:v>-3</x:v>
      </x:c>
      <x:c r="K756" s="7" t="n">
        <x:f>F756+G756</x:f>
        <x:v>23</x:v>
      </x:c>
      <x:c r="L756" s="7" t="n">
        <x:v>19</x:v>
      </x:c>
      <x:c r="M756" s="7" t="n">
        <x:v>19</x:v>
      </x:c>
      <x:c r="N756" s="7" t="n">
        <x:v>3</x:v>
      </x:c>
      <x:c r="O756" s="9" t="n">
        <x:f>IF(M756=0,"n.a.",L756/M756)</x:f>
        <x:v>1</x:v>
      </x:c>
      <x:c r="P756" s="9" t="n">
        <x:f>IF(K756=0,"n.a.",L756/K756)</x:f>
        <x:v>0.8260869565217391</x:v>
      </x:c>
      <x:c r="Q756" s="9" t="n">
        <x:f>IF(K756=0,"n.a.",M756/K756)</x:f>
        <x:v>0.8260869565217391</x:v>
      </x:c>
      <x:c r="R756" s="9" t="n">
        <x:f>IF(K756=0,"n.a.",N756/K756)</x:f>
        <x:v>0.13043478260869565</x:v>
      </x:c>
      <x:c r="S756" s="7" t="n">
        <x:v>-13</x:v>
      </x:c>
      <x:c r="T756" s="10" t="n">
        <x:v>0.32</x:v>
      </x:c>
      <x:c r="U756" s="7" t="n">
        <x:v>241</x:v>
      </x:c>
      <x:c r="V756" s="7" t="n">
        <x:v>448</x:v>
      </x:c>
    </x:row>
    <x:row r="757" ht="16" customHeight="1">
      <x:c r="A757" s="7" t="n">
        <x:v>754</x:v>
      </x:c>
      <x:c r="B757" s="8" t="n">
        <x:v>46160</x:v>
      </x:c>
      <x:c r="C757" s="7" t="str">
        <x:v>Fracture</x:v>
      </x:c>
      <x:c r="D757" s="7" t="str">
        <x:v>2nd</x:v>
      </x:c>
      <x:c r="E757" s="7" t="str">
        <x:v>Yoru</x:v>
      </x:c>
      <x:c r="F757" s="7" t="n">
        <x:v>10</x:v>
      </x:c>
      <x:c r="G757" s="7" t="n">
        <x:v>13</x:v>
      </x:c>
      <x:c r="H757" s="7" t="str">
        <x:f>IF(F757&gt;G757,"Win",IF(F757&lt;G757,"Loss","Draw"))</x:f>
        <x:v>Loss</x:v>
      </x:c>
      <x:c r="I757" s="7" t="n">
        <x:f>IF(H757="Win",1,0)</x:f>
        <x:v>0</x:v>
      </x:c>
      <x:c r="J757" s="7" t="n">
        <x:f>F757-G757</x:f>
        <x:v>-3</x:v>
      </x:c>
      <x:c r="K757" s="7" t="n">
        <x:f>F757+G757</x:f>
        <x:v>23</x:v>
      </x:c>
      <x:c r="L757" s="7" t="n">
        <x:v>23</x:v>
      </x:c>
      <x:c r="M757" s="7" t="n">
        <x:v>19</x:v>
      </x:c>
      <x:c r="N757" s="7" t="n">
        <x:v>5</x:v>
      </x:c>
      <x:c r="O757" s="9" t="n">
        <x:f>IF(M757=0,"n.a.",L757/M757)</x:f>
        <x:v>1.2105263157894737</x:v>
      </x:c>
      <x:c r="P757" s="9" t="n">
        <x:f>IF(K757=0,"n.a.",L757/K757)</x:f>
        <x:v>1</x:v>
      </x:c>
      <x:c r="Q757" s="9" t="n">
        <x:f>IF(K757=0,"n.a.",M757/K757)</x:f>
        <x:v>0.8260869565217391</x:v>
      </x:c>
      <x:c r="R757" s="9" t="n">
        <x:f>IF(K757=0,"n.a.",N757/K757)</x:f>
        <x:v>0.21739130434782608</x:v>
      </x:c>
      <x:c r="S757" s="7" t="n">
        <x:v>15</x:v>
      </x:c>
      <x:c r="T757" s="10" t="n">
        <x:v>0.31</x:v>
      </x:c>
      <x:c r="U757" s="7" t="n">
        <x:v>265</x:v>
      </x:c>
      <x:c r="V757" s="7" t="n">
        <x:v>668</x:v>
      </x:c>
    </x:row>
    <x:row r="758" ht="16" customHeight="1">
      <x:c r="A758" s="7" t="n">
        <x:v>755</x:v>
      </x:c>
      <x:c r="B758" s="8" t="n">
        <x:v>46160</x:v>
      </x:c>
      <x:c r="C758" s="7" t="str">
        <x:v>Pearl</x:v>
      </x:c>
      <x:c r="D758" s="7" t="str">
        <x:v>3rd</x:v>
      </x:c>
      <x:c r="E758" s="7" t="str">
        <x:v>Yoru</x:v>
      </x:c>
      <x:c r="F758" s="7" t="n">
        <x:v>13</x:v>
      </x:c>
      <x:c r="G758" s="7" t="n">
        <x:v>6</x:v>
      </x:c>
      <x:c r="H758" s="7" t="str">
        <x:f>IF(F758&gt;G758,"Win",IF(F758&lt;G758,"Loss","Draw"))</x:f>
        <x:v>Win</x:v>
      </x:c>
      <x:c r="I758" s="7" t="n">
        <x:f>IF(H758="Win",1,0)</x:f>
        <x:v>1</x:v>
      </x:c>
      <x:c r="J758" s="7" t="n">
        <x:f>F758-G758</x:f>
        <x:v>7</x:v>
      </x:c>
      <x:c r="K758" s="7" t="n">
        <x:f>F758+G758</x:f>
        <x:v>19</x:v>
      </x:c>
      <x:c r="L758" s="7" t="n">
        <x:v>20</x:v>
      </x:c>
      <x:c r="M758" s="7" t="n">
        <x:v>11</x:v>
      </x:c>
      <x:c r="N758" s="7" t="n">
        <x:v>2</x:v>
      </x:c>
      <x:c r="O758" s="9" t="n">
        <x:f>IF(M758=0,"n.a.",L758/M758)</x:f>
        <x:v>1.8181818181818181</x:v>
      </x:c>
      <x:c r="P758" s="9" t="n">
        <x:f>IF(K758=0,"n.a.",L758/K758)</x:f>
        <x:v>1.0526315789473684</x:v>
      </x:c>
      <x:c r="Q758" s="9" t="n">
        <x:f>IF(K758=0,"n.a.",M758/K758)</x:f>
        <x:v>0.5789473684210527</x:v>
      </x:c>
      <x:c r="R758" s="9" t="n">
        <x:f>IF(K758=0,"n.a.",N758/K758)</x:f>
        <x:v>0.10526315789473684</x:v>
      </x:c>
      <x:c r="S758" s="7" t="n">
        <x:v>73</x:v>
      </x:c>
      <x:c r="T758" s="10" t="n">
        <x:v>0.48</x:v>
      </x:c>
      <x:c r="U758" s="7" t="n">
        <x:v>268</x:v>
      </x:c>
      <x:c r="V758" s="7" t="n">
        <x:v>815</x:v>
      </x:c>
    </x:row>
    <x:row r="759" ht="16" customHeight="1">
      <x:c r="A759" s="7" t="n">
        <x:v>756</x:v>
      </x:c>
      <x:c r="B759" s="8" t="n">
        <x:v>46160</x:v>
      </x:c>
      <x:c r="C759" s="7" t="str">
        <x:v>Lotus</x:v>
      </x:c>
      <x:c r="D759" s="7" t="str">
        <x:v>2nd</x:v>
      </x:c>
      <x:c r="E759" s="7" t="str">
        <x:v>Chamber</x:v>
      </x:c>
      <x:c r="F759" s="7" t="n">
        <x:v>13</x:v>
      </x:c>
      <x:c r="G759" s="7" t="n">
        <x:v>6</x:v>
      </x:c>
      <x:c r="H759" s="7" t="str">
        <x:f>IF(F759&gt;G759,"Win",IF(F759&lt;G759,"Loss","Draw"))</x:f>
        <x:v>Win</x:v>
      </x:c>
      <x:c r="I759" s="7" t="n">
        <x:f>IF(H759="Win",1,0)</x:f>
        <x:v>1</x:v>
      </x:c>
      <x:c r="J759" s="7" t="n">
        <x:f>F759-G759</x:f>
        <x:v>7</x:v>
      </x:c>
      <x:c r="K759" s="7" t="n">
        <x:f>F759+G759</x:f>
        <x:v>19</x:v>
      </x:c>
      <x:c r="L759" s="7" t="n">
        <x:v>25</x:v>
      </x:c>
      <x:c r="M759" s="7" t="n">
        <x:v>13</x:v>
      </x:c>
      <x:c r="N759" s="7" t="n">
        <x:v>0</x:v>
      </x:c>
      <x:c r="O759" s="9" t="n">
        <x:f>IF(M759=0,"n.a.",L759/M759)</x:f>
        <x:v>1.9230769230769231</x:v>
      </x:c>
      <x:c r="P759" s="9" t="n">
        <x:f>IF(K759=0,"n.a.",L759/K759)</x:f>
        <x:v>1.3157894736842106</x:v>
      </x:c>
      <x:c r="Q759" s="9" t="n">
        <x:f>IF(K759=0,"n.a.",M759/K759)</x:f>
        <x:v>0.6842105263157895</x:v>
      </x:c>
      <x:c r="R759" s="9" t="n">
        <x:f>IF(K759=0,"n.a.",N759/K759)</x:f>
        <x:v>0</x:v>
      </x:c>
      <x:c r="S759" s="7" t="n">
        <x:v>78</x:v>
      </x:c>
      <x:c r="T759" s="10" t="n">
        <x:v>0.34</x:v>
      </x:c>
      <x:c r="U759" s="7" t="n">
        <x:v>349</x:v>
      </x:c>
      <x:c r="V759" s="7" t="n">
        <x:v>776</x:v>
      </x:c>
    </x:row>
    <x:row r="760" ht="16" customHeight="1">
      <x:c r="A760" s="7" t="n">
        <x:v>757</x:v>
      </x:c>
      <x:c r="B760" s="8" t="n">
        <x:v>46160</x:v>
      </x:c>
      <x:c r="C760" s="7" t="str">
        <x:v>Split</x:v>
      </x:c>
      <x:c r="D760" s="7" t="str">
        <x:v>5th</x:v>
      </x:c>
      <x:c r="E760" s="7" t="str">
        <x:v>Astra</x:v>
      </x:c>
      <x:c r="F760" s="7" t="n">
        <x:v>13</x:v>
      </x:c>
      <x:c r="G760" s="7" t="n">
        <x:v>5</x:v>
      </x:c>
      <x:c r="H760" s="7" t="str">
        <x:f>IF(F760&gt;G760,"Win",IF(F760&lt;G760,"Loss","Draw"))</x:f>
        <x:v>Win</x:v>
      </x:c>
      <x:c r="I760" s="7" t="n">
        <x:f>IF(H760="Win",1,0)</x:f>
        <x:v>1</x:v>
      </x:c>
      <x:c r="J760" s="7" t="n">
        <x:f>F760-G760</x:f>
        <x:v>8</x:v>
      </x:c>
      <x:c r="K760" s="7" t="n">
        <x:f>F760+G760</x:f>
        <x:v>18</x:v>
      </x:c>
      <x:c r="L760" s="7" t="n">
        <x:v>15</x:v>
      </x:c>
      <x:c r="M760" s="7" t="n">
        <x:v>10</x:v>
      </x:c>
      <x:c r="N760" s="7" t="n">
        <x:v>6</x:v>
      </x:c>
      <x:c r="O760" s="9" t="n">
        <x:f>IF(M760=0,"n.a.",L760/M760)</x:f>
        <x:v>1.5</x:v>
      </x:c>
      <x:c r="P760" s="9" t="n">
        <x:f>IF(K760=0,"n.a.",L760/K760)</x:f>
        <x:v>0.8333333333333334</x:v>
      </x:c>
      <x:c r="Q760" s="9" t="n">
        <x:f>IF(K760=0,"n.a.",M760/K760)</x:f>
        <x:v>0.5555555555555556</x:v>
      </x:c>
      <x:c r="R760" s="9" t="n">
        <x:f>IF(K760=0,"n.a.",N760/K760)</x:f>
        <x:v>0.3333333333333333</x:v>
      </x:c>
      <x:c r="S760" s="7" t="n">
        <x:v>29</x:v>
      </x:c>
      <x:c r="T760" s="10" t="n">
        <x:v>0.31</x:v>
      </x:c>
      <x:c r="U760" s="7" t="n">
        <x:v>225</x:v>
      </x:c>
      <x:c r="V760" s="7" t="n">
        <x:v>827</x:v>
      </x:c>
    </x:row>
    <x:row r="761" ht="16" customHeight="1">
      <x:c r="A761" s="7" t="n">
        <x:v>758</x:v>
      </x:c>
      <x:c r="B761" s="8" t="n">
        <x:v>46160</x:v>
      </x:c>
      <x:c r="C761" s="7" t="str">
        <x:v>Lotus</x:v>
      </x:c>
      <x:c r="D761" s="7" t="str">
        <x:v>7th</x:v>
      </x:c>
      <x:c r="E761" s="7" t="str">
        <x:v>Chamber</x:v>
      </x:c>
      <x:c r="F761" s="7" t="n">
        <x:v>14</x:v>
      </x:c>
      <x:c r="G761" s="7" t="n">
        <x:v>12</x:v>
      </x:c>
      <x:c r="H761" s="7" t="str">
        <x:f>IF(F761&gt;G761,"Win",IF(F761&lt;G761,"Loss","Draw"))</x:f>
        <x:v>Win</x:v>
      </x:c>
      <x:c r="I761" s="7" t="n">
        <x:f>IF(H761="Win",1,0)</x:f>
        <x:v>1</x:v>
      </x:c>
      <x:c r="J761" s="7" t="n">
        <x:f>F761-G761</x:f>
        <x:v>2</x:v>
      </x:c>
      <x:c r="K761" s="7" t="n">
        <x:f>F761+G761</x:f>
        <x:v>26</x:v>
      </x:c>
      <x:c r="L761" s="7" t="n">
        <x:v>16</x:v>
      </x:c>
      <x:c r="M761" s="7" t="n">
        <x:v>17</x:v>
      </x:c>
      <x:c r="N761" s="7" t="n">
        <x:v>3</x:v>
      </x:c>
      <x:c r="O761" s="9" t="n">
        <x:f>IF(M761=0,"n.a.",L761/M761)</x:f>
        <x:v>0.9411764705882353</x:v>
      </x:c>
      <x:c r="P761" s="9" t="n">
        <x:f>IF(K761=0,"n.a.",L761/K761)</x:f>
        <x:v>0.6153846153846154</x:v>
      </x:c>
      <x:c r="Q761" s="9" t="n">
        <x:f>IF(K761=0,"n.a.",M761/K761)</x:f>
        <x:v>0.6538461538461539</x:v>
      </x:c>
      <x:c r="R761" s="9" t="n">
        <x:f>IF(K761=0,"n.a.",N761/K761)</x:f>
        <x:v>0.11538461538461539</x:v>
      </x:c>
      <x:c r="S761" s="7" t="n">
        <x:v>-6</x:v>
      </x:c>
      <x:c r="T761" s="10" t="n">
        <x:v>0.2</x:v>
      </x:c>
      <x:c r="U761" s="7" t="n">
        <x:v>168</x:v>
      </x:c>
      <x:c r="V761" s="7" t="n">
        <x:v>472</x:v>
      </x:c>
    </x:row>
    <x:row r="762" ht="16" customHeight="1">
      <x:c r="A762" s="7" t="n">
        <x:v>759</x:v>
      </x:c>
      <x:c r="B762" s="8" t="n">
        <x:v>46161</x:v>
      </x:c>
      <x:c r="C762" s="7" t="str">
        <x:v>Pearl</x:v>
      </x:c>
      <x:c r="D762" s="7" t="str">
        <x:v>4th</x:v>
      </x:c>
      <x:c r="E762" s="7" t="str">
        <x:v>Reyna</x:v>
      </x:c>
      <x:c r="F762" s="7" t="n">
        <x:v>13</x:v>
      </x:c>
      <x:c r="G762" s="7" t="n">
        <x:v>8</x:v>
      </x:c>
      <x:c r="H762" s="7" t="str">
        <x:f>IF(F762&gt;G762,"Win",IF(F762&lt;G762,"Loss","Draw"))</x:f>
        <x:v>Win</x:v>
      </x:c>
      <x:c r="I762" s="7" t="n">
        <x:f>IF(H762="Win",1,0)</x:f>
        <x:v>1</x:v>
      </x:c>
      <x:c r="J762" s="7" t="n">
        <x:f>F762-G762</x:f>
        <x:v>5</x:v>
      </x:c>
      <x:c r="K762" s="7" t="n">
        <x:f>F762+G762</x:f>
        <x:v>21</x:v>
      </x:c>
      <x:c r="L762" s="7" t="n">
        <x:v>19</x:v>
      </x:c>
      <x:c r="M762" s="7" t="n">
        <x:v>14</x:v>
      </x:c>
      <x:c r="N762" s="7" t="n">
        <x:v>9</x:v>
      </x:c>
      <x:c r="O762" s="9" t="n">
        <x:f>IF(M762=0,"n.a.",L762/M762)</x:f>
        <x:v>1.3571428571428572</x:v>
      </x:c>
      <x:c r="P762" s="9" t="n">
        <x:f>IF(K762=0,"n.a.",L762/K762)</x:f>
        <x:v>0.9047619047619048</x:v>
      </x:c>
      <x:c r="Q762" s="9" t="n">
        <x:f>IF(K762=0,"n.a.",M762/K762)</x:f>
        <x:v>0.6666666666666666</x:v>
      </x:c>
      <x:c r="R762" s="9" t="n">
        <x:f>IF(K762=0,"n.a.",N762/K762)</x:f>
        <x:v>0.42857142857142855</x:v>
      </x:c>
      <x:c r="S762" s="7" t="n">
        <x:v>27</x:v>
      </x:c>
      <x:c r="T762" s="10" t="n">
        <x:v>0.17</x:v>
      </x:c>
      <x:c r="U762" s="7" t="n">
        <x:v>254</x:v>
      </x:c>
      <x:c r="V762" s="7" t="n">
        <x:v>815</x:v>
      </x:c>
    </x:row>
    <x:row r="763" ht="16" customHeight="1">
      <x:c r="A763" s="7" t="n">
        <x:v>760</x:v>
      </x:c>
      <x:c r="B763" s="8" t="n">
        <x:v>46161</x:v>
      </x:c>
      <x:c r="C763" s="7" t="str">
        <x:v>Split</x:v>
      </x:c>
      <x:c r="D763" s="7" t="str">
        <x:v>3rd</x:v>
      </x:c>
      <x:c r="E763" s="7" t="str">
        <x:v>Neon</x:v>
      </x:c>
      <x:c r="F763" s="7" t="n">
        <x:v>7</x:v>
      </x:c>
      <x:c r="G763" s="7" t="n">
        <x:v>13</x:v>
      </x:c>
      <x:c r="H763" s="7" t="str">
        <x:f>IF(F763&gt;G763,"Win",IF(F763&lt;G763,"Loss","Draw"))</x:f>
        <x:v>Loss</x:v>
      </x:c>
      <x:c r="I763" s="7" t="n">
        <x:f>IF(H763="Win",1,0)</x:f>
        <x:v>0</x:v>
      </x:c>
      <x:c r="J763" s="7" t="n">
        <x:f>F763-G763</x:f>
        <x:v>-6</x:v>
      </x:c>
      <x:c r="K763" s="7" t="n">
        <x:f>F763+G763</x:f>
        <x:v>20</x:v>
      </x:c>
      <x:c r="L763" s="7" t="n">
        <x:v>21</x:v>
      </x:c>
      <x:c r="M763" s="7" t="n">
        <x:v>16</x:v>
      </x:c>
      <x:c r="N763" s="7" t="n">
        <x:v>2</x:v>
      </x:c>
      <x:c r="O763" s="9" t="n">
        <x:f>IF(M763=0,"n.a.",L763/M763)</x:f>
        <x:v>1.3125</x:v>
      </x:c>
      <x:c r="P763" s="9" t="n">
        <x:f>IF(K763=0,"n.a.",L763/K763)</x:f>
        <x:v>1.05</x:v>
      </x:c>
      <x:c r="Q763" s="9" t="n">
        <x:f>IF(K763=0,"n.a.",M763/K763)</x:f>
        <x:v>0.8</x:v>
      </x:c>
      <x:c r="R763" s="9" t="n">
        <x:f>IF(K763=0,"n.a.",N763/K763)</x:f>
        <x:v>0.1</x:v>
      </x:c>
      <x:c r="S763" s="7" t="n">
        <x:v>24</x:v>
      </x:c>
      <x:c r="T763" s="10" t="n">
        <x:v>0.19</x:v>
      </x:c>
      <x:c r="U763" s="7" t="n">
        <x:v>277</x:v>
      </x:c>
      <x:c r="V763" s="7" t="n">
        <x:v>516</x:v>
      </x:c>
    </x:row>
    <x:row r="764" ht="16" customHeight="1">
      <x:c r="A764" s="7" t="n">
        <x:v>761</x:v>
      </x:c>
      <x:c r="B764" s="8" t="n">
        <x:v>46161</x:v>
      </x:c>
      <x:c r="C764" s="7" t="str">
        <x:v>Ascent</x:v>
      </x:c>
      <x:c r="D764" s="7" t="str">
        <x:v>2nd</x:v>
      </x:c>
      <x:c r="E764" s="7" t="str">
        <x:v>Reyna</x:v>
      </x:c>
      <x:c r="F764" s="7" t="n">
        <x:v>13</x:v>
      </x:c>
      <x:c r="G764" s="7" t="n">
        <x:v>10</x:v>
      </x:c>
      <x:c r="H764" s="7" t="str">
        <x:f>IF(F764&gt;G764,"Win",IF(F764&lt;G764,"Loss","Draw"))</x:f>
        <x:v>Win</x:v>
      </x:c>
      <x:c r="I764" s="7" t="n">
        <x:f>IF(H764="Win",1,0)</x:f>
        <x:v>1</x:v>
      </x:c>
      <x:c r="J764" s="7" t="n">
        <x:f>F764-G764</x:f>
        <x:v>3</x:v>
      </x:c>
      <x:c r="K764" s="7" t="n">
        <x:f>F764+G764</x:f>
        <x:v>23</x:v>
      </x:c>
      <x:c r="L764" s="7" t="n">
        <x:v>27</x:v>
      </x:c>
      <x:c r="M764" s="7" t="n">
        <x:v>16</x:v>
      </x:c>
      <x:c r="N764" s="7" t="n">
        <x:v>4</x:v>
      </x:c>
      <x:c r="O764" s="9" t="n">
        <x:f>IF(M764=0,"n.a.",L764/M764)</x:f>
        <x:v>1.6875</x:v>
      </x:c>
      <x:c r="P764" s="9" t="n">
        <x:f>IF(K764=0,"n.a.",L764/K764)</x:f>
        <x:v>1.173913043478261</x:v>
      </x:c>
      <x:c r="Q764" s="9" t="n">
        <x:f>IF(K764=0,"n.a.",M764/K764)</x:f>
        <x:v>0.6956521739130435</x:v>
      </x:c>
      <x:c r="R764" s="9" t="n">
        <x:f>IF(K764=0,"n.a.",N764/K764)</x:f>
        <x:v>0.17391304347826086</x:v>
      </x:c>
      <x:c r="S764" s="7" t="n">
        <x:v>21</x:v>
      </x:c>
      <x:c r="T764" s="10" t="n">
        <x:v>0.31</x:v>
      </x:c>
      <x:c r="U764" s="7" t="n">
        <x:v>308</x:v>
      </x:c>
      <x:c r="V764" s="7" t="n">
        <x:v>774</x:v>
      </x:c>
    </x:row>
    <x:row r="765" ht="16" customHeight="1">
      <x:c r="A765" s="7" t="n">
        <x:v>762</x:v>
      </x:c>
      <x:c r="B765" s="8" t="n">
        <x:v>46161</x:v>
      </x:c>
      <x:c r="C765" s="7" t="str">
        <x:v>Ascent</x:v>
      </x:c>
      <x:c r="D765" s="7" t="str">
        <x:v>2nd</x:v>
      </x:c>
      <x:c r="E765" s="7" t="str">
        <x:v>Reyna</x:v>
      </x:c>
      <x:c r="F765" s="7" t="n">
        <x:v>15</x:v>
      </x:c>
      <x:c r="G765" s="7" t="n">
        <x:v>13</x:v>
      </x:c>
      <x:c r="H765" s="7" t="str">
        <x:f>IF(F765&gt;G765,"Win",IF(F765&lt;G765,"Loss","Draw"))</x:f>
        <x:v>Win</x:v>
      </x:c>
      <x:c r="I765" s="7" t="n">
        <x:f>IF(H765="Win",1,0)</x:f>
        <x:v>1</x:v>
      </x:c>
      <x:c r="J765" s="7" t="n">
        <x:f>F765-G765</x:f>
        <x:v>2</x:v>
      </x:c>
      <x:c r="K765" s="7" t="n">
        <x:f>F765+G765</x:f>
        <x:v>28</x:v>
      </x:c>
      <x:c r="L765" s="7" t="n">
        <x:v>28</x:v>
      </x:c>
      <x:c r="M765" s="7" t="n">
        <x:v>20</x:v>
      </x:c>
      <x:c r="N765" s="7" t="n">
        <x:v>3</x:v>
      </x:c>
      <x:c r="O765" s="9" t="n">
        <x:f>IF(M765=0,"n.a.",L765/M765)</x:f>
        <x:v>1.4</x:v>
      </x:c>
      <x:c r="P765" s="9" t="n">
        <x:f>IF(K765=0,"n.a.",L765/K765)</x:f>
        <x:v>1</x:v>
      </x:c>
      <x:c r="Q765" s="9" t="n">
        <x:f>IF(K765=0,"n.a.",M765/K765)</x:f>
        <x:v>0.7142857142857143</x:v>
      </x:c>
      <x:c r="R765" s="9" t="n">
        <x:f>IF(K765=0,"n.a.",N765/K765)</x:f>
        <x:v>0.10714285714285714</x:v>
      </x:c>
      <x:c r="S765" s="7" t="n">
        <x:v>31</x:v>
      </x:c>
      <x:c r="T765" s="10" t="n">
        <x:v>0.39</x:v>
      </x:c>
      <x:c r="U765" s="7" t="n">
        <x:v>281</x:v>
      </x:c>
      <x:c r="V765" s="7" t="n">
        <x:v>663</x:v>
      </x:c>
    </x:row>
    <x:row r="766" ht="16" customHeight="1">
      <x:c r="A766" s="7" t="n">
        <x:v>763</x:v>
      </x:c>
      <x:c r="B766" s="8" t="n">
        <x:v>46162</x:v>
      </x:c>
      <x:c r="C766" s="7" t="str">
        <x:v>Ascent</x:v>
      </x:c>
      <x:c r="D766" s="7" t="str">
        <x:v>8th</x:v>
      </x:c>
      <x:c r="E766" s="7" t="str">
        <x:v>Reyna</x:v>
      </x:c>
      <x:c r="F766" s="7" t="n">
        <x:v>10</x:v>
      </x:c>
      <x:c r="G766" s="7" t="n">
        <x:v>13</x:v>
      </x:c>
      <x:c r="H766" s="7" t="str">
        <x:f>IF(F766&gt;G766,"Win",IF(F766&lt;G766,"Loss","Draw"))</x:f>
        <x:v>Loss</x:v>
      </x:c>
      <x:c r="I766" s="7" t="n">
        <x:f>IF(H766="Win",1,0)</x:f>
        <x:v>0</x:v>
      </x:c>
      <x:c r="J766" s="7" t="n">
        <x:f>F766-G766</x:f>
        <x:v>-3</x:v>
      </x:c>
      <x:c r="K766" s="7" t="n">
        <x:f>F766+G766</x:f>
        <x:v>23</x:v>
      </x:c>
      <x:c r="L766" s="7" t="n">
        <x:v>15</x:v>
      </x:c>
      <x:c r="M766" s="7" t="n">
        <x:v>19</x:v>
      </x:c>
      <x:c r="N766" s="7" t="n">
        <x:v>6</x:v>
      </x:c>
      <x:c r="O766" s="9" t="n">
        <x:f>IF(M766=0,"n.a.",L766/M766)</x:f>
        <x:v>0.7894736842105263</x:v>
      </x:c>
      <x:c r="P766" s="9" t="n">
        <x:f>IF(K766=0,"n.a.",L766/K766)</x:f>
        <x:v>0.6521739130434783</x:v>
      </x:c>
      <x:c r="Q766" s="9" t="n">
        <x:f>IF(K766=0,"n.a.",M766/K766)</x:f>
        <x:v>0.8260869565217391</x:v>
      </x:c>
      <x:c r="R766" s="9" t="n">
        <x:f>IF(K766=0,"n.a.",N766/K766)</x:f>
        <x:v>0.2608695652173913</x:v>
      </x:c>
      <x:c r="S766" s="7" t="n">
        <x:v>-31</x:v>
      </x:c>
      <x:c r="T766" s="10" t="n">
        <x:v>0.31</x:v>
      </x:c>
      <x:c r="U766" s="7" t="n">
        <x:v>185</x:v>
      </x:c>
      <x:c r="V766" s="7" t="n">
        <x:v>336</x:v>
      </x:c>
    </x:row>
    <x:row r="767" ht="16" customHeight="1">
      <x:c r="A767" s="7" t="n">
        <x:v>764</x:v>
      </x:c>
      <x:c r="B767" s="8" t="n">
        <x:v>46162</x:v>
      </x:c>
      <x:c r="C767" s="7" t="str">
        <x:v>Pearl</x:v>
      </x:c>
      <x:c r="D767" s="7" t="str">
        <x:v>2nd</x:v>
      </x:c>
      <x:c r="E767" s="7" t="str">
        <x:v>Reyna</x:v>
      </x:c>
      <x:c r="F767" s="7" t="n">
        <x:v>7</x:v>
      </x:c>
      <x:c r="G767" s="7" t="n">
        <x:v>13</x:v>
      </x:c>
      <x:c r="H767" s="7" t="str">
        <x:f>IF(F767&gt;G767,"Win",IF(F767&lt;G767,"Loss","Draw"))</x:f>
        <x:v>Loss</x:v>
      </x:c>
      <x:c r="I767" s="7" t="n">
        <x:f>IF(H767="Win",1,0)</x:f>
        <x:v>0</x:v>
      </x:c>
      <x:c r="J767" s="7" t="n">
        <x:f>F767-G767</x:f>
        <x:v>-6</x:v>
      </x:c>
      <x:c r="K767" s="7" t="n">
        <x:f>F767+G767</x:f>
        <x:v>20</x:v>
      </x:c>
      <x:c r="L767" s="7" t="n">
        <x:v>27</x:v>
      </x:c>
      <x:c r="M767" s="7" t="n">
        <x:v>17</x:v>
      </x:c>
      <x:c r="N767" s="7" t="n">
        <x:v>6</x:v>
      </x:c>
      <x:c r="O767" s="9" t="n">
        <x:f>IF(M767=0,"n.a.",L767/M767)</x:f>
        <x:v>1.588235294117647</x:v>
      </x:c>
      <x:c r="P767" s="9" t="n">
        <x:f>IF(K767=0,"n.a.",L767/K767)</x:f>
        <x:v>1.35</x:v>
      </x:c>
      <x:c r="Q767" s="9" t="n">
        <x:f>IF(K767=0,"n.a.",M767/K767)</x:f>
        <x:v>0.85</x:v>
      </x:c>
      <x:c r="R767" s="9" t="n">
        <x:f>IF(K767=0,"n.a.",N767/K767)</x:f>
        <x:v>0.3</x:v>
      </x:c>
      <x:c r="S767" s="7" t="n">
        <x:v>78</x:v>
      </x:c>
      <x:c r="T767" s="10" t="n">
        <x:v>0.19</x:v>
      </x:c>
      <x:c r="U767" s="7" t="n">
        <x:v>403</x:v>
      </x:c>
      <x:c r="V767" s="7" t="n">
        <x:v>854</x:v>
      </x:c>
    </x:row>
    <x:row r="768" ht="16" customHeight="1">
      <x:c r="A768" s="7" t="n">
        <x:v>765</x:v>
      </x:c>
      <x:c r="B768" s="8" t="n">
        <x:v>46162</x:v>
      </x:c>
      <x:c r="C768" s="7" t="str">
        <x:v>Lotus</x:v>
      </x:c>
      <x:c r="D768" s="7" t="str">
        <x:v>3rd</x:v>
      </x:c>
      <x:c r="E768" s="7" t="str">
        <x:v>Reyna</x:v>
      </x:c>
      <x:c r="F768" s="7" t="n">
        <x:v>13</x:v>
      </x:c>
      <x:c r="G768" s="7" t="n">
        <x:v>11</x:v>
      </x:c>
      <x:c r="H768" s="7" t="str">
        <x:f>IF(F768&gt;G768,"Win",IF(F768&lt;G768,"Loss","Draw"))</x:f>
        <x:v>Win</x:v>
      </x:c>
      <x:c r="I768" s="7" t="n">
        <x:f>IF(H768="Win",1,0)</x:f>
        <x:v>1</x:v>
      </x:c>
      <x:c r="J768" s="7" t="n">
        <x:f>F768-G768</x:f>
        <x:v>2</x:v>
      </x:c>
      <x:c r="K768" s="7" t="n">
        <x:f>F768+G768</x:f>
        <x:v>24</x:v>
      </x:c>
      <x:c r="L768" s="7" t="n">
        <x:v>25</x:v>
      </x:c>
      <x:c r="M768" s="7" t="n">
        <x:v>20</x:v>
      </x:c>
      <x:c r="N768" s="7" t="n">
        <x:v>7</x:v>
      </x:c>
      <x:c r="O768" s="9" t="n">
        <x:f>IF(M768=0,"n.a.",L768/M768)</x:f>
        <x:v>1.25</x:v>
      </x:c>
      <x:c r="P768" s="9" t="n">
        <x:f>IF(K768=0,"n.a.",L768/K768)</x:f>
        <x:v>1.0416666666666667</x:v>
      </x:c>
      <x:c r="Q768" s="9" t="n">
        <x:f>IF(K768=0,"n.a.",M768/K768)</x:f>
        <x:v>0.8333333333333334</x:v>
      </x:c>
      <x:c r="R768" s="9" t="n">
        <x:f>IF(K768=0,"n.a.",N768/K768)</x:f>
        <x:v>0.2916666666666667</x:v>
      </x:c>
      <x:c r="S768" s="7" t="n">
        <x:v>25</x:v>
      </x:c>
      <x:c r="T768" s="10" t="n">
        <x:v>0.36</x:v>
      </x:c>
      <x:c r="U768" s="7" t="n">
        <x:v>285</x:v>
      </x:c>
      <x:c r="V768" s="7" t="n">
        <x:v>830</x:v>
      </x:c>
    </x:row>
    <x:row r="769" ht="16" customHeight="1">
      <x:c r="A769" s="7" t="n">
        <x:v>766</x:v>
      </x:c>
      <x:c r="B769" s="8" t="n">
        <x:v>46162</x:v>
      </x:c>
      <x:c r="C769" s="7" t="str">
        <x:v>Lotus</x:v>
      </x:c>
      <x:c r="D769" s="7" t="str">
        <x:v>MVP</x:v>
      </x:c>
      <x:c r="E769" s="7" t="str">
        <x:v>Reyna</x:v>
      </x:c>
      <x:c r="F769" s="7" t="n">
        <x:v>13</x:v>
      </x:c>
      <x:c r="G769" s="7" t="n">
        <x:v>9</x:v>
      </x:c>
      <x:c r="H769" s="7" t="str">
        <x:f>IF(F769&gt;G769,"Win",IF(F769&lt;G769,"Loss","Draw"))</x:f>
        <x:v>Win</x:v>
      </x:c>
      <x:c r="I769" s="7" t="n">
        <x:f>IF(H769="Win",1,0)</x:f>
        <x:v>1</x:v>
      </x:c>
      <x:c r="J769" s="7" t="n">
        <x:f>F769-G769</x:f>
        <x:v>4</x:v>
      </x:c>
      <x:c r="K769" s="7" t="n">
        <x:f>F769+G769</x:f>
        <x:v>22</x:v>
      </x:c>
      <x:c r="L769" s="7" t="n">
        <x:v>23</x:v>
      </x:c>
      <x:c r="M769" s="7" t="n">
        <x:v>14</x:v>
      </x:c>
      <x:c r="N769" s="7" t="n">
        <x:v>7</x:v>
      </x:c>
      <x:c r="O769" s="9" t="n">
        <x:f>IF(M769=0,"n.a.",L769/M769)</x:f>
        <x:v>1.6428571428571428</x:v>
      </x:c>
      <x:c r="P769" s="9" t="n">
        <x:f>IF(K769=0,"n.a.",L769/K769)</x:f>
        <x:v>1.0454545454545454</x:v>
      </x:c>
      <x:c r="Q769" s="9" t="n">
        <x:f>IF(K769=0,"n.a.",M769/K769)</x:f>
        <x:v>0.6363636363636364</x:v>
      </x:c>
      <x:c r="R769" s="9" t="n">
        <x:f>IF(K769=0,"n.a.",N769/K769)</x:f>
        <x:v>0.3181818181818182</x:v>
      </x:c>
      <x:c r="S769" s="7" t="n">
        <x:v>65</x:v>
      </x:c>
      <x:c r="T769" s="10" t="n">
        <x:v>0.27</x:v>
      </x:c>
      <x:c r="U769" s="7" t="n">
        <x:v>291</x:v>
      </x:c>
      <x:c r="V769" s="7" t="n">
        <x:v>931</x:v>
      </x:c>
    </x:row>
    <x:row r="770" ht="16" customHeight="1">
      <x:c r="A770" s="7" t="n">
        <x:v>767</x:v>
      </x:c>
      <x:c r="B770" s="8" t="n">
        <x:v>46162</x:v>
      </x:c>
      <x:c r="C770" s="7" t="str">
        <x:v>Fracture</x:v>
      </x:c>
      <x:c r="D770" s="7" t="str">
        <x:v>3rd</x:v>
      </x:c>
      <x:c r="E770" s="7" t="str">
        <x:v>Reyna</x:v>
      </x:c>
      <x:c r="F770" s="7" t="n">
        <x:v>8</x:v>
      </x:c>
      <x:c r="G770" s="7" t="n">
        <x:v>2</x:v>
      </x:c>
      <x:c r="H770" s="7" t="str">
        <x:f>IF(F770&gt;G770,"Win",IF(F770&lt;G770,"Loss","Draw"))</x:f>
        <x:v>Win</x:v>
      </x:c>
      <x:c r="I770" s="7" t="n">
        <x:f>IF(H770="Win",1,0)</x:f>
        <x:v>1</x:v>
      </x:c>
      <x:c r="J770" s="7" t="n">
        <x:f>F770-G770</x:f>
        <x:v>6</x:v>
      </x:c>
      <x:c r="K770" s="7" t="n">
        <x:f>F770+G770</x:f>
        <x:v>10</x:v>
      </x:c>
      <x:c r="L770" s="7" t="n">
        <x:v>12</x:v>
      </x:c>
      <x:c r="M770" s="7" t="n">
        <x:v>5</x:v>
      </x:c>
      <x:c r="N770" s="7" t="n">
        <x:v>1</x:v>
      </x:c>
      <x:c r="O770" s="9" t="n">
        <x:f>IF(M770=0,"n.a.",L770/M770)</x:f>
        <x:v>2.4</x:v>
      </x:c>
      <x:c r="P770" s="9" t="n">
        <x:f>IF(K770=0,"n.a.",L770/K770)</x:f>
        <x:v>1.2</x:v>
      </x:c>
      <x:c r="Q770" s="9" t="n">
        <x:f>IF(K770=0,"n.a.",M770/K770)</x:f>
        <x:v>0.5</x:v>
      </x:c>
      <x:c r="R770" s="9" t="n">
        <x:f>IF(K770=0,"n.a.",N770/K770)</x:f>
        <x:v>0.1</x:v>
      </x:c>
      <x:c r="S770" s="7" t="n">
        <x:v>48</x:v>
      </x:c>
      <x:c r="T770" s="10" t="n">
        <x:v>0.17</x:v>
      </x:c>
      <x:c r="U770" s="7" t="n">
        <x:v>312</x:v>
      </x:c>
      <x:c r="V770" s="7" t="n">
        <x:v>947</x:v>
      </x:c>
    </x:row>
    <x:row r="771" ht="16" customHeight="1">
      <x:c r="A771" s="7" t="n">
        <x:v>768</x:v>
      </x:c>
      <x:c r="B771" s="8" t="n">
        <x:v>46162</x:v>
      </x:c>
      <x:c r="C771" s="7" t="str">
        <x:v>Fracture</x:v>
      </x:c>
      <x:c r="D771" s="7" t="str">
        <x:v>9th</x:v>
      </x:c>
      <x:c r="E771" s="7" t="str">
        <x:v>Gekko</x:v>
      </x:c>
      <x:c r="F771" s="7" t="n">
        <x:v>11</x:v>
      </x:c>
      <x:c r="G771" s="7" t="n">
        <x:v>13</x:v>
      </x:c>
      <x:c r="H771" s="7" t="str">
        <x:f>IF(F771&gt;G771,"Win",IF(F771&lt;G771,"Loss","Draw"))</x:f>
        <x:v>Loss</x:v>
      </x:c>
      <x:c r="I771" s="7" t="n">
        <x:f>IF(H771="Win",1,0)</x:f>
        <x:v>0</x:v>
      </x:c>
      <x:c r="J771" s="7" t="n">
        <x:f>F771-G771</x:f>
        <x:v>-2</x:v>
      </x:c>
      <x:c r="K771" s="7" t="n">
        <x:f>F771+G771</x:f>
        <x:v>24</x:v>
      </x:c>
      <x:c r="L771" s="7" t="n">
        <x:v>14</x:v>
      </x:c>
      <x:c r="M771" s="7" t="n">
        <x:v>20</x:v>
      </x:c>
      <x:c r="N771" s="7" t="n">
        <x:v>5</x:v>
      </x:c>
      <x:c r="O771" s="9" t="n">
        <x:f>IF(M771=0,"n.a.",L771/M771)</x:f>
        <x:v>0.7</x:v>
      </x:c>
      <x:c r="P771" s="9" t="n">
        <x:f>IF(K771=0,"n.a.",L771/K771)</x:f>
        <x:v>0.5833333333333334</x:v>
      </x:c>
      <x:c r="Q771" s="9" t="n">
        <x:f>IF(K771=0,"n.a.",M771/K771)</x:f>
        <x:v>0.8333333333333334</x:v>
      </x:c>
      <x:c r="R771" s="9" t="n">
        <x:f>IF(K771=0,"n.a.",N771/K771)</x:f>
        <x:v>0.20833333333333334</x:v>
      </x:c>
      <x:c r="S771" s="7" t="n">
        <x:v>-52</x:v>
      </x:c>
      <x:c r="T771" s="10" t="n">
        <x:v>0.28</x:v>
      </x:c>
      <x:c r="U771" s="7" t="n">
        <x:v>168</x:v>
      </x:c>
      <x:c r="V771" s="7" t="n">
        <x:v>276</x:v>
      </x:c>
    </x:row>
    <x:row r="772" ht="16" customHeight="1">
      <x:c r="A772" s="7" t="n">
        <x:v>769</x:v>
      </x:c>
      <x:c r="B772" s="8" t="n">
        <x:v>46162</x:v>
      </x:c>
      <x:c r="C772" s="7" t="str">
        <x:v>Ascent</x:v>
      </x:c>
      <x:c r="D772" s="7" t="str">
        <x:v>2nd</x:v>
      </x:c>
      <x:c r="E772" s="7" t="str">
        <x:v>Reyna</x:v>
      </x:c>
      <x:c r="F772" s="7" t="n">
        <x:v>10</x:v>
      </x:c>
      <x:c r="G772" s="7" t="n">
        <x:v>13</x:v>
      </x:c>
      <x:c r="H772" s="7" t="str">
        <x:f>IF(F772&gt;G772,"Win",IF(F772&lt;G772,"Loss","Draw"))</x:f>
        <x:v>Loss</x:v>
      </x:c>
      <x:c r="I772" s="7" t="n">
        <x:f>IF(H772="Win",1,0)</x:f>
        <x:v>0</x:v>
      </x:c>
      <x:c r="J772" s="7" t="n">
        <x:f>F772-G772</x:f>
        <x:v>-3</x:v>
      </x:c>
      <x:c r="K772" s="7" t="n">
        <x:f>F772+G772</x:f>
        <x:v>23</x:v>
      </x:c>
      <x:c r="L772" s="7" t="n">
        <x:v>19</x:v>
      </x:c>
      <x:c r="M772" s="7" t="n">
        <x:v>19</x:v>
      </x:c>
      <x:c r="N772" s="7" t="n">
        <x:v>4</x:v>
      </x:c>
      <x:c r="O772" s="9" t="n">
        <x:f>IF(M772=0,"n.a.",L772/M772)</x:f>
        <x:v>1</x:v>
      </x:c>
      <x:c r="P772" s="9" t="n">
        <x:f>IF(K772=0,"n.a.",L772/K772)</x:f>
        <x:v>0.8260869565217391</x:v>
      </x:c>
      <x:c r="Q772" s="9" t="n">
        <x:f>IF(K772=0,"n.a.",M772/K772)</x:f>
        <x:v>0.8260869565217391</x:v>
      </x:c>
      <x:c r="R772" s="9" t="n">
        <x:f>IF(K772=0,"n.a.",N772/K772)</x:f>
        <x:v>0.17391304347826086</x:v>
      </x:c>
      <x:c r="S772" s="7" t="n">
        <x:v>5</x:v>
      </x:c>
      <x:c r="T772" s="10" t="n">
        <x:v>0.3</x:v>
      </x:c>
      <x:c r="U772" s="7" t="n">
        <x:v>239</x:v>
      </x:c>
      <x:c r="V772" s="7" t="n">
        <x:v>575</x:v>
      </x:c>
    </x:row>
    <x:row r="773" ht="16" customHeight="1">
      <x:c r="A773" s="7" t="n">
        <x:v>770</x:v>
      </x:c>
      <x:c r="B773" s="8" t="n">
        <x:v>46162</x:v>
      </x:c>
      <x:c r="C773" s="7" t="str">
        <x:v>Split</x:v>
      </x:c>
      <x:c r="D773" s="7" t="str">
        <x:v>MVP</x:v>
      </x:c>
      <x:c r="E773" s="7" t="str">
        <x:v>Reyna</x:v>
      </x:c>
      <x:c r="F773" s="7" t="n">
        <x:v>13</x:v>
      </x:c>
      <x:c r="G773" s="7" t="n">
        <x:v>8</x:v>
      </x:c>
      <x:c r="H773" s="7" t="str">
        <x:f>IF(F773&gt;G773,"Win",IF(F773&lt;G773,"Loss","Draw"))</x:f>
        <x:v>Win</x:v>
      </x:c>
      <x:c r="I773" s="7" t="n">
        <x:f>IF(H773="Win",1,0)</x:f>
        <x:v>1</x:v>
      </x:c>
      <x:c r="J773" s="7" t="n">
        <x:f>F773-G773</x:f>
        <x:v>5</x:v>
      </x:c>
      <x:c r="K773" s="7" t="n">
        <x:f>F773+G773</x:f>
        <x:v>21</x:v>
      </x:c>
      <x:c r="L773" s="7" t="n">
        <x:v>27</x:v>
      </x:c>
      <x:c r="M773" s="7" t="n">
        <x:v>17</x:v>
      </x:c>
      <x:c r="N773" s="7" t="n">
        <x:v>6</x:v>
      </x:c>
      <x:c r="O773" s="9" t="n">
        <x:f>IF(M773=0,"n.a.",L773/M773)</x:f>
        <x:v>1.588235294117647</x:v>
      </x:c>
      <x:c r="P773" s="9" t="n">
        <x:f>IF(K773=0,"n.a.",L773/K773)</x:f>
        <x:v>1.2857142857142858</x:v>
      </x:c>
      <x:c r="Q773" s="9" t="n">
        <x:f>IF(K773=0,"n.a.",M773/K773)</x:f>
        <x:v>0.8095238095238095</x:v>
      </x:c>
      <x:c r="R773" s="9" t="n">
        <x:f>IF(K773=0,"n.a.",N773/K773)</x:f>
        <x:v>0.2857142857142857</x:v>
      </x:c>
      <x:c r="S773" s="7" t="n">
        <x:v>60</x:v>
      </x:c>
      <x:c r="T773" s="10" t="n">
        <x:v>0.32</x:v>
      </x:c>
      <x:c r="U773" s="7" t="n">
        <x:v>361</x:v>
      </x:c>
      <x:c r="V773" s="7" t="n">
        <x:v>882</x:v>
      </x:c>
    </x:row>
    <x:row r="774" ht="16" customHeight="1">
      <x:c r="A774" s="7" t="n">
        <x:v>771</x:v>
      </x:c>
      <x:c r="B774" s="8" t="n">
        <x:v>46162</x:v>
      </x:c>
      <x:c r="C774" s="7" t="str">
        <x:v>Lotus</x:v>
      </x:c>
      <x:c r="D774" s="7" t="str">
        <x:v>6th</x:v>
      </x:c>
      <x:c r="E774" s="7" t="str">
        <x:v>Miks</x:v>
      </x:c>
      <x:c r="F774" s="7" t="n">
        <x:v>11</x:v>
      </x:c>
      <x:c r="G774" s="7" t="n">
        <x:v>13</x:v>
      </x:c>
      <x:c r="H774" s="7" t="str">
        <x:f>IF(F774&gt;G774,"Win",IF(F774&lt;G774,"Loss","Draw"))</x:f>
        <x:v>Loss</x:v>
      </x:c>
      <x:c r="I774" s="7" t="n">
        <x:f>IF(H774="Win",1,0)</x:f>
        <x:v>0</x:v>
      </x:c>
      <x:c r="J774" s="7" t="n">
        <x:f>F774-G774</x:f>
        <x:v>-2</x:v>
      </x:c>
      <x:c r="K774" s="7" t="n">
        <x:f>F774+G774</x:f>
        <x:v>24</x:v>
      </x:c>
      <x:c r="L774" s="7" t="n">
        <x:v>14</x:v>
      </x:c>
      <x:c r="M774" s="7" t="n">
        <x:v>18</x:v>
      </x:c>
      <x:c r="N774" s="7" t="n">
        <x:v>12</x:v>
      </x:c>
      <x:c r="O774" s="9" t="n">
        <x:f>IF(M774=0,"n.a.",L774/M774)</x:f>
        <x:v>0.7777777777777778</x:v>
      </x:c>
      <x:c r="P774" s="9" t="n">
        <x:f>IF(K774=0,"n.a.",L774/K774)</x:f>
        <x:v>0.5833333333333334</x:v>
      </x:c>
      <x:c r="Q774" s="9" t="n">
        <x:f>IF(K774=0,"n.a.",M774/K774)</x:f>
        <x:v>0.75</x:v>
      </x:c>
      <x:c r="R774" s="9" t="n">
        <x:f>IF(K774=0,"n.a.",N774/K774)</x:f>
        <x:v>0.5</x:v>
      </x:c>
      <x:c r="S774" s="7" t="n">
        <x:v>-24</x:v>
      </x:c>
      <x:c r="T774" s="10" t="n">
        <x:v>0.11</x:v>
      </x:c>
      <x:c r="U774" s="7" t="n">
        <x:v>171</x:v>
      </x:c>
      <x:c r="V774" s="7" t="n">
        <x:v>426</x:v>
      </x:c>
    </x:row>
    <x:row r="775" ht="16" customHeight="1">
      <x:c r="A775" s="7" t="n">
        <x:v>772</x:v>
      </x:c>
      <x:c r="B775" s="8" t="n">
        <x:v>46162</x:v>
      </x:c>
      <x:c r="C775" s="7" t="str">
        <x:v>Pearl</x:v>
      </x:c>
      <x:c r="D775" s="7" t="str">
        <x:v>3rd</x:v>
      </x:c>
      <x:c r="E775" s="7" t="str">
        <x:v>Reyna</x:v>
      </x:c>
      <x:c r="F775" s="7" t="n">
        <x:v>13</x:v>
      </x:c>
      <x:c r="G775" s="7" t="n">
        <x:v>11</x:v>
      </x:c>
      <x:c r="H775" s="7" t="str">
        <x:f>IF(F775&gt;G775,"Win",IF(F775&lt;G775,"Loss","Draw"))</x:f>
        <x:v>Win</x:v>
      </x:c>
      <x:c r="I775" s="7" t="n">
        <x:f>IF(H775="Win",1,0)</x:f>
        <x:v>1</x:v>
      </x:c>
      <x:c r="J775" s="7" t="n">
        <x:f>F775-G775</x:f>
        <x:v>2</x:v>
      </x:c>
      <x:c r="K775" s="7" t="n">
        <x:f>F775+G775</x:f>
        <x:v>24</x:v>
      </x:c>
      <x:c r="L775" s="7" t="n">
        <x:v>22</x:v>
      </x:c>
      <x:c r="M775" s="7" t="n">
        <x:v>16</x:v>
      </x:c>
      <x:c r="N775" s="7" t="n">
        <x:v>7</x:v>
      </x:c>
      <x:c r="O775" s="9" t="n">
        <x:f>IF(M775=0,"n.a.",L775/M775)</x:f>
        <x:v>1.375</x:v>
      </x:c>
      <x:c r="P775" s="9" t="n">
        <x:f>IF(K775=0,"n.a.",L775/K775)</x:f>
        <x:v>0.9166666666666666</x:v>
      </x:c>
      <x:c r="Q775" s="9" t="n">
        <x:f>IF(K775=0,"n.a.",M775/K775)</x:f>
        <x:v>0.6666666666666666</x:v>
      </x:c>
      <x:c r="R775" s="9" t="n">
        <x:f>IF(K775=0,"n.a.",N775/K775)</x:f>
        <x:v>0.2916666666666667</x:v>
      </x:c>
      <x:c r="S775" s="7" t="n">
        <x:v>3</x:v>
      </x:c>
      <x:c r="T775" s="10" t="n">
        <x:v>0.27</x:v>
      </x:c>
      <x:c r="U775" s="7" t="n">
        <x:v>249</x:v>
      </x:c>
      <x:c r="V775" s="7" t="n">
        <x:v>678</x:v>
      </x:c>
    </x:row>
    <x:row r="776" ht="16" customHeight="1">
      <x:c r="A776" s="7" t="n">
        <x:v>773</x:v>
      </x:c>
      <x:c r="B776" s="8" t="n">
        <x:v>46163</x:v>
      </x:c>
      <x:c r="C776" s="7" t="str">
        <x:v>Haven</x:v>
      </x:c>
      <x:c r="D776" s="7" t="str">
        <x:v>7th</x:v>
      </x:c>
      <x:c r="E776" s="7" t="str">
        <x:v>Astra</x:v>
      </x:c>
      <x:c r="F776" s="7" t="n">
        <x:v>13</x:v>
      </x:c>
      <x:c r="G776" s="7" t="n">
        <x:v>15</x:v>
      </x:c>
      <x:c r="H776" s="7" t="str">
        <x:f>IF(F776&gt;G776,"Win",IF(F776&lt;G776,"Loss","Draw"))</x:f>
        <x:v>Loss</x:v>
      </x:c>
      <x:c r="I776" s="7" t="n">
        <x:f>IF(H776="Win",1,0)</x:f>
        <x:v>0</x:v>
      </x:c>
      <x:c r="J776" s="7" t="n">
        <x:f>F776-G776</x:f>
        <x:v>-2</x:v>
      </x:c>
      <x:c r="K776" s="7" t="n">
        <x:f>F776+G776</x:f>
        <x:v>28</x:v>
      </x:c>
      <x:c r="L776" s="7" t="n">
        <x:v>16</x:v>
      </x:c>
      <x:c r="M776" s="7" t="n">
        <x:v>23</x:v>
      </x:c>
      <x:c r="N776" s="7" t="n">
        <x:v>9</x:v>
      </x:c>
      <x:c r="O776" s="9" t="n">
        <x:f>IF(M776=0,"n.a.",L776/M776)</x:f>
        <x:v>0.6956521739130435</x:v>
      </x:c>
      <x:c r="P776" s="9" t="n">
        <x:f>IF(K776=0,"n.a.",L776/K776)</x:f>
        <x:v>0.5714285714285714</x:v>
      </x:c>
      <x:c r="Q776" s="9" t="n">
        <x:f>IF(K776=0,"n.a.",M776/K776)</x:f>
        <x:v>0.8214285714285714</x:v>
      </x:c>
      <x:c r="R776" s="9" t="n">
        <x:f>IF(K776=0,"n.a.",N776/K776)</x:f>
        <x:v>0.32142857142857145</x:v>
      </x:c>
      <x:c r="S776" s="7" t="n">
        <x:v>-27</x:v>
      </x:c>
      <x:c r="T776" s="10" t="n">
        <x:v>0.22</x:v>
      </x:c>
      <x:c r="U776" s="7" t="n">
        <x:v>183</x:v>
      </x:c>
      <x:c r="V776" s="7" t="n">
        <x:v>456</x:v>
      </x:c>
    </x:row>
    <x:row r="777" ht="16" customHeight="1">
      <x:c r="A777" s="7" t="n">
        <x:v>774</x:v>
      </x:c>
      <x:c r="B777" s="8" t="n">
        <x:v>46163</x:v>
      </x:c>
      <x:c r="C777" s="7" t="str">
        <x:v>Fracture</x:v>
      </x:c>
      <x:c r="D777" s="7" t="str">
        <x:v>7th</x:v>
      </x:c>
      <x:c r="E777" s="7" t="str">
        <x:v>Reyna</x:v>
      </x:c>
      <x:c r="F777" s="7" t="n">
        <x:v>9</x:v>
      </x:c>
      <x:c r="G777" s="7" t="n">
        <x:v>13</x:v>
      </x:c>
      <x:c r="H777" s="7" t="str">
        <x:f>IF(F777&gt;G777,"Win",IF(F777&lt;G777,"Loss","Draw"))</x:f>
        <x:v>Loss</x:v>
      </x:c>
      <x:c r="I777" s="7" t="n">
        <x:f>IF(H777="Win",1,0)</x:f>
        <x:v>0</x:v>
      </x:c>
      <x:c r="J777" s="7" t="n">
        <x:f>F777-G777</x:f>
        <x:v>-4</x:v>
      </x:c>
      <x:c r="K777" s="7" t="n">
        <x:f>F777+G777</x:f>
        <x:v>22</x:v>
      </x:c>
      <x:c r="L777" s="7" t="n">
        <x:v>12</x:v>
      </x:c>
      <x:c r="M777" s="7" t="n">
        <x:v>19</x:v>
      </x:c>
      <x:c r="N777" s="7" t="n">
        <x:v>8</x:v>
      </x:c>
      <x:c r="O777" s="9" t="n">
        <x:f>IF(M777=0,"n.a.",L777/M777)</x:f>
        <x:v>0.631578947368421</x:v>
      </x:c>
      <x:c r="P777" s="9" t="n">
        <x:f>IF(K777=0,"n.a.",L777/K777)</x:f>
        <x:v>0.5454545454545454</x:v>
      </x:c>
      <x:c r="Q777" s="9" t="n">
        <x:f>IF(K777=0,"n.a.",M777/K777)</x:f>
        <x:v>0.8636363636363636</x:v>
      </x:c>
      <x:c r="R777" s="9" t="n">
        <x:f>IF(K777=0,"n.a.",N777/K777)</x:f>
        <x:v>0.36363636363636365</x:v>
      </x:c>
      <x:c r="S777" s="7" t="n">
        <x:v>-37</x:v>
      </x:c>
      <x:c r="T777" s="10" t="n">
        <x:v>0.16</x:v>
      </x:c>
      <x:c r="U777" s="7" t="n">
        <x:v>193</x:v>
      </x:c>
      <x:c r="V777" s="7" t="n">
        <x:v>349</x:v>
      </x:c>
    </x:row>
    <x:row r="778" ht="16" customHeight="1">
      <x:c r="A778" s="7" t="n">
        <x:v>775</x:v>
      </x:c>
      <x:c r="B778" s="8" t="n">
        <x:v>46164</x:v>
      </x:c>
      <x:c r="C778" s="7" t="str">
        <x:v>Haven</x:v>
      </x:c>
      <x:c r="D778" s="7" t="str">
        <x:v>9th</x:v>
      </x:c>
      <x:c r="E778" s="7" t="str">
        <x:v>Jett</x:v>
      </x:c>
      <x:c r="F778" s="7" t="n">
        <x:v>3</x:v>
      </x:c>
      <x:c r="G778" s="7" t="n">
        <x:v>13</x:v>
      </x:c>
      <x:c r="H778" s="7" t="str">
        <x:f>IF(F778&gt;G778,"Win",IF(F778&lt;G778,"Loss","Draw"))</x:f>
        <x:v>Loss</x:v>
      </x:c>
      <x:c r="I778" s="7" t="n">
        <x:f>IF(H778="Win",1,0)</x:f>
        <x:v>0</x:v>
      </x:c>
      <x:c r="J778" s="7" t="n">
        <x:f>F778-G778</x:f>
        <x:v>-10</x:v>
      </x:c>
      <x:c r="K778" s="7" t="n">
        <x:f>F778+G778</x:f>
        <x:v>16</x:v>
      </x:c>
      <x:c r="L778" s="7" t="n">
        <x:v>4</x:v>
      </x:c>
      <x:c r="M778" s="7" t="n">
        <x:v>10</x:v>
      </x:c>
      <x:c r="N778" s="7" t="n">
        <x:v>3</x:v>
      </x:c>
      <x:c r="O778" s="9" t="n">
        <x:f>IF(M778=0,"n.a.",L778/M778)</x:f>
        <x:v>0.4</x:v>
      </x:c>
      <x:c r="P778" s="9" t="n">
        <x:f>IF(K778=0,"n.a.",L778/K778)</x:f>
        <x:v>0.25</x:v>
      </x:c>
      <x:c r="Q778" s="9" t="n">
        <x:f>IF(K778=0,"n.a.",M778/K778)</x:f>
        <x:v>0.625</x:v>
      </x:c>
      <x:c r="R778" s="9" t="n">
        <x:f>IF(K778=0,"n.a.",N778/K778)</x:f>
        <x:v>0.1875</x:v>
      </x:c>
      <x:c r="S778" s="7" t="n">
        <x:v>-9</x:v>
      </x:c>
      <x:c r="T778" s="10" t="n">
        <x:v>0.23</x:v>
      </x:c>
      <x:c r="U778" s="7" t="n">
        <x:v>110</x:v>
      </x:c>
      <x:c r="V778" s="7" t="n">
        <x:v>155</x:v>
      </x:c>
    </x:row>
    <x:row r="779" ht="16" customHeight="1">
      <x:c r="A779" s="7" t="n">
        <x:v>776</x:v>
      </x:c>
      <x:c r="B779" s="8" t="n">
        <x:v>46164</x:v>
      </x:c>
      <x:c r="C779" s="7" t="str">
        <x:v>Pearl</x:v>
      </x:c>
      <x:c r="D779" s="7" t="str">
        <x:v>10th</x:v>
      </x:c>
      <x:c r="E779" s="7" t="str">
        <x:v>Neon</x:v>
      </x:c>
      <x:c r="F779" s="7" t="n">
        <x:v>10</x:v>
      </x:c>
      <x:c r="G779" s="7" t="n">
        <x:v>13</x:v>
      </x:c>
      <x:c r="H779" s="7" t="str">
        <x:f>IF(F779&gt;G779,"Win",IF(F779&lt;G779,"Loss","Draw"))</x:f>
        <x:v>Loss</x:v>
      </x:c>
      <x:c r="I779" s="7" t="n">
        <x:f>IF(H779="Win",1,0)</x:f>
        <x:v>0</x:v>
      </x:c>
      <x:c r="J779" s="7" t="n">
        <x:f>F779-G779</x:f>
        <x:v>-3</x:v>
      </x:c>
      <x:c r="K779" s="7" t="n">
        <x:f>F779+G779</x:f>
        <x:v>23</x:v>
      </x:c>
      <x:c r="L779" s="7" t="n">
        <x:v>11</x:v>
      </x:c>
      <x:c r="M779" s="7" t="n">
        <x:v>21</x:v>
      </x:c>
      <x:c r="N779" s="7" t="n">
        <x:v>3</x:v>
      </x:c>
      <x:c r="O779" s="9" t="n">
        <x:f>IF(M779=0,"n.a.",L779/M779)</x:f>
        <x:v>0.5238095238095238</x:v>
      </x:c>
      <x:c r="P779" s="9" t="n">
        <x:f>IF(K779=0,"n.a.",L779/K779)</x:f>
        <x:v>0.4782608695652174</x:v>
      </x:c>
      <x:c r="Q779" s="9" t="n">
        <x:f>IF(K779=0,"n.a.",M779/K779)</x:f>
        <x:v>0.9130434782608695</x:v>
      </x:c>
      <x:c r="R779" s="9" t="n">
        <x:f>IF(K779=0,"n.a.",N779/K779)</x:f>
        <x:v>0.13043478260869565</x:v>
      </x:c>
      <x:c r="S779" s="7" t="n">
        <x:v>-43</x:v>
      </x:c>
      <x:c r="T779" s="10" t="n">
        <x:v>0.14</x:v>
      </x:c>
      <x:c r="U779" s="7" t="n">
        <x:v>152</x:v>
      </x:c>
      <x:c r="V779" s="7" t="n">
        <x:v>268</x:v>
      </x:c>
    </x:row>
    <x:row r="780" ht="16" customHeight="1">
      <x:c r="A780" s="7" t="n">
        <x:v>777</x:v>
      </x:c>
      <x:c r="B780" s="8" t="n">
        <x:v>46164</x:v>
      </x:c>
      <x:c r="C780" s="7" t="str">
        <x:v>Ascent</x:v>
      </x:c>
      <x:c r="D780" s="7" t="str">
        <x:v>MVP</x:v>
      </x:c>
      <x:c r="E780" s="7" t="str">
        <x:v>Neon</x:v>
      </x:c>
      <x:c r="F780" s="7" t="n">
        <x:v>13</x:v>
      </x:c>
      <x:c r="G780" s="7" t="n">
        <x:v>8</x:v>
      </x:c>
      <x:c r="H780" s="7" t="str">
        <x:f>IF(F780&gt;G780,"Win",IF(F780&lt;G780,"Loss","Draw"))</x:f>
        <x:v>Win</x:v>
      </x:c>
      <x:c r="I780" s="7" t="n">
        <x:f>IF(H780="Win",1,0)</x:f>
        <x:v>1</x:v>
      </x:c>
      <x:c r="J780" s="7" t="n">
        <x:f>F780-G780</x:f>
        <x:v>5</x:v>
      </x:c>
      <x:c r="K780" s="7" t="n">
        <x:f>F780+G780</x:f>
        <x:v>21</x:v>
      </x:c>
      <x:c r="L780" s="7" t="n">
        <x:v>27</x:v>
      </x:c>
      <x:c r="M780" s="7" t="n">
        <x:v>12</x:v>
      </x:c>
      <x:c r="N780" s="7" t="n">
        <x:v>1</x:v>
      </x:c>
      <x:c r="O780" s="9" t="n">
        <x:f>IF(M780=0,"n.a.",L780/M780)</x:f>
        <x:v>2.25</x:v>
      </x:c>
      <x:c r="P780" s="9" t="n">
        <x:f>IF(K780=0,"n.a.",L780/K780)</x:f>
        <x:v>1.2857142857142858</x:v>
      </x:c>
      <x:c r="Q780" s="9" t="n">
        <x:f>IF(K780=0,"n.a.",M780/K780)</x:f>
        <x:v>0.5714285714285714</x:v>
      </x:c>
      <x:c r="R780" s="9" t="n">
        <x:f>IF(K780=0,"n.a.",N780/K780)</x:f>
        <x:v>0.047619047619047616</x:v>
      </x:c>
      <x:c r="S780" s="7" t="n">
        <x:v>111</x:v>
      </x:c>
      <x:c r="T780" s="10" t="n">
        <x:v>0.3</x:v>
      </x:c>
      <x:c r="U780" s="7" t="n">
        <x:v>353</x:v>
      </x:c>
      <x:c r="V780" s="7" t="n">
        <x:v>849</x:v>
      </x:c>
    </x:row>
    <x:row r="781" ht="16" customHeight="1">
      <x:c r="A781" s="7" t="n">
        <x:v>778</x:v>
      </x:c>
      <x:c r="B781" s="8" t="n">
        <x:v>46164</x:v>
      </x:c>
      <x:c r="C781" s="7" t="str">
        <x:v>Breeze</x:v>
      </x:c>
      <x:c r="D781" s="7" t="str">
        <x:v>8th</x:v>
      </x:c>
      <x:c r="E781" s="7" t="str">
        <x:v>Reyna</x:v>
      </x:c>
      <x:c r="F781" s="7" t="n">
        <x:v>9</x:v>
      </x:c>
      <x:c r="G781" s="7" t="n">
        <x:v>13</x:v>
      </x:c>
      <x:c r="H781" s="7" t="str">
        <x:f>IF(F781&gt;G781,"Win",IF(F781&lt;G781,"Loss","Draw"))</x:f>
        <x:v>Loss</x:v>
      </x:c>
      <x:c r="I781" s="7" t="n">
        <x:f>IF(H781="Win",1,0)</x:f>
        <x:v>0</x:v>
      </x:c>
      <x:c r="J781" s="7" t="n">
        <x:f>F781-G781</x:f>
        <x:v>-4</x:v>
      </x:c>
      <x:c r="K781" s="7" t="n">
        <x:f>F781+G781</x:f>
        <x:v>22</x:v>
      </x:c>
      <x:c r="L781" s="7" t="n">
        <x:v>13</x:v>
      </x:c>
      <x:c r="M781" s="7" t="n">
        <x:v>16</x:v>
      </x:c>
      <x:c r="N781" s="7" t="n">
        <x:v>3</x:v>
      </x:c>
      <x:c r="O781" s="9" t="n">
        <x:f>IF(M781=0,"n.a.",L781/M781)</x:f>
        <x:v>0.8125</x:v>
      </x:c>
      <x:c r="P781" s="9" t="n">
        <x:f>IF(K781=0,"n.a.",L781/K781)</x:f>
        <x:v>0.5909090909090909</x:v>
      </x:c>
      <x:c r="Q781" s="9" t="n">
        <x:f>IF(K781=0,"n.a.",M781/K781)</x:f>
        <x:v>0.7272727272727273</x:v>
      </x:c>
      <x:c r="R781" s="9" t="n">
        <x:f>IF(K781=0,"n.a.",N781/K781)</x:f>
        <x:v>0.13636363636363635</x:v>
      </x:c>
      <x:c r="S781" s="7" t="n">
        <x:v>-4</x:v>
      </x:c>
      <x:c r="T781" s="10" t="n">
        <x:v>0.25</x:v>
      </x:c>
      <x:c r="U781" s="7" t="n">
        <x:v>163</x:v>
      </x:c>
      <x:c r="V781" s="7" t="n">
        <x:v>398</x:v>
      </x:c>
    </x:row>
    <x:row r="782" ht="16" customHeight="1">
      <x:c r="A782" s="7" t="n">
        <x:v>779</x:v>
      </x:c>
      <x:c r="B782" s="8" t="n">
        <x:v>46164</x:v>
      </x:c>
      <x:c r="C782" s="7" t="str">
        <x:v>Lotus</x:v>
      </x:c>
      <x:c r="D782" s="7" t="str">
        <x:v>5th</x:v>
      </x:c>
      <x:c r="E782" s="7" t="str">
        <x:v>Reyna</x:v>
      </x:c>
      <x:c r="F782" s="7" t="n">
        <x:v>13</x:v>
      </x:c>
      <x:c r="G782" s="7" t="n">
        <x:v>0</x:v>
      </x:c>
      <x:c r="H782" s="7" t="str">
        <x:f>IF(F782&gt;G782,"Win",IF(F782&lt;G782,"Loss","Draw"))</x:f>
        <x:v>Win</x:v>
      </x:c>
      <x:c r="I782" s="7" t="n">
        <x:f>IF(H782="Win",1,0)</x:f>
        <x:v>1</x:v>
      </x:c>
      <x:c r="J782" s="7" t="n">
        <x:f>F782-G782</x:f>
        <x:v>13</x:v>
      </x:c>
      <x:c r="K782" s="7" t="n">
        <x:f>F782+G782</x:f>
        <x:v>13</x:v>
      </x:c>
      <x:c r="L782" s="7" t="n">
        <x:v>12</x:v>
      </x:c>
      <x:c r="M782" s="7" t="n">
        <x:v>4</x:v>
      </x:c>
      <x:c r="N782" s="7" t="n">
        <x:v>6</x:v>
      </x:c>
      <x:c r="O782" s="9" t="n">
        <x:f>IF(M782=0,"n.a.",L782/M782)</x:f>
        <x:v>3</x:v>
      </x:c>
      <x:c r="P782" s="9" t="n">
        <x:f>IF(K782=0,"n.a.",L782/K782)</x:f>
        <x:v>0.9230769230769231</x:v>
      </x:c>
      <x:c r="Q782" s="9" t="n">
        <x:f>IF(K782=0,"n.a.",M782/K782)</x:f>
        <x:v>0.3076923076923077</x:v>
      </x:c>
      <x:c r="R782" s="9" t="n">
        <x:f>IF(K782=0,"n.a.",N782/K782)</x:f>
        <x:v>0.46153846153846156</x:v>
      </x:c>
      <x:c r="S782" s="7" t="n">
        <x:v>56</x:v>
      </x:c>
      <x:c r="T782" s="10" t="n">
        <x:v>0.31</x:v>
      </x:c>
      <x:c r="U782" s="7" t="n">
        <x:v>243</x:v>
      </x:c>
      <x:c r="V782" s="7" t="n">
        <x:v>892</x:v>
      </x:c>
    </x:row>
    <x:row r="783" ht="16" customHeight="1">
      <x:c r="A783" s="7" t="n">
        <x:v>780</x:v>
      </x:c>
      <x:c r="B783" s="8" t="n">
        <x:v>46164</x:v>
      </x:c>
      <x:c r="C783" s="7" t="str">
        <x:v>Haven</x:v>
      </x:c>
      <x:c r="D783" s="7" t="str">
        <x:v>5th</x:v>
      </x:c>
      <x:c r="E783" s="7" t="str">
        <x:v>Chamber</x:v>
      </x:c>
      <x:c r="F783" s="7" t="n">
        <x:v>12</x:v>
      </x:c>
      <x:c r="G783" s="7" t="n">
        <x:v>14</x:v>
      </x:c>
      <x:c r="H783" s="7" t="str">
        <x:f>IF(F783&gt;G783,"Win",IF(F783&lt;G783,"Loss","Draw"))</x:f>
        <x:v>Loss</x:v>
      </x:c>
      <x:c r="I783" s="7" t="n">
        <x:f>IF(H783="Win",1,0)</x:f>
        <x:v>0</x:v>
      </x:c>
      <x:c r="J783" s="7" t="n">
        <x:f>F783-G783</x:f>
        <x:v>-2</x:v>
      </x:c>
      <x:c r="K783" s="7" t="n">
        <x:f>F783+G783</x:f>
        <x:v>26</x:v>
      </x:c>
      <x:c r="L783" s="7" t="n">
        <x:v>21</x:v>
      </x:c>
      <x:c r="M783" s="7" t="n">
        <x:v>18</x:v>
      </x:c>
      <x:c r="N783" s="7" t="n">
        <x:v>2</x:v>
      </x:c>
      <x:c r="O783" s="9" t="n">
        <x:f>IF(M783=0,"n.a.",L783/M783)</x:f>
        <x:v>1.1666666666666667</x:v>
      </x:c>
      <x:c r="P783" s="9" t="n">
        <x:f>IF(K783=0,"n.a.",L783/K783)</x:f>
        <x:v>0.8076923076923077</x:v>
      </x:c>
      <x:c r="Q783" s="9" t="n">
        <x:f>IF(K783=0,"n.a.",M783/K783)</x:f>
        <x:v>0.6923076923076923</x:v>
      </x:c>
      <x:c r="R783" s="9" t="n">
        <x:f>IF(K783=0,"n.a.",N783/K783)</x:f>
        <x:v>0.07692307692307693</x:v>
      </x:c>
      <x:c r="S783" s="7" t="n">
        <x:v>18</x:v>
      </x:c>
      <x:c r="T783" s="10" t="n">
        <x:v>0.18</x:v>
      </x:c>
      <x:c r="U783" s="7" t="n">
        <x:v>233</x:v>
      </x:c>
      <x:c r="V783" s="7" t="n">
        <x:v>706</x:v>
      </x:c>
    </x:row>
    <x:row r="784" ht="16" customHeight="1">
      <x:c r="A784" s="7" t="n">
        <x:v>781</x:v>
      </x:c>
      <x:c r="B784" s="8" t="n">
        <x:v>46164</x:v>
      </x:c>
      <x:c r="C784" s="7" t="str">
        <x:v>Breeze</x:v>
      </x:c>
      <x:c r="D784" s="7" t="str">
        <x:v>2nd</x:v>
      </x:c>
      <x:c r="E784" s="7" t="str">
        <x:v>Reyna</x:v>
      </x:c>
      <x:c r="F784" s="7" t="n">
        <x:v>13</x:v>
      </x:c>
      <x:c r="G784" s="7" t="n">
        <x:v>7</x:v>
      </x:c>
      <x:c r="H784" s="7" t="str">
        <x:f>IF(F784&gt;G784,"Win",IF(F784&lt;G784,"Loss","Draw"))</x:f>
        <x:v>Win</x:v>
      </x:c>
      <x:c r="I784" s="7" t="n">
        <x:f>IF(H784="Win",1,0)</x:f>
        <x:v>1</x:v>
      </x:c>
      <x:c r="J784" s="7" t="n">
        <x:f>F784-G784</x:f>
        <x:v>6</x:v>
      </x:c>
      <x:c r="K784" s="7" t="n">
        <x:f>F784+G784</x:f>
        <x:v>20</x:v>
      </x:c>
      <x:c r="L784" s="7" t="n">
        <x:v>25</x:v>
      </x:c>
      <x:c r="M784" s="7" t="n">
        <x:v>13</x:v>
      </x:c>
      <x:c r="N784" s="7" t="n">
        <x:v>0</x:v>
      </x:c>
      <x:c r="O784" s="9" t="n">
        <x:f>IF(M784=0,"n.a.",L784/M784)</x:f>
        <x:v>1.9230769230769231</x:v>
      </x:c>
      <x:c r="P784" s="9" t="n">
        <x:f>IF(K784=0,"n.a.",L784/K784)</x:f>
        <x:v>1.25</x:v>
      </x:c>
      <x:c r="Q784" s="9" t="n">
        <x:f>IF(K784=0,"n.a.",M784/K784)</x:f>
        <x:v>0.65</x:v>
      </x:c>
      <x:c r="R784" s="9" t="n">
        <x:f>IF(K784=0,"n.a.",N784/K784)</x:f>
        <x:v>0</x:v>
      </x:c>
      <x:c r="S784" s="7" t="n">
        <x:v>93</x:v>
      </x:c>
      <x:c r="T784" s="10" t="n">
        <x:v>0.41</x:v>
      </x:c>
      <x:c r="U784" s="7" t="n">
        <x:v>321</x:v>
      </x:c>
      <x:c r="V784" s="7" t="n">
        <x:v>781</x:v>
      </x:c>
    </x:row>
    <x:row r="785" ht="16" customHeight="1">
      <x:c r="A785" s="7" t="n">
        <x:v>782</x:v>
      </x:c>
      <x:c r="B785" s="8" t="n">
        <x:v>46165</x:v>
      </x:c>
      <x:c r="C785" s="7" t="str">
        <x:v>Lotus</x:v>
      </x:c>
      <x:c r="D785" s="7" t="str">
        <x:v>4th</x:v>
      </x:c>
      <x:c r="E785" s="7" t="str">
        <x:v>Miks</x:v>
      </x:c>
      <x:c r="F785" s="7" t="n">
        <x:v>9</x:v>
      </x:c>
      <x:c r="G785" s="7" t="n">
        <x:v>13</x:v>
      </x:c>
      <x:c r="H785" s="7" t="str">
        <x:f>IF(F785&gt;G785,"Win",IF(F785&lt;G785,"Loss","Draw"))</x:f>
        <x:v>Loss</x:v>
      </x:c>
      <x:c r="I785" s="7" t="n">
        <x:f>IF(H785="Win",1,0)</x:f>
        <x:v>0</x:v>
      </x:c>
      <x:c r="J785" s="7" t="n">
        <x:f>F785-G785</x:f>
        <x:v>-4</x:v>
      </x:c>
      <x:c r="K785" s="7" t="n">
        <x:f>F785+G785</x:f>
        <x:v>22</x:v>
      </x:c>
      <x:c r="L785" s="7" t="n">
        <x:v>18</x:v>
      </x:c>
      <x:c r="M785" s="7" t="n">
        <x:v>17</x:v>
      </x:c>
      <x:c r="N785" s="7" t="n">
        <x:v>9</x:v>
      </x:c>
      <x:c r="O785" s="9" t="n">
        <x:f>IF(M785=0,"n.a.",L785/M785)</x:f>
        <x:v>1.0588235294117647</x:v>
      </x:c>
      <x:c r="P785" s="9" t="n">
        <x:f>IF(K785=0,"n.a.",L785/K785)</x:f>
        <x:v>0.8181818181818182</x:v>
      </x:c>
      <x:c r="Q785" s="9" t="n">
        <x:f>IF(K785=0,"n.a.",M785/K785)</x:f>
        <x:v>0.7727272727272727</x:v>
      </x:c>
      <x:c r="R785" s="9" t="n">
        <x:f>IF(K785=0,"n.a.",N785/K785)</x:f>
        <x:v>0.4090909090909091</x:v>
      </x:c>
      <x:c r="S785" s="7" t="n">
        <x:v>-7</x:v>
      </x:c>
      <x:c r="T785" s="10" t="n">
        <x:v>0.27</x:v>
      </x:c>
      <x:c r="U785" s="7" t="n">
        <x:v>253</x:v>
      </x:c>
      <x:c r="V785" s="7" t="n">
        <x:v>590</x:v>
      </x:c>
    </x:row>
    <x:row r="786" ht="16" customHeight="1">
      <x:c r="A786" s="7" t="n">
        <x:v>783</x:v>
      </x:c>
      <x:c r="B786" s="8" t="n">
        <x:v>46165</x:v>
      </x:c>
      <x:c r="C786" s="7" t="str">
        <x:v>Split</x:v>
      </x:c>
      <x:c r="D786" s="7" t="str">
        <x:v>6th</x:v>
      </x:c>
      <x:c r="E786" s="7" t="str">
        <x:v>Jett</x:v>
      </x:c>
      <x:c r="F786" s="7" t="n">
        <x:v>13</x:v>
      </x:c>
      <x:c r="G786" s="7" t="n">
        <x:v>11</x:v>
      </x:c>
      <x:c r="H786" s="7" t="str">
        <x:f>IF(F786&gt;G786,"Win",IF(F786&lt;G786,"Loss","Draw"))</x:f>
        <x:v>Win</x:v>
      </x:c>
      <x:c r="I786" s="7" t="n">
        <x:f>IF(H786="Win",1,0)</x:f>
        <x:v>1</x:v>
      </x:c>
      <x:c r="J786" s="7" t="n">
        <x:f>F786-G786</x:f>
        <x:v>2</x:v>
      </x:c>
      <x:c r="K786" s="7" t="n">
        <x:f>F786+G786</x:f>
        <x:v>24</x:v>
      </x:c>
      <x:c r="L786" s="7" t="n">
        <x:v>19</x:v>
      </x:c>
      <x:c r="M786" s="7" t="n">
        <x:v>17</x:v>
      </x:c>
      <x:c r="N786" s="7" t="n">
        <x:v>2</x:v>
      </x:c>
      <x:c r="O786" s="9" t="n">
        <x:f>IF(M786=0,"n.a.",L786/M786)</x:f>
        <x:v>1.1176470588235294</x:v>
      </x:c>
      <x:c r="P786" s="9" t="n">
        <x:f>IF(K786=0,"n.a.",L786/K786)</x:f>
        <x:v>0.7916666666666666</x:v>
      </x:c>
      <x:c r="Q786" s="9" t="n">
        <x:f>IF(K786=0,"n.a.",M786/K786)</x:f>
        <x:v>0.7083333333333334</x:v>
      </x:c>
      <x:c r="R786" s="9" t="n">
        <x:f>IF(K786=0,"n.a.",N786/K786)</x:f>
        <x:v>0.08333333333333333</x:v>
      </x:c>
      <x:c r="S786" s="7" t="n">
        <x:v>13</x:v>
      </x:c>
      <x:c r="T786" s="10" t="n">
        <x:v>0.28</x:v>
      </x:c>
      <x:c r="U786" s="7" t="n">
        <x:v>216</x:v>
      </x:c>
      <x:c r="V786" s="7" t="n">
        <x:v>509</x:v>
      </x:c>
    </x:row>
    <x:row r="787" ht="16" customHeight="1">
      <x:c r="A787" s="7" t="n">
        <x:v>784</x:v>
      </x:c>
      <x:c r="B787" s="8" t="n">
        <x:v>46165</x:v>
      </x:c>
      <x:c r="C787" s="7" t="str">
        <x:v>Ascent</x:v>
      </x:c>
      <x:c r="D787" s="7" t="str">
        <x:v>5th</x:v>
      </x:c>
      <x:c r="E787" s="7" t="str">
        <x:v>Gekko</x:v>
      </x:c>
      <x:c r="F787" s="7" t="n">
        <x:v>4</x:v>
      </x:c>
      <x:c r="G787" s="7" t="n">
        <x:v>13</x:v>
      </x:c>
      <x:c r="H787" s="7" t="str">
        <x:f>IF(F787&gt;G787,"Win",IF(F787&lt;G787,"Loss","Draw"))</x:f>
        <x:v>Loss</x:v>
      </x:c>
      <x:c r="I787" s="7" t="n">
        <x:f>IF(H787="Win",1,0)</x:f>
        <x:v>0</x:v>
      </x:c>
      <x:c r="J787" s="7" t="n">
        <x:f>F787-G787</x:f>
        <x:v>-9</x:v>
      </x:c>
      <x:c r="K787" s="7" t="n">
        <x:f>F787+G787</x:f>
        <x:v>17</x:v>
      </x:c>
      <x:c r="L787" s="7" t="n">
        <x:v>12</x:v>
      </x:c>
      <x:c r="M787" s="7" t="n">
        <x:v>16</x:v>
      </x:c>
      <x:c r="N787" s="7" t="n">
        <x:v>3</x:v>
      </x:c>
      <x:c r="O787" s="9" t="n">
        <x:f>IF(M787=0,"n.a.",L787/M787)</x:f>
        <x:v>0.75</x:v>
      </x:c>
      <x:c r="P787" s="9" t="n">
        <x:f>IF(K787=0,"n.a.",L787/K787)</x:f>
        <x:v>0.7058823529411765</x:v>
      </x:c>
      <x:c r="Q787" s="9" t="n">
        <x:f>IF(K787=0,"n.a.",M787/K787)</x:f>
        <x:v>0.9411764705882353</x:v>
      </x:c>
      <x:c r="R787" s="9" t="n">
        <x:f>IF(K787=0,"n.a.",N787/K787)</x:f>
        <x:v>0.17647058823529413</x:v>
      </x:c>
      <x:c r="S787" s="7" t="n">
        <x:v>-51</x:v>
      </x:c>
      <x:c r="T787" s="10" t="n">
        <x:v>0.15</x:v>
      </x:c>
      <x:c r="U787" s="7" t="n">
        <x:v>202</x:v>
      </x:c>
      <x:c r="V787" s="7" t="n">
        <x:v>237</x:v>
      </x:c>
    </x:row>
    <x:row r="788" ht="16" customHeight="1">
      <x:c r="A788" s="7" t="n">
        <x:v>785</x:v>
      </x:c>
      <x:c r="B788" s="8" t="n">
        <x:v>46165</x:v>
      </x:c>
      <x:c r="C788" s="7" t="str">
        <x:v>Lotus</x:v>
      </x:c>
      <x:c r="D788" s="7" t="str">
        <x:v>8th</x:v>
      </x:c>
      <x:c r="E788" s="7" t="str">
        <x:v>Reyna</x:v>
      </x:c>
      <x:c r="F788" s="7" t="n">
        <x:v>5</x:v>
      </x:c>
      <x:c r="G788" s="7" t="n">
        <x:v>13</x:v>
      </x:c>
      <x:c r="H788" s="7" t="str">
        <x:f>IF(F788&gt;G788,"Win",IF(F788&lt;G788,"Loss","Draw"))</x:f>
        <x:v>Loss</x:v>
      </x:c>
      <x:c r="I788" s="7" t="n">
        <x:f>IF(H788="Win",1,0)</x:f>
        <x:v>0</x:v>
      </x:c>
      <x:c r="J788" s="7" t="n">
        <x:f>F788-G788</x:f>
        <x:v>-8</x:v>
      </x:c>
      <x:c r="K788" s="7" t="n">
        <x:f>F788+G788</x:f>
        <x:v>18</x:v>
      </x:c>
      <x:c r="L788" s="7" t="n">
        <x:v>9</x:v>
      </x:c>
      <x:c r="M788" s="7" t="n">
        <x:v>15</x:v>
      </x:c>
      <x:c r="N788" s="7" t="n">
        <x:v>0</x:v>
      </x:c>
      <x:c r="O788" s="9" t="n">
        <x:f>IF(M788=0,"n.a.",L788/M788)</x:f>
        <x:v>0.6</x:v>
      </x:c>
      <x:c r="P788" s="9" t="n">
        <x:f>IF(K788=0,"n.a.",L788/K788)</x:f>
        <x:v>0.5</x:v>
      </x:c>
      <x:c r="Q788" s="9" t="n">
        <x:f>IF(K788=0,"n.a.",M788/K788)</x:f>
        <x:v>0.8333333333333334</x:v>
      </x:c>
      <x:c r="R788" s="9" t="n">
        <x:f>IF(K788=0,"n.a.",N788/K788)</x:f>
        <x:v>0</x:v>
      </x:c>
      <x:c r="S788" s="7" t="n">
        <x:v>-60</x:v>
      </x:c>
      <x:c r="T788" s="10" t="n">
        <x:v>0.31</x:v>
      </x:c>
      <x:c r="U788" s="7" t="n">
        <x:v>139</x:v>
      </x:c>
      <x:c r="V788" s="7" t="n">
        <x:v>121</x:v>
      </x:c>
    </x:row>
    <x:row r="789" ht="16" customHeight="1">
      <x:c r="A789" s="7" t="n">
        <x:v>786</x:v>
      </x:c>
      <x:c r="B789" s="8" t="n">
        <x:v>46165</x:v>
      </x:c>
      <x:c r="C789" s="7" t="str">
        <x:v>Ascent</x:v>
      </x:c>
      <x:c r="D789" s="7" t="str">
        <x:v>9th</x:v>
      </x:c>
      <x:c r="E789" s="7" t="str">
        <x:v>Neon</x:v>
      </x:c>
      <x:c r="F789" s="7" t="n">
        <x:v>5</x:v>
      </x:c>
      <x:c r="G789" s="7" t="n">
        <x:v>13</x:v>
      </x:c>
      <x:c r="H789" s="7" t="str">
        <x:f>IF(F789&gt;G789,"Win",IF(F789&lt;G789,"Loss","Draw"))</x:f>
        <x:v>Loss</x:v>
      </x:c>
      <x:c r="I789" s="7" t="n">
        <x:f>IF(H789="Win",1,0)</x:f>
        <x:v>0</x:v>
      </x:c>
      <x:c r="J789" s="7" t="n">
        <x:f>F789-G789</x:f>
        <x:v>-8</x:v>
      </x:c>
      <x:c r="K789" s="7" t="n">
        <x:f>F789+G789</x:f>
        <x:v>18</x:v>
      </x:c>
      <x:c r="L789" s="7" t="n">
        <x:v>11</x:v>
      </x:c>
      <x:c r="M789" s="7" t="n">
        <x:v>15</x:v>
      </x:c>
      <x:c r="N789" s="7" t="n">
        <x:v>3</x:v>
      </x:c>
      <x:c r="O789" s="9" t="n">
        <x:f>IF(M789=0,"n.a.",L789/M789)</x:f>
        <x:v>0.7333333333333333</x:v>
      </x:c>
      <x:c r="P789" s="9" t="n">
        <x:f>IF(K789=0,"n.a.",L789/K789)</x:f>
        <x:v>0.6111111111111112</x:v>
      </x:c>
      <x:c r="Q789" s="9" t="n">
        <x:f>IF(K789=0,"n.a.",M789/K789)</x:f>
        <x:v>0.8333333333333334</x:v>
      </x:c>
      <x:c r="R789" s="9" t="n">
        <x:f>IF(K789=0,"n.a.",N789/K789)</x:f>
        <x:v>0.16666666666666666</x:v>
      </x:c>
      <x:c r="S789" s="7" t="n">
        <x:v>-40</x:v>
      </x:c>
      <x:c r="T789" s="10" t="n">
        <x:v>0.21</x:v>
      </x:c>
      <x:c r="U789" s="7" t="n">
        <x:v>178</x:v>
      </x:c>
      <x:c r="V789" s="7" t="n">
        <x:v>297</x:v>
      </x:c>
    </x:row>
    <x:row r="790" ht="16" customHeight="1">
      <x:c r="A790" s="7" t="n">
        <x:v>787</x:v>
      </x:c>
      <x:c r="B790" s="8" t="n">
        <x:v>46165</x:v>
      </x:c>
      <x:c r="C790" s="7" t="str">
        <x:v>Breeze</x:v>
      </x:c>
      <x:c r="D790" s="7" t="str">
        <x:v>MVP</x:v>
      </x:c>
      <x:c r="E790" s="7" t="str">
        <x:v>Phoenix</x:v>
      </x:c>
      <x:c r="F790" s="7" t="n">
        <x:v>13</x:v>
      </x:c>
      <x:c r="G790" s="7" t="n">
        <x:v>9</x:v>
      </x:c>
      <x:c r="H790" s="7" t="str">
        <x:f>IF(F790&gt;G790,"Win",IF(F790&lt;G790,"Loss","Draw"))</x:f>
        <x:v>Win</x:v>
      </x:c>
      <x:c r="I790" s="7" t="n">
        <x:f>IF(H790="Win",1,0)</x:f>
        <x:v>1</x:v>
      </x:c>
      <x:c r="J790" s="7" t="n">
        <x:f>F790-G790</x:f>
        <x:v>4</x:v>
      </x:c>
      <x:c r="K790" s="7" t="n">
        <x:f>F790+G790</x:f>
        <x:v>22</x:v>
      </x:c>
      <x:c r="L790" s="7" t="n">
        <x:v>23</x:v>
      </x:c>
      <x:c r="M790" s="7" t="n">
        <x:v>14</x:v>
      </x:c>
      <x:c r="N790" s="7" t="n">
        <x:v>1</x:v>
      </x:c>
      <x:c r="O790" s="9" t="n">
        <x:f>IF(M790=0,"n.a.",L790/M790)</x:f>
        <x:v>1.6428571428571428</x:v>
      </x:c>
      <x:c r="P790" s="9" t="n">
        <x:f>IF(K790=0,"n.a.",L790/K790)</x:f>
        <x:v>1.0454545454545454</x:v>
      </x:c>
      <x:c r="Q790" s="9" t="n">
        <x:f>IF(K790=0,"n.a.",M790/K790)</x:f>
        <x:v>0.6363636363636364</x:v>
      </x:c>
      <x:c r="R790" s="9" t="n">
        <x:f>IF(K790=0,"n.a.",N790/K790)</x:f>
        <x:v>0.045454545454545456</x:v>
      </x:c>
      <x:c r="S790" s="7" t="n">
        <x:v>34</x:v>
      </x:c>
      <x:c r="T790" s="10" t="n">
        <x:v>0.39</x:v>
      </x:c>
      <x:c r="U790" s="7" t="n">
        <x:v>273</x:v>
      </x:c>
      <x:c r="V790" s="7" t="n">
        <x:v>816</x:v>
      </x:c>
    </x:row>
    <x:row r="791" ht="16" customHeight="1">
      <x:c r="A791" s="7" t="n">
        <x:v>788</x:v>
      </x:c>
      <x:c r="B791" s="8" t="n">
        <x:v>46165</x:v>
      </x:c>
      <x:c r="C791" s="7" t="str">
        <x:v>Pearl</x:v>
      </x:c>
      <x:c r="D791" s="7" t="str">
        <x:v>10th</x:v>
      </x:c>
      <x:c r="E791" s="7" t="str">
        <x:v>Phoenix</x:v>
      </x:c>
      <x:c r="F791" s="7" t="n">
        <x:v>9</x:v>
      </x:c>
      <x:c r="G791" s="7" t="n">
        <x:v>13</x:v>
      </x:c>
      <x:c r="H791" s="7" t="str">
        <x:f>IF(F791&gt;G791,"Win",IF(F791&lt;G791,"Loss","Draw"))</x:f>
        <x:v>Loss</x:v>
      </x:c>
      <x:c r="I791" s="7" t="n">
        <x:f>IF(H791="Win",1,0)</x:f>
        <x:v>0</x:v>
      </x:c>
      <x:c r="J791" s="7" t="n">
        <x:f>F791-G791</x:f>
        <x:v>-4</x:v>
      </x:c>
      <x:c r="K791" s="7" t="n">
        <x:f>F791+G791</x:f>
        <x:v>22</x:v>
      </x:c>
      <x:c r="L791" s="7" t="n">
        <x:v>8</x:v>
      </x:c>
      <x:c r="M791" s="7" t="n">
        <x:v>20</x:v>
      </x:c>
      <x:c r="N791" s="7" t="n">
        <x:v>5</x:v>
      </x:c>
      <x:c r="O791" s="9" t="n">
        <x:f>IF(M791=0,"n.a.",L791/M791)</x:f>
        <x:v>0.4</x:v>
      </x:c>
      <x:c r="P791" s="9" t="n">
        <x:f>IF(K791=0,"n.a.",L791/K791)</x:f>
        <x:v>0.36363636363636365</x:v>
      </x:c>
      <x:c r="Q791" s="9" t="n">
        <x:f>IF(K791=0,"n.a.",M791/K791)</x:f>
        <x:v>0.9090909090909091</x:v>
      </x:c>
      <x:c r="R791" s="9" t="n">
        <x:f>IF(K791=0,"n.a.",N791/K791)</x:f>
        <x:v>0.22727272727272727</x:v>
      </x:c>
      <x:c r="S791" s="7" t="n">
        <x:v>-109</x:v>
      </x:c>
      <x:c r="T791" s="10" t="n">
        <x:v>0.31</x:v>
      </x:c>
      <x:c r="U791" s="7" t="n">
        <x:v>126</x:v>
      </x:c>
      <x:c r="V791" s="7" t="n">
        <x:v>114</x:v>
      </x:c>
    </x:row>
    <x:row r="792" ht="16" customHeight="1">
      <x:c r="A792" s="7" t="n">
        <x:v>789</x:v>
      </x:c>
      <x:c r="B792" s="8" t="n">
        <x:v>46165</x:v>
      </x:c>
      <x:c r="C792" s="7" t="str">
        <x:v>Fracture</x:v>
      </x:c>
      <x:c r="D792" s="7" t="str">
        <x:v>9th</x:v>
      </x:c>
      <x:c r="E792" s="7" t="str">
        <x:v>Jett</x:v>
      </x:c>
      <x:c r="F792" s="7" t="n">
        <x:v>13</x:v>
      </x:c>
      <x:c r="G792" s="7" t="n">
        <x:v>15</x:v>
      </x:c>
      <x:c r="H792" s="7" t="str">
        <x:f>IF(F792&gt;G792,"Win",IF(F792&lt;G792,"Loss","Draw"))</x:f>
        <x:v>Loss</x:v>
      </x:c>
      <x:c r="I792" s="7" t="n">
        <x:f>IF(H792="Win",1,0)</x:f>
        <x:v>0</x:v>
      </x:c>
      <x:c r="J792" s="7" t="n">
        <x:f>F792-G792</x:f>
        <x:v>-2</x:v>
      </x:c>
      <x:c r="K792" s="7" t="n">
        <x:f>F792+G792</x:f>
        <x:v>28</x:v>
      </x:c>
      <x:c r="L792" s="7" t="n">
        <x:v>15</x:v>
      </x:c>
      <x:c r="M792" s="7" t="n">
        <x:v>23</x:v>
      </x:c>
      <x:c r="N792" s="7" t="n">
        <x:v>10</x:v>
      </x:c>
      <x:c r="O792" s="9" t="n">
        <x:f>IF(M792=0,"n.a.",L792/M792)</x:f>
        <x:v>0.6521739130434783</x:v>
      </x:c>
      <x:c r="P792" s="9" t="n">
        <x:f>IF(K792=0,"n.a.",L792/K792)</x:f>
        <x:v>0.5357142857142857</x:v>
      </x:c>
      <x:c r="Q792" s="9" t="n">
        <x:f>IF(K792=0,"n.a.",M792/K792)</x:f>
        <x:v>0.8214285714285714</x:v>
      </x:c>
      <x:c r="R792" s="9" t="n">
        <x:f>IF(K792=0,"n.a.",N792/K792)</x:f>
        <x:v>0.35714285714285715</x:v>
      </x:c>
      <x:c r="S792" s="7" t="n">
        <x:v>-32</x:v>
      </x:c>
      <x:c r="T792" s="10" t="n">
        <x:v>0.23</x:v>
      </x:c>
      <x:c r="U792" s="7" t="n">
        <x:v>181</x:v>
      </x:c>
      <x:c r="V792" s="7" t="n">
        <x:v>355</x:v>
      </x:c>
    </x:row>
    <x:row r="793" ht="16" customHeight="1">
      <x:c r="A793" s="7" t="n">
        <x:v>790</x:v>
      </x:c>
      <x:c r="B793" s="8" t="n">
        <x:v>46165</x:v>
      </x:c>
      <x:c r="C793" s="7" t="str">
        <x:v>Split</x:v>
      </x:c>
      <x:c r="D793" s="7" t="str">
        <x:v>4th</x:v>
      </x:c>
      <x:c r="E793" s="7" t="str">
        <x:v>Reyna</x:v>
      </x:c>
      <x:c r="F793" s="7" t="n">
        <x:v>13</x:v>
      </x:c>
      <x:c r="G793" s="7" t="n">
        <x:v>10</x:v>
      </x:c>
      <x:c r="H793" s="7" t="str">
        <x:f>IF(F793&gt;G793,"Win",IF(F793&lt;G793,"Loss","Draw"))</x:f>
        <x:v>Win</x:v>
      </x:c>
      <x:c r="I793" s="7" t="n">
        <x:f>IF(H793="Win",1,0)</x:f>
        <x:v>1</x:v>
      </x:c>
      <x:c r="J793" s="7" t="n">
        <x:f>F793-G793</x:f>
        <x:v>3</x:v>
      </x:c>
      <x:c r="K793" s="7" t="n">
        <x:f>F793+G793</x:f>
        <x:v>23</x:v>
      </x:c>
      <x:c r="L793" s="7" t="n">
        <x:v>18</x:v>
      </x:c>
      <x:c r="M793" s="7" t="n">
        <x:v>17</x:v>
      </x:c>
      <x:c r="N793" s="7" t="n">
        <x:v>3</x:v>
      </x:c>
      <x:c r="O793" s="9" t="n">
        <x:f>IF(M793=0,"n.a.",L793/M793)</x:f>
        <x:v>1.0588235294117647</x:v>
      </x:c>
      <x:c r="P793" s="9" t="n">
        <x:f>IF(K793=0,"n.a.",L793/K793)</x:f>
        <x:v>0.782608695652174</x:v>
      </x:c>
      <x:c r="Q793" s="9" t="n">
        <x:f>IF(K793=0,"n.a.",M793/K793)</x:f>
        <x:v>0.7391304347826086</x:v>
      </x:c>
      <x:c r="R793" s="9" t="n">
        <x:f>IF(K793=0,"n.a.",N793/K793)</x:f>
        <x:v>0.13043478260869565</x:v>
      </x:c>
      <x:c r="S793" s="7" t="n">
        <x:v>15</x:v>
      </x:c>
      <x:c r="T793" s="10" t="n">
        <x:v>0.28</x:v>
      </x:c>
      <x:c r="U793" s="7" t="n">
        <x:v>227</x:v>
      </x:c>
      <x:c r="V793" s="7" t="n">
        <x:v>676</x:v>
      </x:c>
    </x:row>
    <x:row r="794" ht="16" customHeight="1">
      <x:c r="A794" s="7" t="n">
        <x:v>791</x:v>
      </x:c>
      <x:c r="B794" s="8" t="n">
        <x:v>46166</x:v>
      </x:c>
      <x:c r="C794" s="7" t="str">
        <x:v>Lotus</x:v>
      </x:c>
      <x:c r="D794" s="7" t="str">
        <x:v>4th</x:v>
      </x:c>
      <x:c r="E794" s="7" t="str">
        <x:v>Raze</x:v>
      </x:c>
      <x:c r="F794" s="7" t="n">
        <x:v>13</x:v>
      </x:c>
      <x:c r="G794" s="7" t="n">
        <x:v>6</x:v>
      </x:c>
      <x:c r="H794" s="7" t="str">
        <x:f>IF(F794&gt;G794,"Win",IF(F794&lt;G794,"Loss","Draw"))</x:f>
        <x:v>Win</x:v>
      </x:c>
      <x:c r="I794" s="7" t="n">
        <x:f>IF(H794="Win",1,0)</x:f>
        <x:v>1</x:v>
      </x:c>
      <x:c r="J794" s="7" t="n">
        <x:f>F794-G794</x:f>
        <x:v>7</x:v>
      </x:c>
      <x:c r="K794" s="7" t="n">
        <x:f>F794+G794</x:f>
        <x:v>19</x:v>
      </x:c>
      <x:c r="L794" s="7" t="n">
        <x:v>16</x:v>
      </x:c>
      <x:c r="M794" s="7" t="n">
        <x:v>15</x:v>
      </x:c>
      <x:c r="N794" s="7" t="n">
        <x:v>4</x:v>
      </x:c>
      <x:c r="O794" s="9" t="n">
        <x:f>IF(M794=0,"n.a.",L794/M794)</x:f>
        <x:v>1.0666666666666667</x:v>
      </x:c>
      <x:c r="P794" s="9" t="n">
        <x:f>IF(K794=0,"n.a.",L794/K794)</x:f>
        <x:v>0.8421052631578947</x:v>
      </x:c>
      <x:c r="Q794" s="9" t="n">
        <x:f>IF(K794=0,"n.a.",M794/K794)</x:f>
        <x:v>0.7894736842105263</x:v>
      </x:c>
      <x:c r="R794" s="9" t="n">
        <x:f>IF(K794=0,"n.a.",N794/K794)</x:f>
        <x:v>0.21052631578947367</x:v>
      </x:c>
      <x:c r="S794" s="7" t="n">
        <x:v>30</x:v>
      </x:c>
      <x:c r="T794" s="10" t="n">
        <x:v>0.3</x:v>
      </x:c>
      <x:c r="U794" s="7" t="n">
        <x:v>251</x:v>
      </x:c>
      <x:c r="V794" s="7" t="n">
        <x:v>655</x:v>
      </x:c>
    </x:row>
    <x:row r="795" ht="16" customHeight="1">
      <x:c r="A795" s="7" t="n">
        <x:v>792</x:v>
      </x:c>
      <x:c r="B795" s="8" t="n">
        <x:v>46166</x:v>
      </x:c>
      <x:c r="C795" s="7" t="str">
        <x:v>Ascent</x:v>
      </x:c>
      <x:c r="D795" s="7" t="str">
        <x:v>6th</x:v>
      </x:c>
      <x:c r="E795" s="7" t="str">
        <x:v>Chamber</x:v>
      </x:c>
      <x:c r="F795" s="7" t="n">
        <x:v>13</x:v>
      </x:c>
      <x:c r="G795" s="7" t="n">
        <x:v>5</x:v>
      </x:c>
      <x:c r="H795" s="7" t="str">
        <x:f>IF(F795&gt;G795,"Win",IF(F795&lt;G795,"Loss","Draw"))</x:f>
        <x:v>Win</x:v>
      </x:c>
      <x:c r="I795" s="7" t="n">
        <x:f>IF(H795="Win",1,0)</x:f>
        <x:v>1</x:v>
      </x:c>
      <x:c r="J795" s="7" t="n">
        <x:f>F795-G795</x:f>
        <x:v>8</x:v>
      </x:c>
      <x:c r="K795" s="7" t="n">
        <x:f>F795+G795</x:f>
        <x:v>18</x:v>
      </x:c>
      <x:c r="L795" s="7" t="n">
        <x:v>15</x:v>
      </x:c>
      <x:c r="M795" s="7" t="n">
        <x:v>14</x:v>
      </x:c>
      <x:c r="N795" s="7" t="n">
        <x:v>1</x:v>
      </x:c>
      <x:c r="O795" s="9" t="n">
        <x:f>IF(M795=0,"n.a.",L795/M795)</x:f>
        <x:v>1.0714285714285714</x:v>
      </x:c>
      <x:c r="P795" s="9" t="n">
        <x:f>IF(K795=0,"n.a.",L795/K795)</x:f>
        <x:v>0.8333333333333334</x:v>
      </x:c>
      <x:c r="Q795" s="9" t="n">
        <x:f>IF(K795=0,"n.a.",M795/K795)</x:f>
        <x:v>0.7777777777777778</x:v>
      </x:c>
      <x:c r="R795" s="9" t="n">
        <x:f>IF(K795=0,"n.a.",N795/K795)</x:f>
        <x:v>0.05555555555555555</x:v>
      </x:c>
      <x:c r="S795" s="7" t="n">
        <x:v>-33</x:v>
      </x:c>
      <x:c r="T795" s="10" t="n">
        <x:v>0.23</x:v>
      </x:c>
      <x:c r="U795" s="7" t="n">
        <x:v>205</x:v>
      </x:c>
      <x:c r="V795" s="7" t="n">
        <x:v>600</x:v>
      </x:c>
    </x:row>
    <x:row r="796" ht="16" customHeight="1">
      <x:c r="A796" s="7" t="n">
        <x:v>793</x:v>
      </x:c>
      <x:c r="B796" s="8" t="n">
        <x:v>46166</x:v>
      </x:c>
      <x:c r="C796" s="7" t="str">
        <x:v>Fracture</x:v>
      </x:c>
      <x:c r="D796" s="7" t="str">
        <x:v>MVP</x:v>
      </x:c>
      <x:c r="E796" s="7" t="str">
        <x:v>Neon</x:v>
      </x:c>
      <x:c r="F796" s="7" t="n">
        <x:v>13</x:v>
      </x:c>
      <x:c r="G796" s="7" t="n">
        <x:v>5</x:v>
      </x:c>
      <x:c r="H796" s="7" t="str">
        <x:f>IF(F796&gt;G796,"Win",IF(F796&lt;G796,"Loss","Draw"))</x:f>
        <x:v>Win</x:v>
      </x:c>
      <x:c r="I796" s="7" t="n">
        <x:f>IF(H796="Win",1,0)</x:f>
        <x:v>1</x:v>
      </x:c>
      <x:c r="J796" s="7" t="n">
        <x:f>F796-G796</x:f>
        <x:v>8</x:v>
      </x:c>
      <x:c r="K796" s="7" t="n">
        <x:f>F796+G796</x:f>
        <x:v>18</x:v>
      </x:c>
      <x:c r="L796" s="7" t="n">
        <x:v>22</x:v>
      </x:c>
      <x:c r="M796" s="7" t="n">
        <x:v>12</x:v>
      </x:c>
      <x:c r="N796" s="7" t="n">
        <x:v>4</x:v>
      </x:c>
      <x:c r="O796" s="9" t="n">
        <x:f>IF(M796=0,"n.a.",L796/M796)</x:f>
        <x:v>1.8333333333333333</x:v>
      </x:c>
      <x:c r="P796" s="9" t="n">
        <x:f>IF(K796=0,"n.a.",L796/K796)</x:f>
        <x:v>1.2222222222222223</x:v>
      </x:c>
      <x:c r="Q796" s="9" t="n">
        <x:f>IF(K796=0,"n.a.",M796/K796)</x:f>
        <x:v>0.6666666666666666</x:v>
      </x:c>
      <x:c r="R796" s="9" t="n">
        <x:f>IF(K796=0,"n.a.",N796/K796)</x:f>
        <x:v>0.2222222222222222</x:v>
      </x:c>
      <x:c r="S796" s="7" t="n">
        <x:v>93</x:v>
      </x:c>
      <x:c r="T796" s="10" t="n">
        <x:v>0.29</x:v>
      </x:c>
      <x:c r="U796" s="7" t="n">
        <x:v>339</x:v>
      </x:c>
      <x:c r="V796" s="7" t="n">
        <x:v>803</x:v>
      </x:c>
    </x:row>
    <x:row r="797" ht="16" customHeight="1">
      <x:c r="A797" s="7" t="n">
        <x:v>794</x:v>
      </x:c>
      <x:c r="B797" s="8" t="n">
        <x:v>46166</x:v>
      </x:c>
      <x:c r="C797" s="7" t="str">
        <x:v>Pearl</x:v>
      </x:c>
      <x:c r="D797" s="7" t="str">
        <x:v>8th</x:v>
      </x:c>
      <x:c r="E797" s="7" t="str">
        <x:v>Yoru</x:v>
      </x:c>
      <x:c r="F797" s="7" t="n">
        <x:v>3</x:v>
      </x:c>
      <x:c r="G797" s="7" t="n">
        <x:v>13</x:v>
      </x:c>
      <x:c r="H797" s="7" t="str">
        <x:f>IF(F797&gt;G797,"Win",IF(F797&lt;G797,"Loss","Draw"))</x:f>
        <x:v>Loss</x:v>
      </x:c>
      <x:c r="I797" s="7" t="n">
        <x:f>IF(H797="Win",1,0)</x:f>
        <x:v>0</x:v>
      </x:c>
      <x:c r="J797" s="7" t="n">
        <x:f>F797-G797</x:f>
        <x:v>-10</x:v>
      </x:c>
      <x:c r="K797" s="7" t="n">
        <x:f>F797+G797</x:f>
        <x:v>16</x:v>
      </x:c>
      <x:c r="L797" s="7" t="n">
        <x:v>7</x:v>
      </x:c>
      <x:c r="M797" s="7" t="n">
        <x:v>14</x:v>
      </x:c>
      <x:c r="N797" s="7" t="n">
        <x:v>5</x:v>
      </x:c>
      <x:c r="O797" s="9" t="n">
        <x:f>IF(M797=0,"n.a.",L797/M797)</x:f>
        <x:v>0.5</x:v>
      </x:c>
      <x:c r="P797" s="9" t="n">
        <x:f>IF(K797=0,"n.a.",L797/K797)</x:f>
        <x:v>0.4375</x:v>
      </x:c>
      <x:c r="Q797" s="9" t="n">
        <x:f>IF(K797=0,"n.a.",M797/K797)</x:f>
        <x:v>0.875</x:v>
      </x:c>
      <x:c r="R797" s="9" t="n">
        <x:f>IF(K797=0,"n.a.",N797/K797)</x:f>
        <x:v>0.3125</x:v>
      </x:c>
      <x:c r="S797" s="7" t="n">
        <x:v>-13</x:v>
      </x:c>
      <x:c r="T797" s="10" t="n">
        <x:v>0.25</x:v>
      </x:c>
      <x:c r="U797" s="7" t="n">
        <x:v>183</x:v>
      </x:c>
      <x:c r="V797" s="7" t="n">
        <x:v>254</x:v>
      </x:c>
    </x:row>
    <x:row r="798" ht="16" customHeight="1">
      <x:c r="A798" s="7" t="n">
        <x:v>795</x:v>
      </x:c>
      <x:c r="B798" s="8" t="n">
        <x:v>46166</x:v>
      </x:c>
      <x:c r="C798" s="7" t="str">
        <x:v>Ascent</x:v>
      </x:c>
      <x:c r="D798" s="7" t="str">
        <x:v>4th</x:v>
      </x:c>
      <x:c r="E798" s="7" t="str">
        <x:v>Astra</x:v>
      </x:c>
      <x:c r="F798" s="7" t="n">
        <x:v>13</x:v>
      </x:c>
      <x:c r="G798" s="7" t="n">
        <x:v>4</x:v>
      </x:c>
      <x:c r="H798" s="7" t="str">
        <x:f>IF(F798&gt;G798,"Win",IF(F798&lt;G798,"Loss","Draw"))</x:f>
        <x:v>Win</x:v>
      </x:c>
      <x:c r="I798" s="7" t="n">
        <x:f>IF(H798="Win",1,0)</x:f>
        <x:v>1</x:v>
      </x:c>
      <x:c r="J798" s="7" t="n">
        <x:f>F798-G798</x:f>
        <x:v>9</x:v>
      </x:c>
      <x:c r="K798" s="7" t="n">
        <x:f>F798+G798</x:f>
        <x:v>17</x:v>
      </x:c>
      <x:c r="L798" s="7" t="n">
        <x:v>12</x:v>
      </x:c>
      <x:c r="M798" s="7" t="n">
        <x:v>8</x:v>
      </x:c>
      <x:c r="N798" s="7" t="n">
        <x:v>3</x:v>
      </x:c>
      <x:c r="O798" s="9" t="n">
        <x:f>IF(M798=0,"n.a.",L798/M798)</x:f>
        <x:v>1.5</x:v>
      </x:c>
      <x:c r="P798" s="9" t="n">
        <x:f>IF(K798=0,"n.a.",L798/K798)</x:f>
        <x:v>0.7058823529411765</x:v>
      </x:c>
      <x:c r="Q798" s="9" t="n">
        <x:f>IF(K798=0,"n.a.",M798/K798)</x:f>
        <x:v>0.47058823529411764</x:v>
      </x:c>
      <x:c r="R798" s="9" t="n">
        <x:f>IF(K798=0,"n.a.",N798/K798)</x:f>
        <x:v>0.17647058823529413</x:v>
      </x:c>
      <x:c r="S798" s="7" t="n">
        <x:v>22</x:v>
      </x:c>
      <x:c r="T798" s="10" t="n">
        <x:v>0.28</x:v>
      </x:c>
      <x:c r="U798" s="7" t="n">
        <x:v>207</x:v>
      </x:c>
      <x:c r="V798" s="7" t="n">
        <x:v>692</x:v>
      </x:c>
    </x:row>
    <x:row r="799" ht="16" customHeight="1">
      <x:c r="A799" s="7" t="n">
        <x:v>796</x:v>
      </x:c>
      <x:c r="B799" s="8" t="n">
        <x:v>46166</x:v>
      </x:c>
      <x:c r="C799" s="7" t="str">
        <x:v>Pearl</x:v>
      </x:c>
      <x:c r="D799" s="7" t="str">
        <x:v>10th</x:v>
      </x:c>
      <x:c r="E799" s="7" t="str">
        <x:v>Reyna</x:v>
      </x:c>
      <x:c r="F799" s="7" t="n">
        <x:v>6</x:v>
      </x:c>
      <x:c r="G799" s="7" t="n">
        <x:v>13</x:v>
      </x:c>
      <x:c r="H799" s="7" t="str">
        <x:f>IF(F799&gt;G799,"Win",IF(F799&lt;G799,"Loss","Draw"))</x:f>
        <x:v>Loss</x:v>
      </x:c>
      <x:c r="I799" s="7" t="n">
        <x:f>IF(H799="Win",1,0)</x:f>
        <x:v>0</x:v>
      </x:c>
      <x:c r="J799" s="7" t="n">
        <x:f>F799-G799</x:f>
        <x:v>-7</x:v>
      </x:c>
      <x:c r="K799" s="7" t="n">
        <x:f>F799+G799</x:f>
        <x:v>19</x:v>
      </x:c>
      <x:c r="L799" s="7" t="n">
        <x:v>5</x:v>
      </x:c>
      <x:c r="M799" s="7" t="n">
        <x:v>17</x:v>
      </x:c>
      <x:c r="N799" s="7" t="n">
        <x:v>5</x:v>
      </x:c>
      <x:c r="O799" s="9" t="n">
        <x:f>IF(M799=0,"n.a.",L799/M799)</x:f>
        <x:v>0.29411764705882354</x:v>
      </x:c>
      <x:c r="P799" s="9" t="n">
        <x:f>IF(K799=0,"n.a.",L799/K799)</x:f>
        <x:v>0.2631578947368421</x:v>
      </x:c>
      <x:c r="Q799" s="9" t="n">
        <x:f>IF(K799=0,"n.a.",M799/K799)</x:f>
        <x:v>0.8947368421052632</x:v>
      </x:c>
      <x:c r="R799" s="9" t="n">
        <x:f>IF(K799=0,"n.a.",N799/K799)</x:f>
        <x:v>0.2631578947368421</x:v>
      </x:c>
      <x:c r="S799" s="7" t="n">
        <x:v>-94</x:v>
      </x:c>
      <x:c r="T799" s="10" t="n">
        <x:v>0.18</x:v>
      </x:c>
      <x:c r="U799" s="7" t="n">
        <x:v>82</x:v>
      </x:c>
      <x:c r="V799" s="7" t="n">
        <x:v>100</x:v>
      </x:c>
    </x:row>
    <x:row r="800" ht="16" customHeight="1">
      <x:c r="A800" s="7" t="n">
        <x:v>797</x:v>
      </x:c>
      <x:c r="B800" s="8" t="n">
        <x:v>46166</x:v>
      </x:c>
      <x:c r="C800" s="7" t="str">
        <x:v>Breeze</x:v>
      </x:c>
      <x:c r="D800" s="7" t="str">
        <x:v>MVP</x:v>
      </x:c>
      <x:c r="E800" s="7" t="str">
        <x:v>Reyna</x:v>
      </x:c>
      <x:c r="F800" s="7" t="n">
        <x:v>14</x:v>
      </x:c>
      <x:c r="G800" s="7" t="n">
        <x:v>14</x:v>
      </x:c>
      <x:c r="H800" s="7" t="str">
        <x:f>IF(F800&gt;G800,"Win",IF(F800&lt;G800,"Loss","Draw"))</x:f>
        <x:v>Draw</x:v>
      </x:c>
      <x:c r="I800" s="7" t="n">
        <x:f>IF(H800="Win",1,0)</x:f>
        <x:v>0</x:v>
      </x:c>
      <x:c r="J800" s="7" t="n">
        <x:f>F800-G800</x:f>
        <x:v>0</x:v>
      </x:c>
      <x:c r="K800" s="7" t="n">
        <x:f>F800+G800</x:f>
        <x:v>28</x:v>
      </x:c>
      <x:c r="L800" s="7" t="n">
        <x:v>35</x:v>
      </x:c>
      <x:c r="M800" s="7" t="n">
        <x:v>22</x:v>
      </x:c>
      <x:c r="N800" s="7" t="n">
        <x:v>7</x:v>
      </x:c>
      <x:c r="O800" s="9" t="n">
        <x:f>IF(M800=0,"n.a.",L800/M800)</x:f>
        <x:v>1.5909090909090908</x:v>
      </x:c>
      <x:c r="P800" s="9" t="n">
        <x:f>IF(K800=0,"n.a.",L800/K800)</x:f>
        <x:v>1.25</x:v>
      </x:c>
      <x:c r="Q800" s="9" t="n">
        <x:f>IF(K800=0,"n.a.",M800/K800)</x:f>
        <x:v>0.7857142857142857</x:v>
      </x:c>
      <x:c r="R800" s="9" t="n">
        <x:f>IF(K800=0,"n.a.",N800/K800)</x:f>
        <x:v>0.25</x:v>
      </x:c>
      <x:c r="S800" s="7" t="n">
        <x:v>68</x:v>
      </x:c>
      <x:c r="T800" s="10" t="n">
        <x:v>0.31</x:v>
      </x:c>
      <x:c r="U800" s="7" t="n">
        <x:v>355</x:v>
      </x:c>
      <x:c r="V800" s="7" t="n">
        <x:v>900</x:v>
      </x:c>
    </x:row>
    <x:row r="801" ht="16" customHeight="1">
      <x:c r="A801" s="7" t="n">
        <x:v>798</x:v>
      </x:c>
      <x:c r="B801" s="8" t="n">
        <x:v>46167</x:v>
      </x:c>
      <x:c r="C801" s="7" t="str">
        <x:v>Pearl</x:v>
      </x:c>
      <x:c r="D801" s="7" t="str">
        <x:v>7th</x:v>
      </x:c>
      <x:c r="E801" s="7" t="str">
        <x:v>Chamber</x:v>
      </x:c>
      <x:c r="F801" s="7" t="n">
        <x:v>13</x:v>
      </x:c>
      <x:c r="G801" s="7" t="n">
        <x:v>9</x:v>
      </x:c>
      <x:c r="H801" s="7" t="str">
        <x:f>IF(F801&gt;G801,"Win",IF(F801&lt;G801,"Loss","Draw"))</x:f>
        <x:v>Win</x:v>
      </x:c>
      <x:c r="I801" s="7" t="n">
        <x:f>IF(H801="Win",1,0)</x:f>
        <x:v>1</x:v>
      </x:c>
      <x:c r="J801" s="7" t="n">
        <x:f>F801-G801</x:f>
        <x:v>4</x:v>
      </x:c>
      <x:c r="K801" s="7" t="n">
        <x:f>F801+G801</x:f>
        <x:v>22</x:v>
      </x:c>
      <x:c r="L801" s="7" t="n">
        <x:v>16</x:v>
      </x:c>
      <x:c r="M801" s="7" t="n">
        <x:v>13</x:v>
      </x:c>
      <x:c r="N801" s="7" t="n">
        <x:v>2</x:v>
      </x:c>
      <x:c r="O801" s="9" t="n">
        <x:f>IF(M801=0,"n.a.",L801/M801)</x:f>
        <x:v>1.2307692307692308</x:v>
      </x:c>
      <x:c r="P801" s="9" t="n">
        <x:f>IF(K801=0,"n.a.",L801/K801)</x:f>
        <x:v>0.7272727272727273</x:v>
      </x:c>
      <x:c r="Q801" s="9" t="n">
        <x:f>IF(K801=0,"n.a.",M801/K801)</x:f>
        <x:v>0.5909090909090909</x:v>
      </x:c>
      <x:c r="R801" s="9" t="n">
        <x:f>IF(K801=0,"n.a.",N801/K801)</x:f>
        <x:v>0.09090909090909091</x:v>
      </x:c>
      <x:c r="S801" s="7" t="n">
        <x:v>15</x:v>
      </x:c>
      <x:c r="T801" s="10" t="n">
        <x:v>0.52</x:v>
      </x:c>
      <x:c r="U801" s="7" t="n">
        <x:v>183</x:v>
      </x:c>
      <x:c r="V801" s="7" t="n">
        <x:v>557</x:v>
      </x:c>
    </x:row>
    <x:row r="802" ht="16" customHeight="1">
      <x:c r="A802" s="7" t="n">
        <x:v>799</x:v>
      </x:c>
      <x:c r="B802" s="8" t="n">
        <x:v>46167</x:v>
      </x:c>
      <x:c r="C802" s="7" t="str">
        <x:v>Breeze</x:v>
      </x:c>
      <x:c r="D802" s="7" t="str">
        <x:v>3rd</x:v>
      </x:c>
      <x:c r="E802" s="7" t="str">
        <x:v>Chamber</x:v>
      </x:c>
      <x:c r="F802" s="7" t="n">
        <x:v>9</x:v>
      </x:c>
      <x:c r="G802" s="7" t="n">
        <x:v>13</x:v>
      </x:c>
      <x:c r="H802" s="7" t="str">
        <x:f>IF(F802&gt;G802,"Win",IF(F802&lt;G802,"Loss","Draw"))</x:f>
        <x:v>Loss</x:v>
      </x:c>
      <x:c r="I802" s="7" t="n">
        <x:f>IF(H802="Win",1,0)</x:f>
        <x:v>0</x:v>
      </x:c>
      <x:c r="J802" s="7" t="n">
        <x:f>F802-G802</x:f>
        <x:v>-4</x:v>
      </x:c>
      <x:c r="K802" s="7" t="n">
        <x:f>F802+G802</x:f>
        <x:v>22</x:v>
      </x:c>
      <x:c r="L802" s="7" t="n">
        <x:v>23</x:v>
      </x:c>
      <x:c r="M802" s="7" t="n">
        <x:v>15</x:v>
      </x:c>
      <x:c r="N802" s="7" t="n">
        <x:v>0</x:v>
      </x:c>
      <x:c r="O802" s="9" t="n">
        <x:f>IF(M802=0,"n.a.",L802/M802)</x:f>
        <x:v>1.5333333333333334</x:v>
      </x:c>
      <x:c r="P802" s="9" t="n">
        <x:f>IF(K802=0,"n.a.",L802/K802)</x:f>
        <x:v>1.0454545454545454</x:v>
      </x:c>
      <x:c r="Q802" s="9" t="n">
        <x:f>IF(K802=0,"n.a.",M802/K802)</x:f>
        <x:v>0.6818181818181818</x:v>
      </x:c>
      <x:c r="R802" s="9" t="n">
        <x:f>IF(K802=0,"n.a.",N802/K802)</x:f>
        <x:v>0</x:v>
      </x:c>
      <x:c r="S802" s="7" t="n">
        <x:v>54</x:v>
      </x:c>
      <x:c r="T802" s="10" t="n">
        <x:v>0.33</x:v>
      </x:c>
      <x:c r="U802" s="7" t="n">
        <x:v>273</x:v>
      </x:c>
      <x:c r="V802" s="7" t="n">
        <x:v>753</x:v>
      </x:c>
    </x:row>
    <x:row r="803" ht="16" customHeight="1">
      <x:c r="A803" s="7" t="n">
        <x:v>800</x:v>
      </x:c>
      <x:c r="B803" s="8" t="n">
        <x:v>46167</x:v>
      </x:c>
      <x:c r="C803" s="7" t="str">
        <x:v>Lotus</x:v>
      </x:c>
      <x:c r="D803" s="7" t="str">
        <x:v>7th</x:v>
      </x:c>
      <x:c r="E803" s="7" t="str">
        <x:v>Omen</x:v>
      </x:c>
      <x:c r="F803" s="7" t="n">
        <x:v>2</x:v>
      </x:c>
      <x:c r="G803" s="7" t="n">
        <x:v>13</x:v>
      </x:c>
      <x:c r="H803" s="7" t="str">
        <x:f>IF(F803&gt;G803,"Win",IF(F803&lt;G803,"Loss","Draw"))</x:f>
        <x:v>Loss</x:v>
      </x:c>
      <x:c r="I803" s="7" t="n">
        <x:f>IF(H803="Win",1,0)</x:f>
        <x:v>0</x:v>
      </x:c>
      <x:c r="J803" s="7" t="n">
        <x:f>F803-G803</x:f>
        <x:v>-11</x:v>
      </x:c>
      <x:c r="K803" s="7" t="n">
        <x:f>F803+G803</x:f>
        <x:v>15</x:v>
      </x:c>
      <x:c r="L803" s="7" t="n">
        <x:v>10</x:v>
      </x:c>
      <x:c r="M803" s="7" t="n">
        <x:v>14</x:v>
      </x:c>
      <x:c r="N803" s="7" t="n">
        <x:v>3</x:v>
      </x:c>
      <x:c r="O803" s="9" t="n">
        <x:f>IF(M803=0,"n.a.",L803/M803)</x:f>
        <x:v>0.7142857142857143</x:v>
      </x:c>
      <x:c r="P803" s="9" t="n">
        <x:f>IF(K803=0,"n.a.",L803/K803)</x:f>
        <x:v>0.6666666666666666</x:v>
      </x:c>
      <x:c r="Q803" s="9" t="n">
        <x:f>IF(K803=0,"n.a.",M803/K803)</x:f>
        <x:v>0.9333333333333333</x:v>
      </x:c>
      <x:c r="R803" s="9" t="n">
        <x:f>IF(K803=0,"n.a.",N803/K803)</x:f>
        <x:v>0.2</x:v>
      </x:c>
      <x:c r="S803" s="7" t="n">
        <x:v>-28</x:v>
      </x:c>
      <x:c r="T803" s="10" t="n">
        <x:v>0.46</x:v>
      </x:c>
      <x:c r="U803" s="7" t="n">
        <x:v>185</x:v>
      </x:c>
      <x:c r="V803" s="7" t="n">
        <x:v>265</x:v>
      </x:c>
    </x:row>
    <x:row r="804" ht="16" customHeight="1">
      <x:c r="A804" s="7" t="n">
        <x:v>801</x:v>
      </x:c>
      <x:c r="B804" s="8" t="n">
        <x:v>46167</x:v>
      </x:c>
      <x:c r="C804" s="7" t="str">
        <x:v>Haven</x:v>
      </x:c>
      <x:c r="D804" s="7" t="str">
        <x:v>10th</x:v>
      </x:c>
      <x:c r="E804" s="7" t="str">
        <x:v>Jett</x:v>
      </x:c>
      <x:c r="F804" s="7" t="n">
        <x:v>4</x:v>
      </x:c>
      <x:c r="G804" s="7" t="n">
        <x:v>13</x:v>
      </x:c>
      <x:c r="H804" s="7" t="str">
        <x:f>IF(F804&gt;G804,"Win",IF(F804&lt;G804,"Loss","Draw"))</x:f>
        <x:v>Loss</x:v>
      </x:c>
      <x:c r="I804" s="7" t="n">
        <x:f>IF(H804="Win",1,0)</x:f>
        <x:v>0</x:v>
      </x:c>
      <x:c r="J804" s="7" t="n">
        <x:f>F804-G804</x:f>
        <x:v>-9</x:v>
      </x:c>
      <x:c r="K804" s="7" t="n">
        <x:f>F804+G804</x:f>
        <x:v>17</x:v>
      </x:c>
      <x:c r="L804" s="7" t="n">
        <x:v>0</x:v>
      </x:c>
      <x:c r="M804" s="7" t="n">
        <x:v>10</x:v>
      </x:c>
      <x:c r="N804" s="7" t="n">
        <x:v>0</x:v>
      </x:c>
      <x:c r="O804" s="9" t="n">
        <x:f>IF(M804=0,"n.a.",L804/M804)</x:f>
        <x:v>0</x:v>
      </x:c>
      <x:c r="P804" s="9" t="n">
        <x:f>IF(K804=0,"n.a.",L804/K804)</x:f>
        <x:v>0</x:v>
      </x:c>
      <x:c r="Q804" s="9" t="n">
        <x:f>IF(K804=0,"n.a.",M804/K804)</x:f>
        <x:v>0.5882352941176471</x:v>
      </x:c>
      <x:c r="R804" s="9" t="n">
        <x:f>IF(K804=0,"n.a.",N804/K804)</x:f>
        <x:v>0</x:v>
      </x:c>
      <x:c r="S804" s="7" t="n">
        <x:v>-98</x:v>
      </x:c>
      <x:c r="T804" s="10" t="n">
        <x:v>0</x:v>
      </x:c>
      <x:c r="U804" s="7" t="n">
        <x:v>5</x:v>
      </x:c>
      <x:c r="V804" s="7" t="n">
        <x:v>100</x:v>
      </x:c>
    </x:row>
    <x:row r="805" ht="16" customHeight="1">
      <x:c r="A805" s="7" t="n">
        <x:v>802</x:v>
      </x:c>
      <x:c r="B805" s="8" t="n">
        <x:v>46167</x:v>
      </x:c>
      <x:c r="C805" s="7" t="str">
        <x:v>Fracture</x:v>
      </x:c>
      <x:c r="D805" s="7" t="str">
        <x:v>8th</x:v>
      </x:c>
      <x:c r="E805" s="7" t="str">
        <x:v>Chamber</x:v>
      </x:c>
      <x:c r="F805" s="7" t="n">
        <x:v>13</x:v>
      </x:c>
      <x:c r="G805" s="7" t="n">
        <x:v>11</x:v>
      </x:c>
      <x:c r="H805" s="7" t="str">
        <x:f>IF(F805&gt;G805,"Win",IF(F805&lt;G805,"Loss","Draw"))</x:f>
        <x:v>Win</x:v>
      </x:c>
      <x:c r="I805" s="7" t="n">
        <x:f>IF(H805="Win",1,0)</x:f>
        <x:v>1</x:v>
      </x:c>
      <x:c r="J805" s="7" t="n">
        <x:f>F805-G805</x:f>
        <x:v>2</x:v>
      </x:c>
      <x:c r="K805" s="7" t="n">
        <x:f>F805+G805</x:f>
        <x:v>24</x:v>
      </x:c>
      <x:c r="L805" s="7" t="n">
        <x:v>18</x:v>
      </x:c>
      <x:c r="M805" s="7" t="n">
        <x:v>16</x:v>
      </x:c>
      <x:c r="N805" s="7" t="n">
        <x:v>4</x:v>
      </x:c>
      <x:c r="O805" s="9" t="n">
        <x:f>IF(M805=0,"n.a.",L805/M805)</x:f>
        <x:v>1.125</x:v>
      </x:c>
      <x:c r="P805" s="9" t="n">
        <x:f>IF(K805=0,"n.a.",L805/K805)</x:f>
        <x:v>0.75</x:v>
      </x:c>
      <x:c r="Q805" s="9" t="n">
        <x:f>IF(K805=0,"n.a.",M805/K805)</x:f>
        <x:v>0.6666666666666666</x:v>
      </x:c>
      <x:c r="R805" s="9" t="n">
        <x:f>IF(K805=0,"n.a.",N805/K805)</x:f>
        <x:v>0.16666666666666666</x:v>
      </x:c>
      <x:c r="S805" s="7" t="n">
        <x:v>-19</x:v>
      </x:c>
      <x:c r="T805" s="10" t="n">
        <x:v>0.19</x:v>
      </x:c>
      <x:c r="U805" s="7" t="n">
        <x:v>181</x:v>
      </x:c>
      <x:c r="V805" s="7" t="n">
        <x:v>443</x:v>
      </x:c>
    </x:row>
    <x:row r="806" ht="16" customHeight="1">
      <x:c r="A806" s="7" t="n">
        <x:v>803</x:v>
      </x:c>
      <x:c r="B806" s="8" t="n">
        <x:v>46167</x:v>
      </x:c>
      <x:c r="C806" s="7" t="str">
        <x:v>Split</x:v>
      </x:c>
      <x:c r="D806" s="7" t="str">
        <x:v>4th</x:v>
      </x:c>
      <x:c r="E806" s="7" t="str">
        <x:v>Chamber</x:v>
      </x:c>
      <x:c r="F806" s="7" t="n">
        <x:v>10</x:v>
      </x:c>
      <x:c r="G806" s="7" t="n">
        <x:v>13</x:v>
      </x:c>
      <x:c r="H806" s="7" t="str">
        <x:f>IF(F806&gt;G806,"Win",IF(F806&lt;G806,"Loss","Draw"))</x:f>
        <x:v>Loss</x:v>
      </x:c>
      <x:c r="I806" s="7" t="n">
        <x:f>IF(H806="Win",1,0)</x:f>
        <x:v>0</x:v>
      </x:c>
      <x:c r="J806" s="7" t="n">
        <x:f>F806-G806</x:f>
        <x:v>-3</x:v>
      </x:c>
      <x:c r="K806" s="7" t="n">
        <x:f>F806+G806</x:f>
        <x:v>23</x:v>
      </x:c>
      <x:c r="L806" s="7" t="n">
        <x:v>18</x:v>
      </x:c>
      <x:c r="M806" s="7" t="n">
        <x:v>16</x:v>
      </x:c>
      <x:c r="N806" s="7" t="n">
        <x:v>2</x:v>
      </x:c>
      <x:c r="O806" s="9" t="n">
        <x:f>IF(M806=0,"n.a.",L806/M806)</x:f>
        <x:v>1.125</x:v>
      </x:c>
      <x:c r="P806" s="9" t="n">
        <x:f>IF(K806=0,"n.a.",L806/K806)</x:f>
        <x:v>0.782608695652174</x:v>
      </x:c>
      <x:c r="Q806" s="9" t="n">
        <x:f>IF(K806=0,"n.a.",M806/K806)</x:f>
        <x:v>0.6956521739130435</x:v>
      </x:c>
      <x:c r="R806" s="9" t="n">
        <x:f>IF(K806=0,"n.a.",N806/K806)</x:f>
        <x:v>0.08695652173913043</x:v>
      </x:c>
      <x:c r="S806" s="7" t="n">
        <x:v>21</x:v>
      </x:c>
      <x:c r="T806" s="10" t="n">
        <x:v>0.25</x:v>
      </x:c>
      <x:c r="U806" s="7" t="n">
        <x:v>221</x:v>
      </x:c>
      <x:c r="V806" s="7" t="n">
        <x:v>578</x:v>
      </x:c>
    </x:row>
    <x:row r="807" ht="16" customHeight="1">
      <x:c r="A807" s="7" t="n">
        <x:v>804</x:v>
      </x:c>
      <x:c r="B807" s="8" t="n">
        <x:v>46168</x:v>
      </x:c>
      <x:c r="C807" s="7" t="str">
        <x:v>Split</x:v>
      </x:c>
      <x:c r="D807" s="7" t="str">
        <x:v>10th</x:v>
      </x:c>
      <x:c r="E807" s="7" t="str">
        <x:v>Clove</x:v>
      </x:c>
      <x:c r="F807" s="7" t="n">
        <x:v>9</x:v>
      </x:c>
      <x:c r="G807" s="7" t="n">
        <x:v>13</x:v>
      </x:c>
      <x:c r="H807" s="7" t="str">
        <x:f>IF(F807&gt;G807,"Win",IF(F807&lt;G807,"Loss","Draw"))</x:f>
        <x:v>Loss</x:v>
      </x:c>
      <x:c r="I807" s="7" t="n">
        <x:f>IF(H807="Win",1,0)</x:f>
        <x:v>0</x:v>
      </x:c>
      <x:c r="J807" s="7" t="n">
        <x:f>F807-G807</x:f>
        <x:v>-4</x:v>
      </x:c>
      <x:c r="K807" s="7" t="n">
        <x:f>F807+G807</x:f>
        <x:v>22</x:v>
      </x:c>
      <x:c r="L807" s="7" t="n">
        <x:v>13</x:v>
      </x:c>
      <x:c r="M807" s="7" t="n">
        <x:v>15</x:v>
      </x:c>
      <x:c r="N807" s="7" t="n">
        <x:v>4</x:v>
      </x:c>
      <x:c r="O807" s="9" t="n">
        <x:f>IF(M807=0,"n.a.",L807/M807)</x:f>
        <x:v>0.8666666666666667</x:v>
      </x:c>
      <x:c r="P807" s="9" t="n">
        <x:f>IF(K807=0,"n.a.",L807/K807)</x:f>
        <x:v>0.5909090909090909</x:v>
      </x:c>
      <x:c r="Q807" s="9" t="n">
        <x:f>IF(K807=0,"n.a.",M807/K807)</x:f>
        <x:v>0.6818181818181818</x:v>
      </x:c>
      <x:c r="R807" s="9" t="n">
        <x:f>IF(K807=0,"n.a.",N807/K807)</x:f>
        <x:v>0.18181818181818182</x:v>
      </x:c>
      <x:c r="S807" s="7" t="n">
        <x:v>-32</x:v>
      </x:c>
      <x:c r="T807" s="10" t="n">
        <x:v>0.44</x:v>
      </x:c>
      <x:c r="U807" s="7" t="n">
        <x:v>145</x:v>
      </x:c>
      <x:c r="V807" s="7" t="n">
        <x:v>210</x:v>
      </x:c>
    </x:row>
    <x:row r="808" ht="16" customHeight="1">
      <x:c r="A808" s="7" t="n">
        <x:v>805</x:v>
      </x:c>
      <x:c r="B808" s="8" t="n">
        <x:v>46168</x:v>
      </x:c>
      <x:c r="C808" s="7" t="str">
        <x:v>Haven</x:v>
      </x:c>
      <x:c r="D808" s="7" t="str">
        <x:v>2nd</x:v>
      </x:c>
      <x:c r="E808" s="7" t="str">
        <x:v>Neon</x:v>
      </x:c>
      <x:c r="F808" s="7" t="n">
        <x:v>2</x:v>
      </x:c>
      <x:c r="G808" s="7" t="n">
        <x:v>13</x:v>
      </x:c>
      <x:c r="H808" s="7" t="str">
        <x:f>IF(F808&gt;G808,"Win",IF(F808&lt;G808,"Loss","Draw"))</x:f>
        <x:v>Loss</x:v>
      </x:c>
      <x:c r="I808" s="7" t="n">
        <x:f>IF(H808="Win",1,0)</x:f>
        <x:v>0</x:v>
      </x:c>
      <x:c r="J808" s="7" t="n">
        <x:f>F808-G808</x:f>
        <x:v>-11</x:v>
      </x:c>
      <x:c r="K808" s="7" t="n">
        <x:f>F808+G808</x:f>
        <x:v>15</x:v>
      </x:c>
      <x:c r="L808" s="7" t="n">
        <x:v>16</x:v>
      </x:c>
      <x:c r="M808" s="7" t="n">
        <x:v>13</x:v>
      </x:c>
      <x:c r="N808" s="7" t="n">
        <x:v>1</x:v>
      </x:c>
      <x:c r="O808" s="9" t="n">
        <x:f>IF(M808=0,"n.a.",L808/M808)</x:f>
        <x:v>1.2307692307692308</x:v>
      </x:c>
      <x:c r="P808" s="9" t="n">
        <x:f>IF(K808=0,"n.a.",L808/K808)</x:f>
        <x:v>1.0666666666666667</x:v>
      </x:c>
      <x:c r="Q808" s="9" t="n">
        <x:f>IF(K808=0,"n.a.",M808/K808)</x:f>
        <x:v>0.8666666666666667</x:v>
      </x:c>
      <x:c r="R808" s="9" t="n">
        <x:f>IF(K808=0,"n.a.",N808/K808)</x:f>
        <x:v>0.06666666666666667</x:v>
      </x:c>
      <x:c r="S808" s="7" t="n">
        <x:v>19</x:v>
      </x:c>
      <x:c r="T808" s="10" t="n">
        <x:v>0.39</x:v>
      </x:c>
      <x:c r="U808" s="7" t="n">
        <x:v>284</x:v>
      </x:c>
      <x:c r="V808" s="7" t="n">
        <x:v>550</x:v>
      </x:c>
    </x:row>
    <x:row r="809" ht="16" customHeight="1">
      <x:c r="A809" s="7" t="n">
        <x:v>806</x:v>
      </x:c>
      <x:c r="B809" s="8" t="n">
        <x:v>46168</x:v>
      </x:c>
      <x:c r="C809" s="7" t="str">
        <x:v>Haven</x:v>
      </x:c>
      <x:c r="D809" s="7" t="str">
        <x:v>3rd</x:v>
      </x:c>
      <x:c r="E809" s="7" t="str">
        <x:v>Neon</x:v>
      </x:c>
      <x:c r="F809" s="7" t="n">
        <x:v>4</x:v>
      </x:c>
      <x:c r="G809" s="7" t="n">
        <x:v>13</x:v>
      </x:c>
      <x:c r="H809" s="7" t="str">
        <x:f>IF(F809&gt;G809,"Win",IF(F809&lt;G809,"Loss","Draw"))</x:f>
        <x:v>Loss</x:v>
      </x:c>
      <x:c r="I809" s="7" t="n">
        <x:f>IF(H809="Win",1,0)</x:f>
        <x:v>0</x:v>
      </x:c>
      <x:c r="J809" s="7" t="n">
        <x:f>F809-G809</x:f>
        <x:v>-9</x:v>
      </x:c>
      <x:c r="K809" s="7" t="n">
        <x:f>F809+G809</x:f>
        <x:v>17</x:v>
      </x:c>
      <x:c r="L809" s="7" t="n">
        <x:v>14</x:v>
      </x:c>
      <x:c r="M809" s="7" t="n">
        <x:v>13</x:v>
      </x:c>
      <x:c r="N809" s="7" t="n">
        <x:v>2</x:v>
      </x:c>
      <x:c r="O809" s="9" t="n">
        <x:f>IF(M809=0,"n.a.",L809/M809)</x:f>
        <x:v>1.0769230769230769</x:v>
      </x:c>
      <x:c r="P809" s="9" t="n">
        <x:f>IF(K809=0,"n.a.",L809/K809)</x:f>
        <x:v>0.8235294117647058</x:v>
      </x:c>
      <x:c r="Q809" s="9" t="n">
        <x:f>IF(K809=0,"n.a.",M809/K809)</x:f>
        <x:v>0.7647058823529411</x:v>
      </x:c>
      <x:c r="R809" s="9" t="n">
        <x:f>IF(K809=0,"n.a.",N809/K809)</x:f>
        <x:v>0.11764705882352941</x:v>
      </x:c>
      <x:c r="S809" s="7" t="n">
        <x:v>10</x:v>
      </x:c>
      <x:c r="T809" s="10" t="n">
        <x:v>0.39</x:v>
      </x:c>
      <x:c r="U809" s="7" t="n">
        <x:v>234</x:v>
      </x:c>
      <x:c r="V809" s="7" t="n">
        <x:v>471</x:v>
      </x:c>
    </x:row>
    <x:row r="810" ht="16" customHeight="1">
      <x:c r="A810" s="7" t="n">
        <x:v>807</x:v>
      </x:c>
      <x:c r="B810" s="8" t="n">
        <x:v>46168</x:v>
      </x:c>
      <x:c r="C810" s="7" t="str">
        <x:v>Fracture</x:v>
      </x:c>
      <x:c r="D810" s="7" t="str">
        <x:v>3rd</x:v>
      </x:c>
      <x:c r="E810" s="7" t="str">
        <x:v>Chamber</x:v>
      </x:c>
      <x:c r="F810" s="7" t="n">
        <x:v>11</x:v>
      </x:c>
      <x:c r="G810" s="7" t="n">
        <x:v>13</x:v>
      </x:c>
      <x:c r="H810" s="7" t="str">
        <x:f>IF(F810&gt;G810,"Win",IF(F810&lt;G810,"Loss","Draw"))</x:f>
        <x:v>Loss</x:v>
      </x:c>
      <x:c r="I810" s="7" t="n">
        <x:f>IF(H810="Win",1,0)</x:f>
        <x:v>0</x:v>
      </x:c>
      <x:c r="J810" s="7" t="n">
        <x:f>F810-G810</x:f>
        <x:v>-2</x:v>
      </x:c>
      <x:c r="K810" s="7" t="n">
        <x:f>F810+G810</x:f>
        <x:v>24</x:v>
      </x:c>
      <x:c r="L810" s="7" t="n">
        <x:v>19</x:v>
      </x:c>
      <x:c r="M810" s="7" t="n">
        <x:v>22</x:v>
      </x:c>
      <x:c r="N810" s="7" t="n">
        <x:v>8</x:v>
      </x:c>
      <x:c r="O810" s="9" t="n">
        <x:f>IF(M810=0,"n.a.",L810/M810)</x:f>
        <x:v>0.8636363636363636</x:v>
      </x:c>
      <x:c r="P810" s="9" t="n">
        <x:f>IF(K810=0,"n.a.",L810/K810)</x:f>
        <x:v>0.7916666666666666</x:v>
      </x:c>
      <x:c r="Q810" s="9" t="n">
        <x:f>IF(K810=0,"n.a.",M810/K810)</x:f>
        <x:v>0.9166666666666666</x:v>
      </x:c>
      <x:c r="R810" s="9" t="n">
        <x:f>IF(K810=0,"n.a.",N810/K810)</x:f>
        <x:v>0.3333333333333333</x:v>
      </x:c>
      <x:c r="S810" s="7" t="n">
        <x:v>-4</x:v>
      </x:c>
      <x:c r="T810" s="10" t="n">
        <x:v>0.28</x:v>
      </x:c>
      <x:c r="U810" s="7" t="n">
        <x:v>225</x:v>
      </x:c>
      <x:c r="V810" s="7" t="n">
        <x:v>483</x:v>
      </x:c>
    </x:row>
    <x:row r="811" ht="16" customHeight="1">
      <x:c r="A811" s="7" t="n">
        <x:v>808</x:v>
      </x:c>
      <x:c r="B811" s="8" t="n">
        <x:v>46168</x:v>
      </x:c>
      <x:c r="C811" s="7" t="str">
        <x:v>Split</x:v>
      </x:c>
      <x:c r="D811" s="7" t="str">
        <x:v>5th</x:v>
      </x:c>
      <x:c r="E811" s="7" t="str">
        <x:v>Neon</x:v>
      </x:c>
      <x:c r="F811" s="7" t="n">
        <x:v>16</x:v>
      </x:c>
      <x:c r="G811" s="7" t="n">
        <x:v>14</x:v>
      </x:c>
      <x:c r="H811" s="7" t="str">
        <x:f>IF(F811&gt;G811,"Win",IF(F811&lt;G811,"Loss","Draw"))</x:f>
        <x:v>Win</x:v>
      </x:c>
      <x:c r="I811" s="7" t="n">
        <x:f>IF(H811="Win",1,0)</x:f>
        <x:v>1</x:v>
      </x:c>
      <x:c r="J811" s="7" t="n">
        <x:f>F811-G811</x:f>
        <x:v>2</x:v>
      </x:c>
      <x:c r="K811" s="7" t="n">
        <x:f>F811+G811</x:f>
        <x:v>30</x:v>
      </x:c>
      <x:c r="L811" s="7" t="n">
        <x:v>22</x:v>
      </x:c>
      <x:c r="M811" s="7" t="n">
        <x:v>20</x:v>
      </x:c>
      <x:c r="N811" s="7" t="n">
        <x:v>8</x:v>
      </x:c>
      <x:c r="O811" s="9" t="n">
        <x:f>IF(M811=0,"n.a.",L811/M811)</x:f>
        <x:v>1.1</x:v>
      </x:c>
      <x:c r="P811" s="9" t="n">
        <x:f>IF(K811=0,"n.a.",L811/K811)</x:f>
        <x:v>0.7333333333333333</x:v>
      </x:c>
      <x:c r="Q811" s="9" t="n">
        <x:f>IF(K811=0,"n.a.",M811/K811)</x:f>
        <x:v>0.6666666666666666</x:v>
      </x:c>
      <x:c r="R811" s="9" t="n">
        <x:f>IF(K811=0,"n.a.",N811/K811)</x:f>
        <x:v>0.26666666666666666</x:v>
      </x:c>
      <x:c r="S811" s="7" t="n">
        <x:v>1</x:v>
      </x:c>
      <x:c r="T811" s="10" t="n">
        <x:v>0.21</x:v>
      </x:c>
      <x:c r="U811" s="7" t="n">
        <x:v>218</x:v>
      </x:c>
      <x:c r="V811" s="7" t="n">
        <x:v>540</x:v>
      </x:c>
    </x:row>
    <x:row r="812" ht="16" customHeight="1">
      <x:c r="A812" s="7" t="n">
        <x:v>809</x:v>
      </x:c>
      <x:c r="B812" s="8" t="n">
        <x:v>46168</x:v>
      </x:c>
      <x:c r="C812" s="7" t="str">
        <x:v>Lotus</x:v>
      </x:c>
      <x:c r="D812" s="7" t="str">
        <x:v>10th</x:v>
      </x:c>
      <x:c r="E812" s="7" t="str">
        <x:v>Neon</x:v>
      </x:c>
      <x:c r="F812" s="7" t="n">
        <x:v>9</x:v>
      </x:c>
      <x:c r="G812" s="7" t="n">
        <x:v>13</x:v>
      </x:c>
      <x:c r="H812" s="7" t="str">
        <x:f>IF(F812&gt;G812,"Win",IF(F812&lt;G812,"Loss","Draw"))</x:f>
        <x:v>Loss</x:v>
      </x:c>
      <x:c r="I812" s="7" t="n">
        <x:f>IF(H812="Win",1,0)</x:f>
        <x:v>0</x:v>
      </x:c>
      <x:c r="J812" s="7" t="n">
        <x:f>F812-G812</x:f>
        <x:v>-4</x:v>
      </x:c>
      <x:c r="K812" s="7" t="n">
        <x:f>F812+G812</x:f>
        <x:v>22</x:v>
      </x:c>
      <x:c r="L812" s="7" t="n">
        <x:v>11</x:v>
      </x:c>
      <x:c r="M812" s="7" t="n">
        <x:v>16</x:v>
      </x:c>
      <x:c r="N812" s="7" t="n">
        <x:v>2</x:v>
      </x:c>
      <x:c r="O812" s="9" t="n">
        <x:f>IF(M812=0,"n.a.",L812/M812)</x:f>
        <x:v>0.6875</x:v>
      </x:c>
      <x:c r="P812" s="9" t="n">
        <x:f>IF(K812=0,"n.a.",L812/K812)</x:f>
        <x:v>0.5</x:v>
      </x:c>
      <x:c r="Q812" s="9" t="n">
        <x:f>IF(K812=0,"n.a.",M812/K812)</x:f>
        <x:v>0.7272727272727273</x:v>
      </x:c>
      <x:c r="R812" s="9" t="n">
        <x:f>IF(K812=0,"n.a.",N812/K812)</x:f>
        <x:v>0.09090909090909091</x:v>
      </x:c>
      <x:c r="S812" s="7" t="n">
        <x:v>-29</x:v>
      </x:c>
      <x:c r="T812" s="10" t="n">
        <x:v>0.32</x:v>
      </x:c>
      <x:c r="U812" s="7" t="n">
        <x:v>134</x:v>
      </x:c>
      <x:c r="V812" s="7" t="n">
        <x:v>206</x:v>
      </x:c>
    </x:row>
    <x:row r="813" ht="16" customHeight="1">
      <x:c r="A813" s="7" t="n">
        <x:v>810</x:v>
      </x:c>
      <x:c r="B813" s="8" t="n">
        <x:v>46168</x:v>
      </x:c>
      <x:c r="C813" s="7" t="str">
        <x:v>Lotus</x:v>
      </x:c>
      <x:c r="D813" s="7" t="str">
        <x:v>4th</x:v>
      </x:c>
      <x:c r="E813" s="7" t="str">
        <x:v>Neon</x:v>
      </x:c>
      <x:c r="F813" s="7" t="n">
        <x:v>13</x:v>
      </x:c>
      <x:c r="G813" s="7" t="n">
        <x:v>8</x:v>
      </x:c>
      <x:c r="H813" s="7" t="str">
        <x:f>IF(F813&gt;G813,"Win",IF(F813&lt;G813,"Loss","Draw"))</x:f>
        <x:v>Win</x:v>
      </x:c>
      <x:c r="I813" s="7" t="n">
        <x:f>IF(H813="Win",1,0)</x:f>
        <x:v>1</x:v>
      </x:c>
      <x:c r="J813" s="7" t="n">
        <x:f>F813-G813</x:f>
        <x:v>5</x:v>
      </x:c>
      <x:c r="K813" s="7" t="n">
        <x:f>F813+G813</x:f>
        <x:v>21</x:v>
      </x:c>
      <x:c r="L813" s="7" t="n">
        <x:v>19</x:v>
      </x:c>
      <x:c r="M813" s="7" t="n">
        <x:v>17</x:v>
      </x:c>
      <x:c r="N813" s="7" t="n">
        <x:v>5</x:v>
      </x:c>
      <x:c r="O813" s="9" t="n">
        <x:f>IF(M813=0,"n.a.",L813/M813)</x:f>
        <x:v>1.1176470588235294</x:v>
      </x:c>
      <x:c r="P813" s="9" t="n">
        <x:f>IF(K813=0,"n.a.",L813/K813)</x:f>
        <x:v>0.9047619047619048</x:v>
      </x:c>
      <x:c r="Q813" s="9" t="n">
        <x:f>IF(K813=0,"n.a.",M813/K813)</x:f>
        <x:v>0.8095238095238095</x:v>
      </x:c>
      <x:c r="R813" s="9" t="n">
        <x:f>IF(K813=0,"n.a.",N813/K813)</x:f>
        <x:v>0.23809523809523808</x:v>
      </x:c>
      <x:c r="S813" s="7" t="n">
        <x:v>-1</x:v>
      </x:c>
      <x:c r="T813" s="10" t="n">
        <x:v>0.25</x:v>
      </x:c>
      <x:c r="U813" s="7" t="n">
        <x:v>248</x:v>
      </x:c>
      <x:c r="V813" s="7" t="n">
        <x:v>556</x:v>
      </x:c>
    </x:row>
    <x:row r="814" ht="16" customHeight="1">
      <x:c r="A814" s="7" t="n">
        <x:v>811</x:v>
      </x:c>
      <x:c r="B814" s="8" t="n">
        <x:v>46168</x:v>
      </x:c>
      <x:c r="C814" s="7" t="str">
        <x:v>Ascent</x:v>
      </x:c>
      <x:c r="D814" s="7" t="str">
        <x:v>9th</x:v>
      </x:c>
      <x:c r="E814" s="7" t="str">
        <x:v>Neon</x:v>
      </x:c>
      <x:c r="F814" s="7" t="n">
        <x:v>13</x:v>
      </x:c>
      <x:c r="G814" s="7" t="n">
        <x:v>7</x:v>
      </x:c>
      <x:c r="H814" s="7" t="str">
        <x:f>IF(F814&gt;G814,"Win",IF(F814&lt;G814,"Loss","Draw"))</x:f>
        <x:v>Win</x:v>
      </x:c>
      <x:c r="I814" s="7" t="n">
        <x:f>IF(H814="Win",1,0)</x:f>
        <x:v>1</x:v>
      </x:c>
      <x:c r="J814" s="7" t="n">
        <x:f>F814-G814</x:f>
        <x:v>6</x:v>
      </x:c>
      <x:c r="K814" s="7" t="n">
        <x:f>F814+G814</x:f>
        <x:v>20</x:v>
      </x:c>
      <x:c r="L814" s="7" t="n">
        <x:v>11</x:v>
      </x:c>
      <x:c r="M814" s="7" t="n">
        <x:v>16</x:v>
      </x:c>
      <x:c r="N814" s="7" t="n">
        <x:v>3</x:v>
      </x:c>
      <x:c r="O814" s="9" t="n">
        <x:f>IF(M814=0,"n.a.",L814/M814)</x:f>
        <x:v>0.6875</x:v>
      </x:c>
      <x:c r="P814" s="9" t="n">
        <x:f>IF(K814=0,"n.a.",L814/K814)</x:f>
        <x:v>0.55</x:v>
      </x:c>
      <x:c r="Q814" s="9" t="n">
        <x:f>IF(K814=0,"n.a.",M814/K814)</x:f>
        <x:v>0.8</x:v>
      </x:c>
      <x:c r="R814" s="9" t="n">
        <x:f>IF(K814=0,"n.a.",N814/K814)</x:f>
        <x:v>0.15</x:v>
      </x:c>
      <x:c r="S814" s="7" t="n">
        <x:v>-38</x:v>
      </x:c>
      <x:c r="T814" s="10" t="n">
        <x:v>0.2</x:v>
      </x:c>
      <x:c r="U814" s="7" t="n">
        <x:v>171</x:v>
      </x:c>
      <x:c r="V814" s="7" t="n">
        <x:v>449</x:v>
      </x:c>
    </x:row>
    <x:row r="815" ht="16" customHeight="1">
      <x:c r="A815" s="7" t="n">
        <x:v>812</x:v>
      </x:c>
      <x:c r="B815" s="8" t="n">
        <x:v>46168</x:v>
      </x:c>
      <x:c r="C815" s="7" t="str">
        <x:v>Fracture</x:v>
      </x:c>
      <x:c r="D815" s="7" t="str">
        <x:v>3rd</x:v>
      </x:c>
      <x:c r="E815" s="7" t="str">
        <x:v>Neon</x:v>
      </x:c>
      <x:c r="F815" s="7" t="n">
        <x:v>13</x:v>
      </x:c>
      <x:c r="G815" s="7" t="n">
        <x:v>8</x:v>
      </x:c>
      <x:c r="H815" s="7" t="str">
        <x:f>IF(F815&gt;G815,"Win",IF(F815&lt;G815,"Loss","Draw"))</x:f>
        <x:v>Win</x:v>
      </x:c>
      <x:c r="I815" s="7" t="n">
        <x:f>IF(H815="Win",1,0)</x:f>
        <x:v>1</x:v>
      </x:c>
      <x:c r="J815" s="7" t="n">
        <x:f>F815-G815</x:f>
        <x:v>5</x:v>
      </x:c>
      <x:c r="K815" s="7" t="n">
        <x:f>F815+G815</x:f>
        <x:v>21</x:v>
      </x:c>
      <x:c r="L815" s="7" t="n">
        <x:v>18</x:v>
      </x:c>
      <x:c r="M815" s="7" t="n">
        <x:v>15</x:v>
      </x:c>
      <x:c r="N815" s="7" t="n">
        <x:v>5</x:v>
      </x:c>
      <x:c r="O815" s="9" t="n">
        <x:f>IF(M815=0,"n.a.",L815/M815)</x:f>
        <x:v>1.2</x:v>
      </x:c>
      <x:c r="P815" s="9" t="n">
        <x:f>IF(K815=0,"n.a.",L815/K815)</x:f>
        <x:v>0.8571428571428571</x:v>
      </x:c>
      <x:c r="Q815" s="9" t="n">
        <x:f>IF(K815=0,"n.a.",M815/K815)</x:f>
        <x:v>0.7142857142857143</x:v>
      </x:c>
      <x:c r="R815" s="9" t="n">
        <x:f>IF(K815=0,"n.a.",N815/K815)</x:f>
        <x:v>0.23809523809523808</x:v>
      </x:c>
      <x:c r="S815" s="7" t="n">
        <x:v>-11</x:v>
      </x:c>
      <x:c r="T815" s="10" t="n">
        <x:v>0.2</x:v>
      </x:c>
      <x:c r="U815" s="7" t="n">
        <x:v>240</x:v>
      </x:c>
      <x:c r="V815" s="7" t="n">
        <x:v>726</x:v>
      </x:c>
    </x:row>
    <x:row r="816" ht="16" customHeight="1">
      <x:c r="A816" s="7" t="n">
        <x:v>813</x:v>
      </x:c>
      <x:c r="B816" s="8" t="n">
        <x:v>46168</x:v>
      </x:c>
      <x:c r="C816" s="7" t="str">
        <x:v>Fracture</x:v>
      </x:c>
      <x:c r="D816" s="7" t="str">
        <x:v>2nd</x:v>
      </x:c>
      <x:c r="E816" s="7" t="str">
        <x:v>Neon</x:v>
      </x:c>
      <x:c r="F816" s="7" t="n">
        <x:v>6</x:v>
      </x:c>
      <x:c r="G816" s="7" t="n">
        <x:v>13</x:v>
      </x:c>
      <x:c r="H816" s="7" t="str">
        <x:f>IF(F816&gt;G816,"Win",IF(F816&lt;G816,"Loss","Draw"))</x:f>
        <x:v>Loss</x:v>
      </x:c>
      <x:c r="I816" s="7" t="n">
        <x:f>IF(H816="Win",1,0)</x:f>
        <x:v>0</x:v>
      </x:c>
      <x:c r="J816" s="7" t="n">
        <x:f>F816-G816</x:f>
        <x:v>-7</x:v>
      </x:c>
      <x:c r="K816" s="7" t="n">
        <x:f>F816+G816</x:f>
        <x:v>19</x:v>
      </x:c>
      <x:c r="L816" s="7" t="n">
        <x:v>17</x:v>
      </x:c>
      <x:c r="M816" s="7" t="n">
        <x:v>15</x:v>
      </x:c>
      <x:c r="N816" s="7" t="n">
        <x:v>1</x:v>
      </x:c>
      <x:c r="O816" s="9" t="n">
        <x:f>IF(M816=0,"n.a.",L816/M816)</x:f>
        <x:v>1.1333333333333333</x:v>
      </x:c>
      <x:c r="P816" s="9" t="n">
        <x:f>IF(K816=0,"n.a.",L816/K816)</x:f>
        <x:v>0.8947368421052632</x:v>
      </x:c>
      <x:c r="Q816" s="9" t="n">
        <x:f>IF(K816=0,"n.a.",M816/K816)</x:f>
        <x:v>0.7894736842105263</x:v>
      </x:c>
      <x:c r="R816" s="9" t="n">
        <x:f>IF(K816=0,"n.a.",N816/K816)</x:f>
        <x:v>0.05263157894736842</x:v>
      </x:c>
      <x:c r="S816" s="7" t="n">
        <x:v>16</x:v>
      </x:c>
      <x:c r="T816" s="10" t="n">
        <x:v>0.22</x:v>
      </x:c>
      <x:c r="U816" s="7" t="n">
        <x:v>267</x:v>
      </x:c>
      <x:c r="V816" s="7" t="n">
        <x:v>475</x:v>
      </x:c>
    </x:row>
    <x:row r="817" ht="16" customHeight="1">
      <x:c r="A817" s="7" t="n">
        <x:v>814</x:v>
      </x:c>
      <x:c r="B817" s="8" t="n">
        <x:v>46172</x:v>
      </x:c>
      <x:c r="C817" s="7" t="str">
        <x:v>Haven</x:v>
      </x:c>
      <x:c r="D817" s="7" t="str">
        <x:v>8th</x:v>
      </x:c>
      <x:c r="E817" s="7" t="str">
        <x:v>Neon</x:v>
      </x:c>
      <x:c r="F817" s="7" t="n">
        <x:v>15</x:v>
      </x:c>
      <x:c r="G817" s="7" t="n">
        <x:v>13</x:v>
      </x:c>
      <x:c r="H817" s="7" t="str">
        <x:f>IF(F817&gt;G817,"Win",IF(F817&lt;G817,"Loss","Draw"))</x:f>
        <x:v>Win</x:v>
      </x:c>
      <x:c r="I817" s="7" t="n">
        <x:f>IF(H817="Win",1,0)</x:f>
        <x:v>1</x:v>
      </x:c>
      <x:c r="J817" s="7" t="n">
        <x:f>F817-G817</x:f>
        <x:v>2</x:v>
      </x:c>
      <x:c r="K817" s="7" t="n">
        <x:f>F817+G817</x:f>
        <x:v>28</x:v>
      </x:c>
      <x:c r="L817" s="7" t="n">
        <x:v>17</x:v>
      </x:c>
      <x:c r="M817" s="7" t="n">
        <x:v>19</x:v>
      </x:c>
      <x:c r="N817" s="7" t="n">
        <x:v>1</x:v>
      </x:c>
      <x:c r="O817" s="9" t="n">
        <x:f>IF(M817=0,"n.a.",L817/M817)</x:f>
        <x:v>0.8947368421052632</x:v>
      </x:c>
      <x:c r="P817" s="9" t="n">
        <x:f>IF(K817=0,"n.a.",L817/K817)</x:f>
        <x:v>0.6071428571428571</x:v>
      </x:c>
      <x:c r="Q817" s="9" t="n">
        <x:f>IF(K817=0,"n.a.",M817/K817)</x:f>
        <x:v>0.6785714285714286</x:v>
      </x:c>
      <x:c r="R817" s="9" t="n">
        <x:f>IF(K817=0,"n.a.",N817/K817)</x:f>
        <x:v>0.03571428571428571</x:v>
      </x:c>
      <x:c r="S817" s="7" t="n">
        <x:v>-24</x:v>
      </x:c>
      <x:c r="T817" s="10" t="n">
        <x:v>0.34</x:v>
      </x:c>
      <x:c r="U817" s="7" t="n">
        <x:v>163</x:v>
      </x:c>
      <x:c r="V817" s="7" t="n">
        <x:v>309</x:v>
      </x:c>
    </x:row>
    <x:row r="818" ht="16" customHeight="1">
      <x:c r="A818" s="7" t="n">
        <x:v>815</x:v>
      </x:c>
      <x:c r="B818" s="8" t="n">
        <x:v>46172</x:v>
      </x:c>
      <x:c r="C818" s="7" t="str">
        <x:v>Split</x:v>
      </x:c>
      <x:c r="D818" s="7" t="str">
        <x:v>MVP</x:v>
      </x:c>
      <x:c r="E818" s="7" t="str">
        <x:v>Neon</x:v>
      </x:c>
      <x:c r="F818" s="7" t="n">
        <x:v>9</x:v>
      </x:c>
      <x:c r="G818" s="7" t="n">
        <x:v>13</x:v>
      </x:c>
      <x:c r="H818" s="7" t="str">
        <x:f>IF(F818&gt;G818,"Win",IF(F818&lt;G818,"Loss","Draw"))</x:f>
        <x:v>Loss</x:v>
      </x:c>
      <x:c r="I818" s="7" t="n">
        <x:f>IF(H818="Win",1,0)</x:f>
        <x:v>0</x:v>
      </x:c>
      <x:c r="J818" s="7" t="n">
        <x:f>F818-G818</x:f>
        <x:v>-4</x:v>
      </x:c>
      <x:c r="K818" s="7" t="n">
        <x:f>F818+G818</x:f>
        <x:v>22</x:v>
      </x:c>
      <x:c r="L818" s="7" t="n">
        <x:v>24</x:v>
      </x:c>
      <x:c r="M818" s="7" t="n">
        <x:v>16</x:v>
      </x:c>
      <x:c r="N818" s="7" t="n">
        <x:v>2</x:v>
      </x:c>
      <x:c r="O818" s="9" t="n">
        <x:f>IF(M818=0,"n.a.",L818/M818)</x:f>
        <x:v>1.5</x:v>
      </x:c>
      <x:c r="P818" s="9" t="n">
        <x:f>IF(K818=0,"n.a.",L818/K818)</x:f>
        <x:v>1.0909090909090908</x:v>
      </x:c>
      <x:c r="Q818" s="9" t="n">
        <x:f>IF(K818=0,"n.a.",M818/K818)</x:f>
        <x:v>0.7272727272727273</x:v>
      </x:c>
      <x:c r="R818" s="9" t="n">
        <x:f>IF(K818=0,"n.a.",N818/K818)</x:f>
        <x:v>0.09090909090909091</x:v>
      </x:c>
      <x:c r="S818" s="7" t="n">
        <x:v>60</x:v>
      </x:c>
      <x:c r="T818" s="10" t="n">
        <x:v>0.3</x:v>
      </x:c>
      <x:c r="U818" s="7" t="n">
        <x:v>324</x:v>
      </x:c>
      <x:c r="V818" s="7" t="n">
        <x:v>836</x:v>
      </x:c>
    </x:row>
    <x:row r="819" ht="16" customHeight="1">
      <x:c r="A819" s="7" t="n">
        <x:v>816</x:v>
      </x:c>
      <x:c r="B819" s="8" t="n">
        <x:v>46172</x:v>
      </x:c>
      <x:c r="C819" s="7" t="str">
        <x:v>Lotus</x:v>
      </x:c>
      <x:c r="D819" s="7" t="str">
        <x:v>2nd</x:v>
      </x:c>
      <x:c r="E819" s="7" t="str">
        <x:v>Neon</x:v>
      </x:c>
      <x:c r="F819" s="7" t="n">
        <x:v>13</x:v>
      </x:c>
      <x:c r="G819" s="7" t="n">
        <x:v>8</x:v>
      </x:c>
      <x:c r="H819" s="7" t="str">
        <x:f>IF(F819&gt;G819,"Win",IF(F819&lt;G819,"Loss","Draw"))</x:f>
        <x:v>Win</x:v>
      </x:c>
      <x:c r="I819" s="7" t="n">
        <x:f>IF(H819="Win",1,0)</x:f>
        <x:v>1</x:v>
      </x:c>
      <x:c r="J819" s="7" t="n">
        <x:f>F819-G819</x:f>
        <x:v>5</x:v>
      </x:c>
      <x:c r="K819" s="7" t="n">
        <x:f>F819+G819</x:f>
        <x:v>21</x:v>
      </x:c>
      <x:c r="L819" s="7" t="n">
        <x:v>22</x:v>
      </x:c>
      <x:c r="M819" s="7" t="n">
        <x:v>13</x:v>
      </x:c>
      <x:c r="N819" s="7" t="n">
        <x:v>3</x:v>
      </x:c>
      <x:c r="O819" s="9" t="n">
        <x:f>IF(M819=0,"n.a.",L819/M819)</x:f>
        <x:v>1.6923076923076923</x:v>
      </x:c>
      <x:c r="P819" s="9" t="n">
        <x:f>IF(K819=0,"n.a.",L819/K819)</x:f>
        <x:v>1.0476190476190477</x:v>
      </x:c>
      <x:c r="Q819" s="9" t="n">
        <x:f>IF(K819=0,"n.a.",M819/K819)</x:f>
        <x:v>0.6190476190476191</x:v>
      </x:c>
      <x:c r="R819" s="9" t="n">
        <x:f>IF(K819=0,"n.a.",N819/K819)</x:f>
        <x:v>0.14285714285714285</x:v>
      </x:c>
      <x:c r="S819" s="7" t="n">
        <x:v>59</x:v>
      </x:c>
      <x:c r="T819" s="10" t="n">
        <x:v>0.21</x:v>
      </x:c>
      <x:c r="U819" s="7" t="n">
        <x:v>287</x:v>
      </x:c>
      <x:c r="V819" s="7" t="n">
        <x:v>891</x:v>
      </x:c>
    </x:row>
    <x:row r="820" ht="16" customHeight="1">
      <x:c r="A820" s="7" t="n">
        <x:v>817</x:v>
      </x:c>
      <x:c r="B820" s="8" t="n">
        <x:v>46172</x:v>
      </x:c>
      <x:c r="C820" s="7" t="str">
        <x:v>Breeze</x:v>
      </x:c>
      <x:c r="D820" s="7" t="str">
        <x:v>2nd</x:v>
      </x:c>
      <x:c r="E820" s="7" t="str">
        <x:v>Neon</x:v>
      </x:c>
      <x:c r="F820" s="7" t="n">
        <x:v>4</x:v>
      </x:c>
      <x:c r="G820" s="7" t="n">
        <x:v>13</x:v>
      </x:c>
      <x:c r="H820" s="7" t="str">
        <x:f>IF(F820&gt;G820,"Win",IF(F820&lt;G820,"Loss","Draw"))</x:f>
        <x:v>Loss</x:v>
      </x:c>
      <x:c r="I820" s="7" t="n">
        <x:f>IF(H820="Win",1,0)</x:f>
        <x:v>0</x:v>
      </x:c>
      <x:c r="J820" s="7" t="n">
        <x:f>F820-G820</x:f>
        <x:v>-9</x:v>
      </x:c>
      <x:c r="K820" s="7" t="n">
        <x:f>F820+G820</x:f>
        <x:v>17</x:v>
      </x:c>
      <x:c r="L820" s="7" t="n">
        <x:v>18</x:v>
      </x:c>
      <x:c r="M820" s="7" t="n">
        <x:v>16</x:v>
      </x:c>
      <x:c r="N820" s="7" t="n">
        <x:v>2</x:v>
      </x:c>
      <x:c r="O820" s="9" t="n">
        <x:f>IF(M820=0,"n.a.",L820/M820)</x:f>
        <x:v>1.125</x:v>
      </x:c>
      <x:c r="P820" s="9" t="n">
        <x:f>IF(K820=0,"n.a.",L820/K820)</x:f>
        <x:v>1.0588235294117647</x:v>
      </x:c>
      <x:c r="Q820" s="9" t="n">
        <x:f>IF(K820=0,"n.a.",M820/K820)</x:f>
        <x:v>0.9411764705882353</x:v>
      </x:c>
      <x:c r="R820" s="9" t="n">
        <x:f>IF(K820=0,"n.a.",N820/K820)</x:f>
        <x:v>0.11764705882352941</x:v>
      </x:c>
      <x:c r="S820" s="7" t="n">
        <x:v>60</x:v>
      </x:c>
      <x:c r="T820" s="10" t="n">
        <x:v>0.29</x:v>
      </x:c>
      <x:c r="U820" s="7" t="n">
        <x:v>335</x:v>
      </x:c>
      <x:c r="V820" s="7" t="n">
        <x:v>634</x:v>
      </x:c>
    </x:row>
    <x:row r="821" ht="16" customHeight="1">
      <x:c r="A821" s="7" t="n">
        <x:v>818</x:v>
      </x:c>
      <x:c r="B821" s="8" t="n">
        <x:v>46172</x:v>
      </x:c>
      <x:c r="C821" s="7" t="str">
        <x:v>Ascent</x:v>
      </x:c>
      <x:c r="D821" s="7" t="str">
        <x:v>2nd</x:v>
      </x:c>
      <x:c r="E821" s="7" t="str">
        <x:v>Neon</x:v>
      </x:c>
      <x:c r="F821" s="7" t="n">
        <x:v>13</x:v>
      </x:c>
      <x:c r="G821" s="7" t="n">
        <x:v>11</x:v>
      </x:c>
      <x:c r="H821" s="7" t="str">
        <x:f>IF(F821&gt;G821,"Win",IF(F821&lt;G821,"Loss","Draw"))</x:f>
        <x:v>Win</x:v>
      </x:c>
      <x:c r="I821" s="7" t="n">
        <x:f>IF(H821="Win",1,0)</x:f>
        <x:v>1</x:v>
      </x:c>
      <x:c r="J821" s="7" t="n">
        <x:f>F821-G821</x:f>
        <x:v>2</x:v>
      </x:c>
      <x:c r="K821" s="7" t="n">
        <x:f>F821+G821</x:f>
        <x:v>24</x:v>
      </x:c>
      <x:c r="L821" s="7" t="n">
        <x:v>25</x:v>
      </x:c>
      <x:c r="M821" s="7" t="n">
        <x:v>18</x:v>
      </x:c>
      <x:c r="N821" s="7" t="n">
        <x:v>6</x:v>
      </x:c>
      <x:c r="O821" s="9" t="n">
        <x:f>IF(M821=0,"n.a.",L821/M821)</x:f>
        <x:v>1.3888888888888888</x:v>
      </x:c>
      <x:c r="P821" s="9" t="n">
        <x:f>IF(K821=0,"n.a.",L821/K821)</x:f>
        <x:v>1.0416666666666667</x:v>
      </x:c>
      <x:c r="Q821" s="9" t="n">
        <x:f>IF(K821=0,"n.a.",M821/K821)</x:f>
        <x:v>0.75</x:v>
      </x:c>
      <x:c r="R821" s="9" t="n">
        <x:f>IF(K821=0,"n.a.",N821/K821)</x:f>
        <x:v>0.25</x:v>
      </x:c>
      <x:c r="S821" s="7" t="n">
        <x:v>46</x:v>
      </x:c>
      <x:c r="T821" s="10" t="n">
        <x:v>0.25</x:v>
      </x:c>
      <x:c r="U821" s="7" t="n">
        <x:v>292</x:v>
      </x:c>
      <x:c r="V821" s="7" t="n">
        <x:v>755</x:v>
      </x:c>
    </x:row>
    <x:row r="822" ht="16" customHeight="1">
      <x:c r="A822" s="7" t="n">
        <x:v>819</x:v>
      </x:c>
      <x:c r="B822" s="8" t="n">
        <x:v>46173</x:v>
      </x:c>
      <x:c r="C822" s="7" t="str">
        <x:v>Ascent</x:v>
      </x:c>
      <x:c r="D822" s="7" t="str">
        <x:v>9th</x:v>
      </x:c>
      <x:c r="E822" s="7" t="str">
        <x:v>Neon</x:v>
      </x:c>
      <x:c r="F822" s="7" t="n">
        <x:v>13</x:v>
      </x:c>
      <x:c r="G822" s="7" t="n">
        <x:v>7</x:v>
      </x:c>
      <x:c r="H822" s="7" t="str">
        <x:f>IF(F822&gt;G822,"Win",IF(F822&lt;G822,"Loss","Draw"))</x:f>
        <x:v>Win</x:v>
      </x:c>
      <x:c r="I822" s="7" t="n">
        <x:f>IF(H822="Win",1,0)</x:f>
        <x:v>1</x:v>
      </x:c>
      <x:c r="J822" s="7" t="n">
        <x:f>F822-G822</x:f>
        <x:v>6</x:v>
      </x:c>
      <x:c r="K822" s="7" t="n">
        <x:f>F822+G822</x:f>
        <x:v>20</x:v>
      </x:c>
      <x:c r="L822" s="7" t="n">
        <x:v>12</x:v>
      </x:c>
      <x:c r="M822" s="7" t="n">
        <x:v>15</x:v>
      </x:c>
      <x:c r="N822" s="7" t="n">
        <x:v>4</x:v>
      </x:c>
      <x:c r="O822" s="9" t="n">
        <x:f>IF(M822=0,"n.a.",L822/M822)</x:f>
        <x:v>0.8</x:v>
      </x:c>
      <x:c r="P822" s="9" t="n">
        <x:f>IF(K822=0,"n.a.",L822/K822)</x:f>
        <x:v>0.6</x:v>
      </x:c>
      <x:c r="Q822" s="9" t="n">
        <x:f>IF(K822=0,"n.a.",M822/K822)</x:f>
        <x:v>0.75</x:v>
      </x:c>
      <x:c r="R822" s="9" t="n">
        <x:f>IF(K822=0,"n.a.",N822/K822)</x:f>
        <x:v>0.2</x:v>
      </x:c>
      <x:c r="S822" s="7" t="n">
        <x:v>-47</x:v>
      </x:c>
      <x:c r="T822" s="10" t="n">
        <x:v>0.32</x:v>
      </x:c>
      <x:c r="U822" s="7" t="n">
        <x:v>169</x:v>
      </x:c>
      <x:c r="V822" s="7" t="n">
        <x:v>330</x:v>
      </x:c>
    </x:row>
    <x:row r="823" ht="16" customHeight="1">
      <x:c r="A823" s="7" t="n">
        <x:v>820</x:v>
      </x:c>
      <x:c r="B823" s="8" t="n">
        <x:v>46173</x:v>
      </x:c>
      <x:c r="C823" s="7" t="str">
        <x:v>Pearl</x:v>
      </x:c>
      <x:c r="D823" s="7" t="str">
        <x:v>6th</x:v>
      </x:c>
      <x:c r="E823" s="7" t="str">
        <x:v>Neon</x:v>
      </x:c>
      <x:c r="F823" s="7" t="n">
        <x:v>7</x:v>
      </x:c>
      <x:c r="G823" s="7" t="n">
        <x:v>13</x:v>
      </x:c>
      <x:c r="H823" s="7" t="str">
        <x:f>IF(F823&gt;G823,"Win",IF(F823&lt;G823,"Loss","Draw"))</x:f>
        <x:v>Loss</x:v>
      </x:c>
      <x:c r="I823" s="7" t="n">
        <x:f>IF(H823="Win",1,0)</x:f>
        <x:v>0</x:v>
      </x:c>
      <x:c r="J823" s="7" t="n">
        <x:f>F823-G823</x:f>
        <x:v>-6</x:v>
      </x:c>
      <x:c r="K823" s="7" t="n">
        <x:f>F823+G823</x:f>
        <x:v>20</x:v>
      </x:c>
      <x:c r="L823" s="7" t="n">
        <x:v>12</x:v>
      </x:c>
      <x:c r="M823" s="7" t="n">
        <x:v>19</x:v>
      </x:c>
      <x:c r="N823" s="7" t="n">
        <x:v>6</x:v>
      </x:c>
      <x:c r="O823" s="9" t="n">
        <x:f>IF(M823=0,"n.a.",L823/M823)</x:f>
        <x:v>0.631578947368421</x:v>
      </x:c>
      <x:c r="P823" s="9" t="n">
        <x:f>IF(K823=0,"n.a.",L823/K823)</x:f>
        <x:v>0.6</x:v>
      </x:c>
      <x:c r="Q823" s="9" t="n">
        <x:f>IF(K823=0,"n.a.",M823/K823)</x:f>
        <x:v>0.95</x:v>
      </x:c>
      <x:c r="R823" s="9" t="n">
        <x:f>IF(K823=0,"n.a.",N823/K823)</x:f>
        <x:v>0.3</x:v>
      </x:c>
      <x:c r="S823" s="7" t="n">
        <x:v>-52</x:v>
      </x:c>
      <x:c r="T823" s="10" t="n">
        <x:v>0.2</x:v>
      </x:c>
      <x:c r="U823" s="7" t="n">
        <x:v>183</x:v>
      </x:c>
      <x:c r="V823" s="7" t="n">
        <x:v>291</x:v>
      </x:c>
    </x:row>
    <x:row r="824" ht="16" customHeight="1">
      <x:c r="A824" s="7" t="n">
        <x:v>821</x:v>
      </x:c>
      <x:c r="B824" s="8" t="n">
        <x:v>46174</x:v>
      </x:c>
      <x:c r="C824" s="7" t="str">
        <x:v>Lotus</x:v>
      </x:c>
      <x:c r="D824" s="7" t="str">
        <x:v>4th</x:v>
      </x:c>
      <x:c r="E824" s="7" t="str">
        <x:v>Neon</x:v>
      </x:c>
      <x:c r="F824" s="7" t="n">
        <x:v>13</x:v>
      </x:c>
      <x:c r="G824" s="7" t="n">
        <x:v>10</x:v>
      </x:c>
      <x:c r="H824" s="7" t="str">
        <x:f>IF(F824&gt;G824,"Win",IF(F824&lt;G824,"Loss","Draw"))</x:f>
        <x:v>Win</x:v>
      </x:c>
      <x:c r="I824" s="7" t="n">
        <x:f>IF(H824="Win",1,0)</x:f>
        <x:v>1</x:v>
      </x:c>
      <x:c r="J824" s="7" t="n">
        <x:f>F824-G824</x:f>
        <x:v>3</x:v>
      </x:c>
      <x:c r="K824" s="7" t="n">
        <x:f>F824+G824</x:f>
        <x:v>23</x:v>
      </x:c>
      <x:c r="L824" s="7" t="n">
        <x:v>21</x:v>
      </x:c>
      <x:c r="M824" s="7" t="n">
        <x:v>16</x:v>
      </x:c>
      <x:c r="N824" s="7" t="n">
        <x:v>3</x:v>
      </x:c>
      <x:c r="O824" s="9" t="n">
        <x:f>IF(M824=0,"n.a.",L824/M824)</x:f>
        <x:v>1.3125</x:v>
      </x:c>
      <x:c r="P824" s="9" t="n">
        <x:f>IF(K824=0,"n.a.",L824/K824)</x:f>
        <x:v>0.9130434782608695</x:v>
      </x:c>
      <x:c r="Q824" s="9" t="n">
        <x:f>IF(K824=0,"n.a.",M824/K824)</x:f>
        <x:v>0.6956521739130435</x:v>
      </x:c>
      <x:c r="R824" s="9" t="n">
        <x:f>IF(K824=0,"n.a.",N824/K824)</x:f>
        <x:v>0.13043478260869565</x:v>
      </x:c>
      <x:c r="S824" s="7" t="n">
        <x:v>16</x:v>
      </x:c>
      <x:c r="T824" s="10" t="n">
        <x:v>0.31</x:v>
      </x:c>
      <x:c r="U824" s="7" t="n">
        <x:v>239</x:v>
      </x:c>
      <x:c r="V824" s="7" t="n">
        <x:v>695</x:v>
      </x:c>
    </x:row>
    <x:row r="825" ht="16" customHeight="1">
      <x:c r="A825" s="7" t="n">
        <x:v>822</x:v>
      </x:c>
      <x:c r="B825" s="8" t="n">
        <x:v>46175</x:v>
      </x:c>
      <x:c r="C825" s="7" t="str">
        <x:v>Ascent</x:v>
      </x:c>
      <x:c r="D825" s="7" t="str">
        <x:v>6th</x:v>
      </x:c>
      <x:c r="E825" s="7" t="str">
        <x:v>Neon</x:v>
      </x:c>
      <x:c r="F825" s="7" t="n">
        <x:v>10</x:v>
      </x:c>
      <x:c r="G825" s="7" t="n">
        <x:v>13</x:v>
      </x:c>
      <x:c r="H825" s="7" t="str">
        <x:f>IF(F825&gt;G825,"Win",IF(F825&lt;G825,"Loss","Draw"))</x:f>
        <x:v>Loss</x:v>
      </x:c>
      <x:c r="I825" s="7" t="n">
        <x:f>IF(H825="Win",1,0)</x:f>
        <x:v>0</x:v>
      </x:c>
      <x:c r="J825" s="7" t="n">
        <x:f>F825-G825</x:f>
        <x:v>-3</x:v>
      </x:c>
      <x:c r="K825" s="7" t="n">
        <x:f>F825+G825</x:f>
        <x:v>23</x:v>
      </x:c>
      <x:c r="L825" s="7" t="n">
        <x:v>15</x:v>
      </x:c>
      <x:c r="M825" s="7" t="n">
        <x:v>21</x:v>
      </x:c>
      <x:c r="N825" s="7" t="n">
        <x:v>3</x:v>
      </x:c>
      <x:c r="O825" s="9" t="n">
        <x:f>IF(M825=0,"n.a.",L825/M825)</x:f>
        <x:v>0.7142857142857143</x:v>
      </x:c>
      <x:c r="P825" s="9" t="n">
        <x:f>IF(K825=0,"n.a.",L825/K825)</x:f>
        <x:v>0.6521739130434783</x:v>
      </x:c>
      <x:c r="Q825" s="9" t="n">
        <x:f>IF(K825=0,"n.a.",M825/K825)</x:f>
        <x:v>0.9130434782608695</x:v>
      </x:c>
      <x:c r="R825" s="9" t="n">
        <x:f>IF(K825=0,"n.a.",N825/K825)</x:f>
        <x:v>0.13043478260869565</x:v>
      </x:c>
      <x:c r="S825" s="7" t="n">
        <x:v>-44</x:v>
      </x:c>
      <x:c r="T825" s="10" t="n">
        <x:v>0.28</x:v>
      </x:c>
      <x:c r="U825" s="7" t="n">
        <x:v>189</x:v>
      </x:c>
      <x:c r="V825" s="7" t="n">
        <x:v>287</x:v>
      </x:c>
    </x:row>
    <x:row r="826" ht="16" customHeight="1">
      <x:c r="A826" s="7" t="n">
        <x:v>823</x:v>
      </x:c>
      <x:c r="B826" s="8" t="n">
        <x:v>46176</x:v>
      </x:c>
      <x:c r="C826" s="7" t="str">
        <x:v>Haven</x:v>
      </x:c>
      <x:c r="D826" s="7" t="str">
        <x:v>10th</x:v>
      </x:c>
      <x:c r="E826" s="7" t="str">
        <x:v>Astra</x:v>
      </x:c>
      <x:c r="F826" s="7" t="n">
        <x:v>7</x:v>
      </x:c>
      <x:c r="G826" s="7" t="n">
        <x:v>13</x:v>
      </x:c>
      <x:c r="H826" s="7" t="str">
        <x:f>IF(F826&gt;G826,"Win",IF(F826&lt;G826,"Loss","Draw"))</x:f>
        <x:v>Loss</x:v>
      </x:c>
      <x:c r="I826" s="7" t="n">
        <x:f>IF(H826="Win",1,0)</x:f>
        <x:v>0</x:v>
      </x:c>
      <x:c r="J826" s="7" t="n">
        <x:f>F826-G826</x:f>
        <x:v>-6</x:v>
      </x:c>
      <x:c r="K826" s="7" t="n">
        <x:f>F826+G826</x:f>
        <x:v>20</x:v>
      </x:c>
      <x:c r="L826" s="7" t="n">
        <x:v>0</x:v>
      </x:c>
      <x:c r="M826" s="7" t="n">
        <x:v>1</x:v>
      </x:c>
      <x:c r="N826" s="7" t="n">
        <x:v>0</x:v>
      </x:c>
      <x:c r="O826" s="9" t="n">
        <x:f>IF(M826=0,"n.a.",L826/M826)</x:f>
        <x:v>0</x:v>
      </x:c>
      <x:c r="P826" s="9" t="n">
        <x:f>IF(K826=0,"n.a.",L826/K826)</x:f>
        <x:v>0</x:v>
      </x:c>
      <x:c r="Q826" s="9" t="n">
        <x:f>IF(K826=0,"n.a.",M826/K826)</x:f>
        <x:v>0.05</x:v>
      </x:c>
      <x:c r="R826" s="9" t="n">
        <x:f>IF(K826=0,"n.a.",N826/K826)</x:f>
        <x:v>0</x:v>
      </x:c>
      <x:c r="S826" s="7" t="n">
        <x:v>-5</x:v>
      </x:c>
      <x:c r="T826" s="10" t="n">
        <x:v>0</x:v>
      </x:c>
      <x:c r="U826" s="7" t="n">
        <x:v>0</x:v>
      </x:c>
      <x:c r="V826" s="7" t="n">
        <x:v>173</x:v>
      </x:c>
    </x:row>
    <x:row r="827" ht="16" customHeight="1">
      <x:c r="A827" s="7" t="n">
        <x:v>824</x:v>
      </x:c>
      <x:c r="B827" s="8" t="n">
        <x:v>46176</x:v>
      </x:c>
      <x:c r="C827" s="7" t="str">
        <x:v>Lotus</x:v>
      </x:c>
      <x:c r="D827" s="7" t="str">
        <x:v>8th</x:v>
      </x:c>
      <x:c r="E827" s="7" t="str">
        <x:v>Neon</x:v>
      </x:c>
      <x:c r="F827" s="7" t="n">
        <x:v>7</x:v>
      </x:c>
      <x:c r="G827" s="7" t="n">
        <x:v>13</x:v>
      </x:c>
      <x:c r="H827" s="7" t="str">
        <x:f>IF(F827&gt;G827,"Win",IF(F827&lt;G827,"Loss","Draw"))</x:f>
        <x:v>Loss</x:v>
      </x:c>
      <x:c r="I827" s="7" t="n">
        <x:f>IF(H827="Win",1,0)</x:f>
        <x:v>0</x:v>
      </x:c>
      <x:c r="J827" s="7" t="n">
        <x:f>F827-G827</x:f>
        <x:v>-6</x:v>
      </x:c>
      <x:c r="K827" s="7" t="n">
        <x:f>F827+G827</x:f>
        <x:v>20</x:v>
      </x:c>
      <x:c r="L827" s="7" t="n">
        <x:v>10</x:v>
      </x:c>
      <x:c r="M827" s="7" t="n">
        <x:v>14</x:v>
      </x:c>
      <x:c r="N827" s="7" t="n">
        <x:v>7</x:v>
      </x:c>
      <x:c r="O827" s="9" t="n">
        <x:f>IF(M827=0,"n.a.",L827/M827)</x:f>
        <x:v>0.7142857142857143</x:v>
      </x:c>
      <x:c r="P827" s="9" t="n">
        <x:f>IF(K827=0,"n.a.",L827/K827)</x:f>
        <x:v>0.5</x:v>
      </x:c>
      <x:c r="Q827" s="9" t="n">
        <x:f>IF(K827=0,"n.a.",M827/K827)</x:f>
        <x:v>0.7</x:v>
      </x:c>
      <x:c r="R827" s="9" t="n">
        <x:f>IF(K827=0,"n.a.",N827/K827)</x:f>
        <x:v>0.35</x:v>
      </x:c>
      <x:c r="S827" s="7" t="n">
        <x:v>-15</x:v>
      </x:c>
      <x:c r="T827" s="10" t="n">
        <x:v>0.32</x:v>
      </x:c>
      <x:c r="U827" s="7" t="n">
        <x:v>145</x:v>
      </x:c>
      <x:c r="V827" s="7" t="n">
        <x:v>346</x:v>
      </x:c>
    </x:row>
    <x:row r="828" ht="16" customHeight="1">
      <x:c r="A828" s="7" t="n">
        <x:v>825</x:v>
      </x:c>
      <x:c r="B828" s="8" t="n">
        <x:v>46176</x:v>
      </x:c>
      <x:c r="C828" s="7" t="str">
        <x:v>Split</x:v>
      </x:c>
      <x:c r="D828" s="7" t="str">
        <x:v>4th</x:v>
      </x:c>
      <x:c r="E828" s="7" t="str">
        <x:v>Neon</x:v>
      </x:c>
      <x:c r="F828" s="7" t="n">
        <x:v>13</x:v>
      </x:c>
      <x:c r="G828" s="7" t="n">
        <x:v>10</x:v>
      </x:c>
      <x:c r="H828" s="7" t="str">
        <x:f>IF(F828&gt;G828,"Win",IF(F828&lt;G828,"Loss","Draw"))</x:f>
        <x:v>Win</x:v>
      </x:c>
      <x:c r="I828" s="7" t="n">
        <x:f>IF(H828="Win",1,0)</x:f>
        <x:v>1</x:v>
      </x:c>
      <x:c r="J828" s="7" t="n">
        <x:f>F828-G828</x:f>
        <x:v>3</x:v>
      </x:c>
      <x:c r="K828" s="7" t="n">
        <x:f>F828+G828</x:f>
        <x:v>23</x:v>
      </x:c>
      <x:c r="L828" s="7" t="n">
        <x:v>18</x:v>
      </x:c>
      <x:c r="M828" s="7" t="n">
        <x:v>21</x:v>
      </x:c>
      <x:c r="N828" s="7" t="n">
        <x:v>5</x:v>
      </x:c>
      <x:c r="O828" s="9" t="n">
        <x:f>IF(M828=0,"n.a.",L828/M828)</x:f>
        <x:v>0.8571428571428571</x:v>
      </x:c>
      <x:c r="P828" s="9" t="n">
        <x:f>IF(K828=0,"n.a.",L828/K828)</x:f>
        <x:v>0.782608695652174</x:v>
      </x:c>
      <x:c r="Q828" s="9" t="n">
        <x:f>IF(K828=0,"n.a.",M828/K828)</x:f>
        <x:v>0.9130434782608695</x:v>
      </x:c>
      <x:c r="R828" s="9" t="n">
        <x:f>IF(K828=0,"n.a.",N828/K828)</x:f>
        <x:v>0.21739130434782608</x:v>
      </x:c>
      <x:c r="S828" s="7" t="n">
        <x:v>-13</x:v>
      </x:c>
      <x:c r="T828" s="10" t="n">
        <x:v>0.36</x:v>
      </x:c>
      <x:c r="U828" s="7" t="n">
        <x:v>234</x:v>
      </x:c>
      <x:c r="V828" s="7" t="n">
        <x:v>552</x:v>
      </x:c>
    </x:row>
    <x:row r="829" ht="16" customHeight="1">
      <x:c r="A829" s="7" t="n">
        <x:v>826</x:v>
      </x:c>
      <x:c r="B829" s="8" t="n">
        <x:v>46176</x:v>
      </x:c>
      <x:c r="C829" s="7" t="str">
        <x:v>Breeze</x:v>
      </x:c>
      <x:c r="D829" s="7" t="str">
        <x:v>3rd</x:v>
      </x:c>
      <x:c r="E829" s="7" t="str">
        <x:v>Neon</x:v>
      </x:c>
      <x:c r="F829" s="7" t="n">
        <x:v>13</x:v>
      </x:c>
      <x:c r="G829" s="7" t="n">
        <x:v>7</x:v>
      </x:c>
      <x:c r="H829" s="7" t="str">
        <x:f>IF(F829&gt;G829,"Win",IF(F829&lt;G829,"Loss","Draw"))</x:f>
        <x:v>Win</x:v>
      </x:c>
      <x:c r="I829" s="7" t="n">
        <x:f>IF(H829="Win",1,0)</x:f>
        <x:v>1</x:v>
      </x:c>
      <x:c r="J829" s="7" t="n">
        <x:f>F829-G829</x:f>
        <x:v>6</x:v>
      </x:c>
      <x:c r="K829" s="7" t="n">
        <x:f>F829+G829</x:f>
        <x:v>20</x:v>
      </x:c>
      <x:c r="L829" s="7" t="n">
        <x:v>21</x:v>
      </x:c>
      <x:c r="M829" s="7" t="n">
        <x:v>16</x:v>
      </x:c>
      <x:c r="N829" s="7" t="n">
        <x:v>1</x:v>
      </x:c>
      <x:c r="O829" s="9" t="n">
        <x:f>IF(M829=0,"n.a.",L829/M829)</x:f>
        <x:v>1.3125</x:v>
      </x:c>
      <x:c r="P829" s="9" t="n">
        <x:f>IF(K829=0,"n.a.",L829/K829)</x:f>
        <x:v>1.05</x:v>
      </x:c>
      <x:c r="Q829" s="9" t="n">
        <x:f>IF(K829=0,"n.a.",M829/K829)</x:f>
        <x:v>0.8</x:v>
      </x:c>
      <x:c r="R829" s="9" t="n">
        <x:f>IF(K829=0,"n.a.",N829/K829)</x:f>
        <x:v>0.05</x:v>
      </x:c>
      <x:c r="S829" s="7" t="n">
        <x:v>14</x:v>
      </x:c>
      <x:c r="T829" s="10" t="n">
        <x:v>0.36</x:v>
      </x:c>
      <x:c r="U829" s="7" t="n">
        <x:v>277</x:v>
      </x:c>
      <x:c r="V829" s="7" t="n">
        <x:v>710</x:v>
      </x:c>
    </x:row>
    <x:row r="830" ht="16" customHeight="1">
      <x:c r="A830" s="7" t="n">
        <x:v>827</x:v>
      </x:c>
      <x:c r="B830" s="8" t="n">
        <x:v>46177</x:v>
      </x:c>
      <x:c r="C830" s="7" t="str">
        <x:v>Ascent</x:v>
      </x:c>
      <x:c r="D830" s="7" t="str">
        <x:v>7th</x:v>
      </x:c>
      <x:c r="E830" s="7" t="str">
        <x:v>Neon</x:v>
      </x:c>
      <x:c r="F830" s="7" t="n">
        <x:v>13</x:v>
      </x:c>
      <x:c r="G830" s="7" t="n">
        <x:v>8</x:v>
      </x:c>
      <x:c r="H830" s="7" t="str">
        <x:f>IF(F830&gt;G830,"Win",IF(F830&lt;G830,"Loss","Draw"))</x:f>
        <x:v>Win</x:v>
      </x:c>
      <x:c r="I830" s="7" t="n">
        <x:f>IF(H830="Win",1,0)</x:f>
        <x:v>1</x:v>
      </x:c>
      <x:c r="J830" s="7" t="n">
        <x:f>F830-G830</x:f>
        <x:v>5</x:v>
      </x:c>
      <x:c r="K830" s="7" t="n">
        <x:f>F830+G830</x:f>
        <x:v>21</x:v>
      </x:c>
      <x:c r="L830" s="7" t="n">
        <x:v>15</x:v>
      </x:c>
      <x:c r="M830" s="7" t="n">
        <x:v>17</x:v>
      </x:c>
      <x:c r="N830" s="7" t="n">
        <x:v>6</x:v>
      </x:c>
      <x:c r="O830" s="9" t="n">
        <x:f>IF(M830=0,"n.a.",L830/M830)</x:f>
        <x:v>0.8823529411764706</x:v>
      </x:c>
      <x:c r="P830" s="9" t="n">
        <x:f>IF(K830=0,"n.a.",L830/K830)</x:f>
        <x:v>0.7142857142857143</x:v>
      </x:c>
      <x:c r="Q830" s="9" t="n">
        <x:f>IF(K830=0,"n.a.",M830/K830)</x:f>
        <x:v>0.8095238095238095</x:v>
      </x:c>
      <x:c r="R830" s="9" t="n">
        <x:f>IF(K830=0,"n.a.",N830/K830)</x:f>
        <x:v>0.2857142857142857</x:v>
      </x:c>
      <x:c r="S830" s="7" t="n">
        <x:v>26</x:v>
      </x:c>
      <x:c r="T830" s="10" t="n">
        <x:v>0.28</x:v>
      </x:c>
      <x:c r="U830" s="7" t="n">
        <x:v>228</x:v>
      </x:c>
      <x:c r="V830" s="7" t="n">
        <x:v>602</x:v>
      </x:c>
    </x:row>
    <x:row r="831" ht="16" customHeight="1">
      <x:c r="A831" s="7" t="n">
        <x:v>828</x:v>
      </x:c>
      <x:c r="B831" s="8" t="n">
        <x:v>46179</x:v>
      </x:c>
      <x:c r="C831" s="7" t="str">
        <x:v>Pearl</x:v>
      </x:c>
      <x:c r="D831" s="7" t="str">
        <x:v>6th</x:v>
      </x:c>
      <x:c r="E831" s="7" t="str">
        <x:v>Neon</x:v>
      </x:c>
      <x:c r="F831" s="7" t="n">
        <x:v>13</x:v>
      </x:c>
      <x:c r="G831" s="7" t="n">
        <x:v>9</x:v>
      </x:c>
      <x:c r="H831" s="7" t="str">
        <x:f>IF(F831&gt;G831,"Win",IF(F831&lt;G831,"Loss","Draw"))</x:f>
        <x:v>Win</x:v>
      </x:c>
      <x:c r="I831" s="7" t="n">
        <x:f>IF(H831="Win",1,0)</x:f>
        <x:v>1</x:v>
      </x:c>
      <x:c r="J831" s="7" t="n">
        <x:f>F831-G831</x:f>
        <x:v>4</x:v>
      </x:c>
      <x:c r="K831" s="7" t="n">
        <x:f>F831+G831</x:f>
        <x:v>22</x:v>
      </x:c>
      <x:c r="L831" s="7" t="n">
        <x:v>20</x:v>
      </x:c>
      <x:c r="M831" s="7" t="n">
        <x:v>20</x:v>
      </x:c>
      <x:c r="N831" s="7" t="n">
        <x:v>4</x:v>
      </x:c>
      <x:c r="O831" s="9" t="n">
        <x:f>IF(M831=0,"n.a.",L831/M831)</x:f>
        <x:v>1</x:v>
      </x:c>
      <x:c r="P831" s="9" t="n">
        <x:f>IF(K831=0,"n.a.",L831/K831)</x:f>
        <x:v>0.9090909090909091</x:v>
      </x:c>
      <x:c r="Q831" s="9" t="n">
        <x:f>IF(K831=0,"n.a.",M831/K831)</x:f>
        <x:v>0.9090909090909091</x:v>
      </x:c>
      <x:c r="R831" s="9" t="n">
        <x:f>IF(K831=0,"n.a.",N831/K831)</x:f>
        <x:v>0.18181818181818182</x:v>
      </x:c>
      <x:c r="S831" s="7" t="n">
        <x:v>-6</x:v>
      </x:c>
      <x:c r="T831" s="10" t="n">
        <x:v>0.34</x:v>
      </x:c>
      <x:c r="U831" s="7" t="n">
        <x:v>260</x:v>
      </x:c>
      <x:c r="V831" s="7" t="n">
        <x:v>605</x:v>
      </x:c>
    </x:row>
    <x:row r="832" ht="16" customHeight="1">
      <x:c r="A832" s="7" t="n">
        <x:v>829</x:v>
      </x:c>
      <x:c r="B832" s="8" t="n">
        <x:v>46179</x:v>
      </x:c>
      <x:c r="C832" s="7" t="str">
        <x:v>Pearl</x:v>
      </x:c>
      <x:c r="D832" s="7" t="str">
        <x:v>7th</x:v>
      </x:c>
      <x:c r="E832" s="7" t="str">
        <x:v>Neon</x:v>
      </x:c>
      <x:c r="F832" s="7" t="n">
        <x:v>13</x:v>
      </x:c>
      <x:c r="G832" s="7" t="n">
        <x:v>3</x:v>
      </x:c>
      <x:c r="H832" s="7" t="str">
        <x:f>IF(F832&gt;G832,"Win",IF(F832&lt;G832,"Loss","Draw"))</x:f>
        <x:v>Win</x:v>
      </x:c>
      <x:c r="I832" s="7" t="n">
        <x:f>IF(H832="Win",1,0)</x:f>
        <x:v>1</x:v>
      </x:c>
      <x:c r="J832" s="7" t="n">
        <x:f>F832-G832</x:f>
        <x:v>10</x:v>
      </x:c>
      <x:c r="K832" s="7" t="n">
        <x:f>F832+G832</x:f>
        <x:v>16</x:v>
      </x:c>
      <x:c r="L832" s="7" t="n">
        <x:v>10</x:v>
      </x:c>
      <x:c r="M832" s="7" t="n">
        <x:v>12</x:v>
      </x:c>
      <x:c r="N832" s="7" t="n">
        <x:v>3</x:v>
      </x:c>
      <x:c r="O832" s="9" t="n">
        <x:f>IF(M832=0,"n.a.",L832/M832)</x:f>
        <x:v>0.8333333333333334</x:v>
      </x:c>
      <x:c r="P832" s="9" t="n">
        <x:f>IF(K832=0,"n.a.",L832/K832)</x:f>
        <x:v>0.625</x:v>
      </x:c>
      <x:c r="Q832" s="9" t="n">
        <x:f>IF(K832=0,"n.a.",M832/K832)</x:f>
        <x:v>0.75</x:v>
      </x:c>
      <x:c r="R832" s="9" t="n">
        <x:f>IF(K832=0,"n.a.",N832/K832)</x:f>
        <x:v>0.1875</x:v>
      </x:c>
      <x:c r="S832" s="7" t="n">
        <x:v>-25</x:v>
      </x:c>
      <x:c r="T832" s="10" t="n">
        <x:v>0.33</x:v>
      </x:c>
      <x:c r="U832" s="7" t="n">
        <x:v>187</x:v>
      </x:c>
      <x:c r="V832" s="7" t="n">
        <x:v>550</x:v>
      </x:c>
    </x:row>
    <x:row r="833" ht="16" customHeight="1">
      <x:c r="A833" s="7" t="n">
        <x:v>830</x:v>
      </x:c>
      <x:c r="B833" s="8" t="n">
        <x:v>46179</x:v>
      </x:c>
      <x:c r="C833" s="7" t="str">
        <x:v>Fracture</x:v>
      </x:c>
      <x:c r="D833" s="7" t="str">
        <x:v>2nd</x:v>
      </x:c>
      <x:c r="E833" s="7" t="str">
        <x:v>Neon</x:v>
      </x:c>
      <x:c r="F833" s="7" t="n">
        <x:v>13</x:v>
      </x:c>
      <x:c r="G833" s="7" t="n">
        <x:v>10</x:v>
      </x:c>
      <x:c r="H833" s="7" t="str">
        <x:f>IF(F833&gt;G833,"Win",IF(F833&lt;G833,"Loss","Draw"))</x:f>
        <x:v>Win</x:v>
      </x:c>
      <x:c r="I833" s="7" t="n">
        <x:f>IF(H833="Win",1,0)</x:f>
        <x:v>1</x:v>
      </x:c>
      <x:c r="J833" s="7" t="n">
        <x:f>F833-G833</x:f>
        <x:v>3</x:v>
      </x:c>
      <x:c r="K833" s="7" t="n">
        <x:f>F833+G833</x:f>
        <x:v>23</x:v>
      </x:c>
      <x:c r="L833" s="7" t="n">
        <x:v>23</x:v>
      </x:c>
      <x:c r="M833" s="7" t="n">
        <x:v>16</x:v>
      </x:c>
      <x:c r="N833" s="7" t="n">
        <x:v>4</x:v>
      </x:c>
      <x:c r="O833" s="9" t="n">
        <x:f>IF(M833=0,"n.a.",L833/M833)</x:f>
        <x:v>1.4375</x:v>
      </x:c>
      <x:c r="P833" s="9" t="n">
        <x:f>IF(K833=0,"n.a.",L833/K833)</x:f>
        <x:v>1</x:v>
      </x:c>
      <x:c r="Q833" s="9" t="n">
        <x:f>IF(K833=0,"n.a.",M833/K833)</x:f>
        <x:v>0.6956521739130435</x:v>
      </x:c>
      <x:c r="R833" s="9" t="n">
        <x:f>IF(K833=0,"n.a.",N833/K833)</x:f>
        <x:v>0.17391304347826086</x:v>
      </x:c>
      <x:c r="S833" s="7" t="n">
        <x:v>27</x:v>
      </x:c>
      <x:c r="T833" s="10" t="n">
        <x:v>0.24</x:v>
      </x:c>
      <x:c r="U833" s="7" t="n">
        <x:v>269</x:v>
      </x:c>
      <x:c r="V833" s="7" t="n">
        <x:v>835</x:v>
      </x:c>
    </x:row>
    <x:row r="834" ht="16" customHeight="1">
      <x:c r="A834" s="7" t="n">
        <x:v>831</x:v>
      </x:c>
      <x:c r="B834" s="8" t="n">
        <x:v>46179</x:v>
      </x:c>
      <x:c r="C834" s="7" t="str">
        <x:v>Fracture</x:v>
      </x:c>
      <x:c r="D834" s="7" t="str">
        <x:v>7th</x:v>
      </x:c>
      <x:c r="E834" s="7" t="str">
        <x:v>Neon</x:v>
      </x:c>
      <x:c r="F834" s="7" t="n">
        <x:v>7</x:v>
      </x:c>
      <x:c r="G834" s="7" t="n">
        <x:v>13</x:v>
      </x:c>
      <x:c r="H834" s="7" t="str">
        <x:f>IF(F834&gt;G834,"Win",IF(F834&lt;G834,"Loss","Draw"))</x:f>
        <x:v>Loss</x:v>
      </x:c>
      <x:c r="I834" s="7" t="n">
        <x:f>IF(H834="Win",1,0)</x:f>
        <x:v>0</x:v>
      </x:c>
      <x:c r="J834" s="7" t="n">
        <x:f>F834-G834</x:f>
        <x:v>-6</x:v>
      </x:c>
      <x:c r="K834" s="7" t="n">
        <x:f>F834+G834</x:f>
        <x:v>20</x:v>
      </x:c>
      <x:c r="L834" s="7" t="n">
        <x:v>12</x:v>
      </x:c>
      <x:c r="M834" s="7" t="n">
        <x:v>19</x:v>
      </x:c>
      <x:c r="N834" s="7" t="n">
        <x:v>4</x:v>
      </x:c>
      <x:c r="O834" s="9" t="n">
        <x:f>IF(M834=0,"n.a.",L834/M834)</x:f>
        <x:v>0.631578947368421</x:v>
      </x:c>
      <x:c r="P834" s="9" t="n">
        <x:f>IF(K834=0,"n.a.",L834/K834)</x:f>
        <x:v>0.6</x:v>
      </x:c>
      <x:c r="Q834" s="9" t="n">
        <x:f>IF(K834=0,"n.a.",M834/K834)</x:f>
        <x:v>0.95</x:v>
      </x:c>
      <x:c r="R834" s="9" t="n">
        <x:f>IF(K834=0,"n.a.",N834/K834)</x:f>
        <x:v>0.2</x:v>
      </x:c>
      <x:c r="S834" s="7" t="n">
        <x:v>-50</x:v>
      </x:c>
      <x:c r="T834" s="10" t="n">
        <x:v>0.26</x:v>
      </x:c>
      <x:c r="U834" s="7" t="n">
        <x:v>188</x:v>
      </x:c>
      <x:c r="V834" s="7" t="n">
        <x:v>249</x:v>
      </x:c>
    </x:row>
    <x:row r="835" ht="16" customHeight="1">
      <x:c r="A835" s="7" t="n">
        <x:v>832</x:v>
      </x:c>
      <x:c r="B835" s="8" t="n">
        <x:v>46179</x:v>
      </x:c>
      <x:c r="C835" s="7" t="str">
        <x:v>Ascent</x:v>
      </x:c>
      <x:c r="D835" s="7" t="str">
        <x:v>5th</x:v>
      </x:c>
      <x:c r="E835" s="7" t="str">
        <x:v>Neon</x:v>
      </x:c>
      <x:c r="F835" s="7" t="n">
        <x:v>11</x:v>
      </x:c>
      <x:c r="G835" s="7" t="n">
        <x:v>13</x:v>
      </x:c>
      <x:c r="H835" s="7" t="str">
        <x:f>IF(F835&gt;G835,"Win",IF(F835&lt;G835,"Loss","Draw"))</x:f>
        <x:v>Loss</x:v>
      </x:c>
      <x:c r="I835" s="7" t="n">
        <x:f>IF(H835="Win",1,0)</x:f>
        <x:v>0</x:v>
      </x:c>
      <x:c r="J835" s="7" t="n">
        <x:f>F835-G835</x:f>
        <x:v>-2</x:v>
      </x:c>
      <x:c r="K835" s="7" t="n">
        <x:f>F835+G835</x:f>
        <x:v>24</x:v>
      </x:c>
      <x:c r="L835" s="7" t="n">
        <x:v>19</x:v>
      </x:c>
      <x:c r="M835" s="7" t="n">
        <x:v>20</x:v>
      </x:c>
      <x:c r="N835" s="7" t="n">
        <x:v>7</x:v>
      </x:c>
      <x:c r="O835" s="9" t="n">
        <x:f>IF(M835=0,"n.a.",L835/M835)</x:f>
        <x:v>0.95</x:v>
      </x:c>
      <x:c r="P835" s="9" t="n">
        <x:f>IF(K835=0,"n.a.",L835/K835)</x:f>
        <x:v>0.7916666666666666</x:v>
      </x:c>
      <x:c r="Q835" s="9" t="n">
        <x:f>IF(K835=0,"n.a.",M835/K835)</x:f>
        <x:v>0.8333333333333334</x:v>
      </x:c>
      <x:c r="R835" s="9" t="n">
        <x:f>IF(K835=0,"n.a.",N835/K835)</x:f>
        <x:v>0.2916666666666667</x:v>
      </x:c>
      <x:c r="S835" s="7" t="n">
        <x:v>-13</x:v>
      </x:c>
      <x:c r="T835" s="10" t="n">
        <x:v>0.23</x:v>
      </x:c>
      <x:c r="U835" s="7" t="n">
        <x:v>218</x:v>
      </x:c>
      <x:c r="V835" s="7" t="n">
        <x:v>640</x:v>
      </x:c>
    </x:row>
    <x:row r="836" ht="16" customHeight="1">
      <x:c r="A836" s="7" t="n">
        <x:v>833</x:v>
      </x:c>
      <x:c r="B836" s="8" t="n">
        <x:v>46179</x:v>
      </x:c>
      <x:c r="C836" s="7" t="str">
        <x:v>Haven</x:v>
      </x:c>
      <x:c r="D836" s="7" t="str">
        <x:v>5th</x:v>
      </x:c>
      <x:c r="E836" s="7" t="str">
        <x:v>Neon</x:v>
      </x:c>
      <x:c r="F836" s="7" t="n">
        <x:v>8</x:v>
      </x:c>
      <x:c r="G836" s="7" t="n">
        <x:v>13</x:v>
      </x:c>
      <x:c r="H836" s="7" t="str">
        <x:f>IF(F836&gt;G836,"Win",IF(F836&lt;G836,"Loss","Draw"))</x:f>
        <x:v>Loss</x:v>
      </x:c>
      <x:c r="I836" s="7" t="n">
        <x:f>IF(H836="Win",1,0)</x:f>
        <x:v>0</x:v>
      </x:c>
      <x:c r="J836" s="7" t="n">
        <x:f>F836-G836</x:f>
        <x:v>-5</x:v>
      </x:c>
      <x:c r="K836" s="7" t="n">
        <x:f>F836+G836</x:f>
        <x:v>21</x:v>
      </x:c>
      <x:c r="L836" s="7" t="n">
        <x:v>14</x:v>
      </x:c>
      <x:c r="M836" s="7" t="n">
        <x:v>20</x:v>
      </x:c>
      <x:c r="N836" s="7" t="n">
        <x:v>4</x:v>
      </x:c>
      <x:c r="O836" s="9" t="n">
        <x:f>IF(M836=0,"n.a.",L836/M836)</x:f>
        <x:v>0.7</x:v>
      </x:c>
      <x:c r="P836" s="9" t="n">
        <x:f>IF(K836=0,"n.a.",L836/K836)</x:f>
        <x:v>0.6666666666666666</x:v>
      </x:c>
      <x:c r="Q836" s="9" t="n">
        <x:f>IF(K836=0,"n.a.",M836/K836)</x:f>
        <x:v>0.9523809523809523</x:v>
      </x:c>
      <x:c r="R836" s="9" t="n">
        <x:f>IF(K836=0,"n.a.",N836/K836)</x:f>
        <x:v>0.19047619047619047</x:v>
      </x:c>
      <x:c r="S836" s="7" t="n">
        <x:v>-22</x:v>
      </x:c>
      <x:c r="T836" s="10" t="n">
        <x:v>0.25</x:v>
      </x:c>
      <x:c r="U836" s="7" t="n">
        <x:v>218</x:v>
      </x:c>
      <x:c r="V836" s="7" t="n">
        <x:v>476</x:v>
      </x:c>
    </x:row>
    <x:row r="837" ht="16" customHeight="1">
      <x:c r="A837" s="7" t="n">
        <x:v>834</x:v>
      </x:c>
      <x:c r="B837" s="8" t="n">
        <x:v>46179</x:v>
      </x:c>
      <x:c r="C837" s="7" t="str">
        <x:v>Fracture</x:v>
      </x:c>
      <x:c r="D837" s="7" t="str">
        <x:v>5th</x:v>
      </x:c>
      <x:c r="E837" s="7" t="str">
        <x:v>Neon</x:v>
      </x:c>
      <x:c r="F837" s="7" t="n">
        <x:v>13</x:v>
      </x:c>
      <x:c r="G837" s="7" t="n">
        <x:v>10</x:v>
      </x:c>
      <x:c r="H837" s="7" t="str">
        <x:f>IF(F837&gt;G837,"Win",IF(F837&lt;G837,"Loss","Draw"))</x:f>
        <x:v>Win</x:v>
      </x:c>
      <x:c r="I837" s="7" t="n">
        <x:f>IF(H837="Win",1,0)</x:f>
        <x:v>1</x:v>
      </x:c>
      <x:c r="J837" s="7" t="n">
        <x:f>F837-G837</x:f>
        <x:v>3</x:v>
      </x:c>
      <x:c r="K837" s="7" t="n">
        <x:f>F837+G837</x:f>
        <x:v>23</x:v>
      </x:c>
      <x:c r="L837" s="7" t="n">
        <x:v>17</x:v>
      </x:c>
      <x:c r="M837" s="7" t="n">
        <x:v>16</x:v>
      </x:c>
      <x:c r="N837" s="7" t="n">
        <x:v>5</x:v>
      </x:c>
      <x:c r="O837" s="9" t="n">
        <x:f>IF(M837=0,"n.a.",L837/M837)</x:f>
        <x:v>1.0625</x:v>
      </x:c>
      <x:c r="P837" s="9" t="n">
        <x:f>IF(K837=0,"n.a.",L837/K837)</x:f>
        <x:v>0.7391304347826086</x:v>
      </x:c>
      <x:c r="Q837" s="9" t="n">
        <x:f>IF(K837=0,"n.a.",M837/K837)</x:f>
        <x:v>0.6956521739130435</x:v>
      </x:c>
      <x:c r="R837" s="9" t="n">
        <x:f>IF(K837=0,"n.a.",N837/K837)</x:f>
        <x:v>0.21739130434782608</x:v>
      </x:c>
      <x:c r="S837" s="7" t="n">
        <x:v>15</x:v>
      </x:c>
      <x:c r="T837" s="10" t="n">
        <x:v>0.21</x:v>
      </x:c>
      <x:c r="U837" s="7" t="n">
        <x:v>216</x:v>
      </x:c>
      <x:c r="V837" s="7" t="n">
        <x:v>658</x:v>
      </x:c>
    </x:row>
    <x:row r="838" ht="16" customHeight="1">
      <x:c r="A838" s="7" t="n">
        <x:v>835</x:v>
      </x:c>
      <x:c r="B838" s="8" t="n">
        <x:v>46180</x:v>
      </x:c>
      <x:c r="C838" s="7" t="str">
        <x:v>Ascent</x:v>
      </x:c>
      <x:c r="D838" s="7" t="str">
        <x:v>2nd</x:v>
      </x:c>
      <x:c r="E838" s="7" t="str">
        <x:v>Reyna</x:v>
      </x:c>
      <x:c r="F838" s="7" t="n">
        <x:v>13</x:v>
      </x:c>
      <x:c r="G838" s="7" t="n">
        <x:v>7</x:v>
      </x:c>
      <x:c r="H838" s="7" t="str">
        <x:f>IF(F838&gt;G838,"Win",IF(F838&lt;G838,"Loss","Draw"))</x:f>
        <x:v>Win</x:v>
      </x:c>
      <x:c r="I838" s="7" t="n">
        <x:f>IF(H838="Win",1,0)</x:f>
        <x:v>1</x:v>
      </x:c>
      <x:c r="J838" s="7" t="n">
        <x:f>F838-G838</x:f>
        <x:v>6</x:v>
      </x:c>
      <x:c r="K838" s="7" t="n">
        <x:f>F838+G838</x:f>
        <x:v>20</x:v>
      </x:c>
      <x:c r="L838" s="7" t="n">
        <x:v>21</x:v>
      </x:c>
      <x:c r="M838" s="7" t="n">
        <x:v>10</x:v>
      </x:c>
      <x:c r="N838" s="7" t="n">
        <x:v>4</x:v>
      </x:c>
      <x:c r="O838" s="9" t="n">
        <x:f>IF(M838=0,"n.a.",L838/M838)</x:f>
        <x:v>2.1</x:v>
      </x:c>
      <x:c r="P838" s="9" t="n">
        <x:f>IF(K838=0,"n.a.",L838/K838)</x:f>
        <x:v>1.05</x:v>
      </x:c>
      <x:c r="Q838" s="9" t="n">
        <x:f>IF(K838=0,"n.a.",M838/K838)</x:f>
        <x:v>0.5</x:v>
      </x:c>
      <x:c r="R838" s="9" t="n">
        <x:f>IF(K838=0,"n.a.",N838/K838)</x:f>
        <x:v>0.2</x:v>
      </x:c>
      <x:c r="S838" s="7" t="n">
        <x:v>64</x:v>
      </x:c>
      <x:c r="T838" s="10" t="n">
        <x:v>0.28</x:v>
      </x:c>
      <x:c r="U838" s="7" t="n">
        <x:v>270</x:v>
      </x:c>
      <x:c r="V838" s="7" t="n">
        <x:v>931</x:v>
      </x:c>
    </x:row>
    <x:row r="839" ht="16" customHeight="1">
      <x:c r="A839" s="7" t="n">
        <x:v>836</x:v>
      </x:c>
      <x:c r="B839" s="8" t="n">
        <x:v>46180</x:v>
      </x:c>
      <x:c r="C839" s="7" t="str">
        <x:v>Split</x:v>
      </x:c>
      <x:c r="D839" s="7" t="str">
        <x:v>MVP</x:v>
      </x:c>
      <x:c r="E839" s="7" t="str">
        <x:v>Neon</x:v>
      </x:c>
      <x:c r="F839" s="7" t="n">
        <x:v>13</x:v>
      </x:c>
      <x:c r="G839" s="7" t="n">
        <x:v>10</x:v>
      </x:c>
      <x:c r="H839" s="7" t="str">
        <x:f>IF(F839&gt;G839,"Win",IF(F839&lt;G839,"Loss","Draw"))</x:f>
        <x:v>Win</x:v>
      </x:c>
      <x:c r="I839" s="7" t="n">
        <x:f>IF(H839="Win",1,0)</x:f>
        <x:v>1</x:v>
      </x:c>
      <x:c r="J839" s="7" t="n">
        <x:f>F839-G839</x:f>
        <x:v>3</x:v>
      </x:c>
      <x:c r="K839" s="7" t="n">
        <x:f>F839+G839</x:f>
        <x:v>23</x:v>
      </x:c>
      <x:c r="L839" s="7" t="n">
        <x:v>23</x:v>
      </x:c>
      <x:c r="M839" s="7" t="n">
        <x:v>16</x:v>
      </x:c>
      <x:c r="N839" s="7" t="n">
        <x:v>0</x:v>
      </x:c>
      <x:c r="O839" s="9" t="n">
        <x:f>IF(M839=0,"n.a.",L839/M839)</x:f>
        <x:v>1.4375</x:v>
      </x:c>
      <x:c r="P839" s="9" t="n">
        <x:f>IF(K839=0,"n.a.",L839/K839)</x:f>
        <x:v>1</x:v>
      </x:c>
      <x:c r="Q839" s="9" t="n">
        <x:f>IF(K839=0,"n.a.",M839/K839)</x:f>
        <x:v>0.6956521739130435</x:v>
      </x:c>
      <x:c r="R839" s="9" t="n">
        <x:f>IF(K839=0,"n.a.",N839/K839)</x:f>
        <x:v>0</x:v>
      </x:c>
      <x:c r="S839" s="7" t="n">
        <x:v>31</x:v>
      </x:c>
      <x:c r="T839" s="10" t="n">
        <x:v>0.41</x:v>
      </x:c>
      <x:c r="U839" s="7" t="n">
        <x:v>269</x:v>
      </x:c>
      <x:c r="V839" s="7" t="n">
        <x:v>799</x:v>
      </x:c>
    </x:row>
    <x:row r="840" ht="16" customHeight="1">
      <x:c r="A840" s="7" t="n">
        <x:v>837</x:v>
      </x:c>
      <x:c r="B840" s="8" t="n">
        <x:v>46180</x:v>
      </x:c>
      <x:c r="C840" s="7" t="str">
        <x:v>Split</x:v>
      </x:c>
      <x:c r="D840" s="7" t="str">
        <x:v>2nd</x:v>
      </x:c>
      <x:c r="E840" s="7" t="str">
        <x:v>Neon</x:v>
      </x:c>
      <x:c r="F840" s="7" t="n">
        <x:v>6</x:v>
      </x:c>
      <x:c r="G840" s="7" t="n">
        <x:v>13</x:v>
      </x:c>
      <x:c r="H840" s="7" t="str">
        <x:f>IF(F840&gt;G840,"Win",IF(F840&lt;G840,"Loss","Draw"))</x:f>
        <x:v>Loss</x:v>
      </x:c>
      <x:c r="I840" s="7" t="n">
        <x:f>IF(H840="Win",1,0)</x:f>
        <x:v>0</x:v>
      </x:c>
      <x:c r="J840" s="7" t="n">
        <x:f>F840-G840</x:f>
        <x:v>-7</x:v>
      </x:c>
      <x:c r="K840" s="7" t="n">
        <x:f>F840+G840</x:f>
        <x:v>19</x:v>
      </x:c>
      <x:c r="L840" s="7" t="n">
        <x:v>18</x:v>
      </x:c>
      <x:c r="M840" s="7" t="n">
        <x:v>15</x:v>
      </x:c>
      <x:c r="N840" s="7" t="n">
        <x:v>2</x:v>
      </x:c>
      <x:c r="O840" s="9" t="n">
        <x:f>IF(M840=0,"n.a.",L840/M840)</x:f>
        <x:v>1.2</x:v>
      </x:c>
      <x:c r="P840" s="9" t="n">
        <x:f>IF(K840=0,"n.a.",L840/K840)</x:f>
        <x:v>0.9473684210526315</x:v>
      </x:c>
      <x:c r="Q840" s="9" t="n">
        <x:f>IF(K840=0,"n.a.",M840/K840)</x:f>
        <x:v>0.7894736842105263</x:v>
      </x:c>
      <x:c r="R840" s="9" t="n">
        <x:f>IF(K840=0,"n.a.",N840/K840)</x:f>
        <x:v>0.10526315789473684</x:v>
      </x:c>
      <x:c r="S840" s="7" t="n">
        <x:v>7</x:v>
      </x:c>
      <x:c r="T840" s="10" t="n">
        <x:v>0.24</x:v>
      </x:c>
      <x:c r="U840" s="7" t="n">
        <x:v>258</x:v>
      </x:c>
      <x:c r="V840" s="7" t="n">
        <x:v>597</x:v>
      </x:c>
    </x:row>
    <x:row r="841" ht="16" customHeight="1">
      <x:c r="A841" s="7" t="n">
        <x:v>838</x:v>
      </x:c>
      <x:c r="B841" s="8" t="n">
        <x:v>46180</x:v>
      </x:c>
      <x:c r="C841" s="7" t="str">
        <x:v>Haven</x:v>
      </x:c>
      <x:c r="D841" s="7" t="str">
        <x:v>10th</x:v>
      </x:c>
      <x:c r="E841" s="7" t="str">
        <x:v>Neon</x:v>
      </x:c>
      <x:c r="F841" s="7" t="n">
        <x:v>9</x:v>
      </x:c>
      <x:c r="G841" s="7" t="n">
        <x:v>13</x:v>
      </x:c>
      <x:c r="H841" s="7" t="str">
        <x:f>IF(F841&gt;G841,"Win",IF(F841&lt;G841,"Loss","Draw"))</x:f>
        <x:v>Loss</x:v>
      </x:c>
      <x:c r="I841" s="7" t="n">
        <x:f>IF(H841="Win",1,0)</x:f>
        <x:v>0</x:v>
      </x:c>
      <x:c r="J841" s="7" t="n">
        <x:f>F841-G841</x:f>
        <x:v>-4</x:v>
      </x:c>
      <x:c r="K841" s="7" t="n">
        <x:f>F841+G841</x:f>
        <x:v>22</x:v>
      </x:c>
      <x:c r="L841" s="7" t="n">
        <x:v>12</x:v>
      </x:c>
      <x:c r="M841" s="7" t="n">
        <x:v>21</x:v>
      </x:c>
      <x:c r="N841" s="7" t="n">
        <x:v>1</x:v>
      </x:c>
      <x:c r="O841" s="9" t="n">
        <x:f>IF(M841=0,"n.a.",L841/M841)</x:f>
        <x:v>0.5714285714285714</x:v>
      </x:c>
      <x:c r="P841" s="9" t="n">
        <x:f>IF(K841=0,"n.a.",L841/K841)</x:f>
        <x:v>0.5454545454545454</x:v>
      </x:c>
      <x:c r="Q841" s="9" t="n">
        <x:f>IF(K841=0,"n.a.",M841/K841)</x:f>
        <x:v>0.9545454545454546</x:v>
      </x:c>
      <x:c r="R841" s="9" t="n">
        <x:f>IF(K841=0,"n.a.",N841/K841)</x:f>
        <x:v>0.045454545454545456</x:v>
      </x:c>
      <x:c r="S841" s="7" t="n">
        <x:v>-85</x:v>
      </x:c>
      <x:c r="T841" s="10" t="n">
        <x:v>0.32</x:v>
      </x:c>
      <x:c r="U841" s="7" t="n">
        <x:v>158</x:v>
      </x:c>
      <x:c r="V841" s="7" t="n">
        <x:v>207</x:v>
      </x:c>
    </x:row>
    <x:row r="842" ht="16" customHeight="1">
      <x:c r="A842" s="7" t="n">
        <x:v>839</x:v>
      </x:c>
      <x:c r="B842" s="8" t="n">
        <x:v>46181</x:v>
      </x:c>
      <x:c r="C842" s="7" t="str">
        <x:v>Fracture</x:v>
      </x:c>
      <x:c r="D842" s="7" t="str">
        <x:v>6th</x:v>
      </x:c>
      <x:c r="E842" s="7" t="str">
        <x:v>Neon</x:v>
      </x:c>
      <x:c r="F842" s="7" t="n">
        <x:v>9</x:v>
      </x:c>
      <x:c r="G842" s="7" t="n">
        <x:v>13</x:v>
      </x:c>
      <x:c r="H842" s="7" t="str">
        <x:f>IF(F842&gt;G842,"Win",IF(F842&lt;G842,"Loss","Draw"))</x:f>
        <x:v>Loss</x:v>
      </x:c>
      <x:c r="I842" s="7" t="n">
        <x:f>IF(H842="Win",1,0)</x:f>
        <x:v>0</x:v>
      </x:c>
      <x:c r="J842" s="7" t="n">
        <x:f>F842-G842</x:f>
        <x:v>-4</x:v>
      </x:c>
      <x:c r="K842" s="7" t="n">
        <x:f>F842+G842</x:f>
        <x:v>22</x:v>
      </x:c>
      <x:c r="L842" s="7" t="n">
        <x:v>15</x:v>
      </x:c>
      <x:c r="M842" s="7" t="n">
        <x:v>19</x:v>
      </x:c>
      <x:c r="N842" s="7" t="n">
        <x:v>2</x:v>
      </x:c>
      <x:c r="O842" s="9" t="n">
        <x:f>IF(M842=0,"n.a.",L842/M842)</x:f>
        <x:v>0.7894736842105263</x:v>
      </x:c>
      <x:c r="P842" s="9" t="n">
        <x:f>IF(K842=0,"n.a.",L842/K842)</x:f>
        <x:v>0.6818181818181818</x:v>
      </x:c>
      <x:c r="Q842" s="9" t="n">
        <x:f>IF(K842=0,"n.a.",M842/K842)</x:f>
        <x:v>0.8636363636363636</x:v>
      </x:c>
      <x:c r="R842" s="9" t="n">
        <x:f>IF(K842=0,"n.a.",N842/K842)</x:f>
        <x:v>0.09090909090909091</x:v>
      </x:c>
      <x:c r="S842" s="7" t="n">
        <x:v>-27</x:v>
      </x:c>
      <x:c r="T842" s="10" t="n">
        <x:v>0.44</x:v>
      </x:c>
      <x:c r="U842" s="7" t="n">
        <x:v>204</x:v>
      </x:c>
      <x:c r="V842" s="7" t="n">
        <x:v>361</x:v>
      </x:c>
    </x:row>
    <x:row r="843" ht="16" customHeight="1">
      <x:c r="A843" s="7" t="n">
        <x:v>840</x:v>
      </x:c>
      <x:c r="B843" s="8" t="n">
        <x:v>46181</x:v>
      </x:c>
      <x:c r="C843" s="7" t="str">
        <x:v>Pearl</x:v>
      </x:c>
      <x:c r="D843" s="7" t="str">
        <x:v>5th</x:v>
      </x:c>
      <x:c r="E843" s="7" t="str">
        <x:v>Neon</x:v>
      </x:c>
      <x:c r="F843" s="7" t="n">
        <x:v>8</x:v>
      </x:c>
      <x:c r="G843" s="7" t="n">
        <x:v>13</x:v>
      </x:c>
      <x:c r="H843" s="7" t="str">
        <x:f>IF(F843&gt;G843,"Win",IF(F843&lt;G843,"Loss","Draw"))</x:f>
        <x:v>Loss</x:v>
      </x:c>
      <x:c r="I843" s="7" t="n">
        <x:f>IF(H843="Win",1,0)</x:f>
        <x:v>0</x:v>
      </x:c>
      <x:c r="J843" s="7" t="n">
        <x:f>F843-G843</x:f>
        <x:v>-5</x:v>
      </x:c>
      <x:c r="K843" s="7" t="n">
        <x:f>F843+G843</x:f>
        <x:v>21</x:v>
      </x:c>
      <x:c r="L843" s="7" t="n">
        <x:v>15</x:v>
      </x:c>
      <x:c r="M843" s="7" t="n">
        <x:v>17</x:v>
      </x:c>
      <x:c r="N843" s="7" t="n">
        <x:v>3</x:v>
      </x:c>
      <x:c r="O843" s="9" t="n">
        <x:f>IF(M843=0,"n.a.",L843/M843)</x:f>
        <x:v>0.8823529411764706</x:v>
      </x:c>
      <x:c r="P843" s="9" t="n">
        <x:f>IF(K843=0,"n.a.",L843/K843)</x:f>
        <x:v>0.7142857142857143</x:v>
      </x:c>
      <x:c r="Q843" s="9" t="n">
        <x:f>IF(K843=0,"n.a.",M843/K843)</x:f>
        <x:v>0.8095238095238095</x:v>
      </x:c>
      <x:c r="R843" s="9" t="n">
        <x:f>IF(K843=0,"n.a.",N843/K843)</x:f>
        <x:v>0.14285714285714285</x:v>
      </x:c>
      <x:c r="S843" s="7" t="n">
        <x:v>-4</x:v>
      </x:c>
      <x:c r="T843" s="10" t="n">
        <x:v>0.29</x:v>
      </x:c>
      <x:c r="U843" s="7" t="n">
        <x:v>211</x:v>
      </x:c>
      <x:c r="V843" s="7" t="n">
        <x:v>396</x:v>
      </x:c>
    </x:row>
    <x:row r="844" ht="16" customHeight="1">
      <x:c r="A844" s="7" t="n">
        <x:v>841</x:v>
      </x:c>
      <x:c r="B844" s="8" t="n">
        <x:v>46181</x:v>
      </x:c>
      <x:c r="C844" s="7" t="str">
        <x:v>Haven</x:v>
      </x:c>
      <x:c r="D844" s="7" t="str">
        <x:v>8th</x:v>
      </x:c>
      <x:c r="E844" s="7" t="str">
        <x:v>Neon</x:v>
      </x:c>
      <x:c r="F844" s="7" t="n">
        <x:v>4</x:v>
      </x:c>
      <x:c r="G844" s="7" t="n">
        <x:v>13</x:v>
      </x:c>
      <x:c r="H844" s="7" t="str">
        <x:f>IF(F844&gt;G844,"Win",IF(F844&lt;G844,"Loss","Draw"))</x:f>
        <x:v>Loss</x:v>
      </x:c>
      <x:c r="I844" s="7" t="n">
        <x:f>IF(H844="Win",1,0)</x:f>
        <x:v>0</x:v>
      </x:c>
      <x:c r="J844" s="7" t="n">
        <x:f>F844-G844</x:f>
        <x:v>-9</x:v>
      </x:c>
      <x:c r="K844" s="7" t="n">
        <x:f>F844+G844</x:f>
        <x:v>17</x:v>
      </x:c>
      <x:c r="L844" s="7" t="n">
        <x:v>7</x:v>
      </x:c>
      <x:c r="M844" s="7" t="n">
        <x:v>15</x:v>
      </x:c>
      <x:c r="N844" s="7" t="n">
        <x:v>1</x:v>
      </x:c>
      <x:c r="O844" s="9" t="n">
        <x:f>IF(M844=0,"n.a.",L844/M844)</x:f>
        <x:v>0.4666666666666667</x:v>
      </x:c>
      <x:c r="P844" s="9" t="n">
        <x:f>IF(K844=0,"n.a.",L844/K844)</x:f>
        <x:v>0.4117647058823529</x:v>
      </x:c>
      <x:c r="Q844" s="9" t="n">
        <x:f>IF(K844=0,"n.a.",M844/K844)</x:f>
        <x:v>0.8823529411764706</x:v>
      </x:c>
      <x:c r="R844" s="9" t="n">
        <x:f>IF(K844=0,"n.a.",N844/K844)</x:f>
        <x:v>0.058823529411764705</x:v>
      </x:c>
      <x:c r="S844" s="7" t="n">
        <x:v>-68</x:v>
      </x:c>
      <x:c r="T844" s="10" t="n">
        <x:v>0.4</x:v>
      </x:c>
      <x:c r="U844" s="7" t="n">
        <x:v>126</x:v>
      </x:c>
      <x:c r="V844" s="7" t="n">
        <x:v>100</x:v>
      </x:c>
    </x:row>
    <x:row r="845" ht="16" customHeight="1">
      <x:c r="A845" s="7" t="n">
        <x:v>842</x:v>
      </x:c>
      <x:c r="B845" s="8" t="n">
        <x:v>46181</x:v>
      </x:c>
      <x:c r="C845" s="7" t="str">
        <x:v>Pearl</x:v>
      </x:c>
      <x:c r="D845" s="7" t="str">
        <x:v>5th</x:v>
      </x:c>
      <x:c r="E845" s="7" t="str">
        <x:v>Neon</x:v>
      </x:c>
      <x:c r="F845" s="7" t="n">
        <x:v>13</x:v>
      </x:c>
      <x:c r="G845" s="7" t="n">
        <x:v>1</x:v>
      </x:c>
      <x:c r="H845" s="7" t="str">
        <x:f>IF(F845&gt;G845,"Win",IF(F845&lt;G845,"Loss","Draw"))</x:f>
        <x:v>Win</x:v>
      </x:c>
      <x:c r="I845" s="7" t="n">
        <x:f>IF(H845="Win",1,0)</x:f>
        <x:v>1</x:v>
      </x:c>
      <x:c r="J845" s="7" t="n">
        <x:f>F845-G845</x:f>
        <x:v>12</x:v>
      </x:c>
      <x:c r="K845" s="7" t="n">
        <x:f>F845+G845</x:f>
        <x:v>14</x:v>
      </x:c>
      <x:c r="L845" s="7" t="n">
        <x:v>12</x:v>
      </x:c>
      <x:c r="M845" s="7" t="n">
        <x:v>10</x:v>
      </x:c>
      <x:c r="N845" s="7" t="n">
        <x:v>1</x:v>
      </x:c>
      <x:c r="O845" s="9" t="n">
        <x:f>IF(M845=0,"n.a.",L845/M845)</x:f>
        <x:v>1.2</x:v>
      </x:c>
      <x:c r="P845" s="9" t="n">
        <x:f>IF(K845=0,"n.a.",L845/K845)</x:f>
        <x:v>0.8571428571428571</x:v>
      </x:c>
      <x:c r="Q845" s="9" t="n">
        <x:f>IF(K845=0,"n.a.",M845/K845)</x:f>
        <x:v>0.7142857142857143</x:v>
      </x:c>
      <x:c r="R845" s="9" t="n">
        <x:f>IF(K845=0,"n.a.",N845/K845)</x:f>
        <x:v>0.07142857142857142</x:v>
      </x:c>
      <x:c r="S845" s="7" t="n">
        <x:v>1</x:v>
      </x:c>
      <x:c r="T845" s="10" t="n">
        <x:v>0.27</x:v>
      </x:c>
      <x:c r="U845" s="7" t="n">
        <x:v>199</x:v>
      </x:c>
      <x:c r="V845" s="7" t="n">
        <x:v>587</x:v>
      </x:c>
    </x:row>
    <x:row r="846" ht="16" customHeight="1">
      <x:c r="A846" s="7" t="n">
        <x:v>843</x:v>
      </x:c>
      <x:c r="B846" s="8" t="n">
        <x:v>46181</x:v>
      </x:c>
      <x:c r="C846" s="7" t="str">
        <x:v>Haven</x:v>
      </x:c>
      <x:c r="D846" s="7" t="str">
        <x:v>4th</x:v>
      </x:c>
      <x:c r="E846" s="7" t="str">
        <x:v>Neon</x:v>
      </x:c>
      <x:c r="F846" s="7" t="n">
        <x:v>14</x:v>
      </x:c>
      <x:c r="G846" s="7" t="n">
        <x:v>14</x:v>
      </x:c>
      <x:c r="H846" s="7" t="str">
        <x:f>IF(F846&gt;G846,"Win",IF(F846&lt;G846,"Loss","Draw"))</x:f>
        <x:v>Draw</x:v>
      </x:c>
      <x:c r="I846" s="7" t="n">
        <x:f>IF(H846="Win",1,0)</x:f>
        <x:v>0</x:v>
      </x:c>
      <x:c r="J846" s="7" t="n">
        <x:f>F846-G846</x:f>
        <x:v>0</x:v>
      </x:c>
      <x:c r="K846" s="7" t="n">
        <x:f>F846+G846</x:f>
        <x:v>28</x:v>
      </x:c>
      <x:c r="L846" s="7" t="n">
        <x:v>26</x:v>
      </x:c>
      <x:c r="M846" s="7" t="n">
        <x:v>21</x:v>
      </x:c>
      <x:c r="N846" s="7" t="n">
        <x:v>2</x:v>
      </x:c>
      <x:c r="O846" s="9" t="n">
        <x:f>IF(M846=0,"n.a.",L846/M846)</x:f>
        <x:v>1.2380952380952381</x:v>
      </x:c>
      <x:c r="P846" s="9" t="n">
        <x:f>IF(K846=0,"n.a.",L846/K846)</x:f>
        <x:v>0.9285714285714286</x:v>
      </x:c>
      <x:c r="Q846" s="9" t="n">
        <x:f>IF(K846=0,"n.a.",M846/K846)</x:f>
        <x:v>0.75</x:v>
      </x:c>
      <x:c r="R846" s="9" t="n">
        <x:f>IF(K846=0,"n.a.",N846/K846)</x:f>
        <x:v>0.07142857142857142</x:v>
      </x:c>
      <x:c r="S846" s="7" t="n">
        <x:v>9</x:v>
      </x:c>
      <x:c r="T846" s="10" t="n">
        <x:v>0.33</x:v>
      </x:c>
      <x:c r="U846" s="7" t="n">
        <x:v>237</x:v>
      </x:c>
      <x:c r="V846" s="7" t="n">
        <x:v>600</x:v>
      </x:c>
    </x:row>
    <x:row r="847" ht="16" customHeight="1">
      <x:c r="A847" s="7" t="n">
        <x:v>844</x:v>
      </x:c>
      <x:c r="B847" s="8" t="n">
        <x:v>46182</x:v>
      </x:c>
      <x:c r="C847" s="7" t="str">
        <x:v>Pearl</x:v>
      </x:c>
      <x:c r="D847" s="7" t="str">
        <x:v>5th</x:v>
      </x:c>
      <x:c r="E847" s="7" t="str">
        <x:v>Reyna</x:v>
      </x:c>
      <x:c r="F847" s="7" t="n">
        <x:v>13</x:v>
      </x:c>
      <x:c r="G847" s="7" t="n">
        <x:v>11</x:v>
      </x:c>
      <x:c r="H847" s="7" t="str">
        <x:f>IF(F847&gt;G847,"Win",IF(F847&lt;G847,"Loss","Draw"))</x:f>
        <x:v>Win</x:v>
      </x:c>
      <x:c r="I847" s="7" t="n">
        <x:f>IF(H847="Win",1,0)</x:f>
        <x:v>1</x:v>
      </x:c>
      <x:c r="J847" s="7" t="n">
        <x:f>F847-G847</x:f>
        <x:v>2</x:v>
      </x:c>
      <x:c r="K847" s="7" t="n">
        <x:f>F847+G847</x:f>
        <x:v>24</x:v>
      </x:c>
      <x:c r="L847" s="7" t="n">
        <x:v>20</x:v>
      </x:c>
      <x:c r="M847" s="7" t="n">
        <x:v>16</x:v>
      </x:c>
      <x:c r="N847" s="7" t="n">
        <x:v>3</x:v>
      </x:c>
      <x:c r="O847" s="9" t="n">
        <x:f>IF(M847=0,"n.a.",L847/M847)</x:f>
        <x:v>1.25</x:v>
      </x:c>
      <x:c r="P847" s="9" t="n">
        <x:f>IF(K847=0,"n.a.",L847/K847)</x:f>
        <x:v>0.8333333333333334</x:v>
      </x:c>
      <x:c r="Q847" s="9" t="n">
        <x:f>IF(K847=0,"n.a.",M847/K847)</x:f>
        <x:v>0.6666666666666666</x:v>
      </x:c>
      <x:c r="R847" s="9" t="n">
        <x:f>IF(K847=0,"n.a.",N847/K847)</x:f>
        <x:v>0.125</x:v>
      </x:c>
      <x:c r="S847" s="7" t="n">
        <x:v>16</x:v>
      </x:c>
      <x:c r="T847" s="10" t="n">
        <x:v>0.4</x:v>
      </x:c>
      <x:c r="U847" s="7" t="n">
        <x:v>220</x:v>
      </x:c>
      <x:c r="V847" s="7" t="n">
        <x:v>655</x:v>
      </x:c>
    </x:row>
    <x:row r="848" ht="16" customHeight="1">
      <x:c r="A848" s="7" t="n">
        <x:v>845</x:v>
      </x:c>
      <x:c r="B848" s="8" t="n">
        <x:v>46182</x:v>
      </x:c>
      <x:c r="C848" s="7" t="str">
        <x:v>Split</x:v>
      </x:c>
      <x:c r="D848" s="7" t="str">
        <x:v>3rd</x:v>
      </x:c>
      <x:c r="E848" s="7" t="str">
        <x:v>Neon</x:v>
      </x:c>
      <x:c r="F848" s="7" t="n">
        <x:v>13</x:v>
      </x:c>
      <x:c r="G848" s="7" t="n">
        <x:v>11</x:v>
      </x:c>
      <x:c r="H848" s="7" t="str">
        <x:f>IF(F848&gt;G848,"Win",IF(F848&lt;G848,"Loss","Draw"))</x:f>
        <x:v>Win</x:v>
      </x:c>
      <x:c r="I848" s="7" t="n">
        <x:f>IF(H848="Win",1,0)</x:f>
        <x:v>1</x:v>
      </x:c>
      <x:c r="J848" s="7" t="n">
        <x:f>F848-G848</x:f>
        <x:v>2</x:v>
      </x:c>
      <x:c r="K848" s="7" t="n">
        <x:f>F848+G848</x:f>
        <x:v>24</x:v>
      </x:c>
      <x:c r="L848" s="7" t="n">
        <x:v>22</x:v>
      </x:c>
      <x:c r="M848" s="7" t="n">
        <x:v>14</x:v>
      </x:c>
      <x:c r="N848" s="7" t="n">
        <x:v>3</x:v>
      </x:c>
      <x:c r="O848" s="9" t="n">
        <x:f>IF(M848=0,"n.a.",L848/M848)</x:f>
        <x:v>1.5714285714285714</x:v>
      </x:c>
      <x:c r="P848" s="9" t="n">
        <x:f>IF(K848=0,"n.a.",L848/K848)</x:f>
        <x:v>0.9166666666666666</x:v>
      </x:c>
      <x:c r="Q848" s="9" t="n">
        <x:f>IF(K848=0,"n.a.",M848/K848)</x:f>
        <x:v>0.5833333333333334</x:v>
      </x:c>
      <x:c r="R848" s="9" t="n">
        <x:f>IF(K848=0,"n.a.",N848/K848)</x:f>
        <x:v>0.125</x:v>
      </x:c>
      <x:c r="S848" s="7" t="n">
        <x:v>37</x:v>
      </x:c>
      <x:c r="T848" s="10" t="n">
        <x:v>0.3</x:v>
      </x:c>
      <x:c r="U848" s="7" t="n">
        <x:v>250</x:v>
      </x:c>
      <x:c r="V848" s="7" t="n">
        <x:v>779</x:v>
      </x:c>
    </x:row>
    <x:row r="849" ht="16" customHeight="1">
      <x:c r="A849" s="7" t="n">
        <x:v>846</x:v>
      </x:c>
      <x:c r="B849" s="8" t="n">
        <x:v>46183</x:v>
      </x:c>
      <x:c r="C849" s="7" t="str">
        <x:v>Ascent</x:v>
      </x:c>
      <x:c r="D849" s="7" t="str">
        <x:v>4th</x:v>
      </x:c>
      <x:c r="E849" s="7" t="str">
        <x:v>Reyna</x:v>
      </x:c>
      <x:c r="F849" s="7" t="n">
        <x:v>13</x:v>
      </x:c>
      <x:c r="G849" s="7" t="n">
        <x:v>15</x:v>
      </x:c>
      <x:c r="H849" s="7" t="str">
        <x:f>IF(F849&gt;G849,"Win",IF(F849&lt;G849,"Loss","Draw"))</x:f>
        <x:v>Loss</x:v>
      </x:c>
      <x:c r="I849" s="7" t="n">
        <x:f>IF(H849="Win",1,0)</x:f>
        <x:v>0</x:v>
      </x:c>
      <x:c r="J849" s="7" t="n">
        <x:f>F849-G849</x:f>
        <x:v>-2</x:v>
      </x:c>
      <x:c r="K849" s="7" t="n">
        <x:f>F849+G849</x:f>
        <x:v>28</x:v>
      </x:c>
      <x:c r="L849" s="7" t="n">
        <x:v>24</x:v>
      </x:c>
      <x:c r="M849" s="7" t="n">
        <x:v>24</x:v>
      </x:c>
      <x:c r="N849" s="7" t="n">
        <x:v>2</x:v>
      </x:c>
      <x:c r="O849" s="9" t="n">
        <x:f>IF(M849=0,"n.a.",L849/M849)</x:f>
        <x:v>1</x:v>
      </x:c>
      <x:c r="P849" s="9" t="n">
        <x:f>IF(K849=0,"n.a.",L849/K849)</x:f>
        <x:v>0.8571428571428571</x:v>
      </x:c>
      <x:c r="Q849" s="9" t="n">
        <x:f>IF(K849=0,"n.a.",M849/K849)</x:f>
        <x:v>0.8571428571428571</x:v>
      </x:c>
      <x:c r="R849" s="9" t="n">
        <x:f>IF(K849=0,"n.a.",N849/K849)</x:f>
        <x:v>0.07142857142857142</x:v>
      </x:c>
      <x:c r="S849" s="7" t="n">
        <x:v>-21</x:v>
      </x:c>
      <x:c r="T849" s="10" t="n">
        <x:v>0.24</x:v>
      </x:c>
      <x:c r="U849" s="7" t="n">
        <x:v>238</x:v>
      </x:c>
      <x:c r="V849" s="7" t="n">
        <x:v>441</x:v>
      </x:c>
    </x:row>
    <x:row r="850" ht="16" customHeight="1">
      <x:c r="A850" s="7" t="n">
        <x:v>847</x:v>
      </x:c>
      <x:c r="B850" s="8" t="n">
        <x:v>46183</x:v>
      </x:c>
      <x:c r="C850" s="7" t="str">
        <x:v>Fracture</x:v>
      </x:c>
      <x:c r="D850" s="7" t="str">
        <x:v>5th</x:v>
      </x:c>
      <x:c r="E850" s="7" t="str">
        <x:v>Reyna</x:v>
      </x:c>
      <x:c r="F850" s="7" t="n">
        <x:v>13</x:v>
      </x:c>
      <x:c r="G850" s="7" t="n">
        <x:v>4</x:v>
      </x:c>
      <x:c r="H850" s="7" t="str">
        <x:f>IF(F850&gt;G850,"Win",IF(F850&lt;G850,"Loss","Draw"))</x:f>
        <x:v>Win</x:v>
      </x:c>
      <x:c r="I850" s="7" t="n">
        <x:f>IF(H850="Win",1,0)</x:f>
        <x:v>1</x:v>
      </x:c>
      <x:c r="J850" s="7" t="n">
        <x:f>F850-G850</x:f>
        <x:v>9</x:v>
      </x:c>
      <x:c r="K850" s="7" t="n">
        <x:f>F850+G850</x:f>
        <x:v>17</x:v>
      </x:c>
      <x:c r="L850" s="7" t="n">
        <x:v>13</x:v>
      </x:c>
      <x:c r="M850" s="7" t="n">
        <x:v>12</x:v>
      </x:c>
      <x:c r="N850" s="7" t="n">
        <x:v>4</x:v>
      </x:c>
      <x:c r="O850" s="9" t="n">
        <x:f>IF(M850=0,"n.a.",L850/M850)</x:f>
        <x:v>1.0833333333333333</x:v>
      </x:c>
      <x:c r="P850" s="9" t="n">
        <x:f>IF(K850=0,"n.a.",L850/K850)</x:f>
        <x:v>0.7647058823529411</x:v>
      </x:c>
      <x:c r="Q850" s="9" t="n">
        <x:f>IF(K850=0,"n.a.",M850/K850)</x:f>
        <x:v>0.7058823529411765</x:v>
      </x:c>
      <x:c r="R850" s="9" t="n">
        <x:f>IF(K850=0,"n.a.",N850/K850)</x:f>
        <x:v>0.23529411764705882</x:v>
      </x:c>
      <x:c r="S850" s="7" t="n">
        <x:v>12</x:v>
      </x:c>
      <x:c r="T850" s="10" t="n">
        <x:v>0.19</x:v>
      </x:c>
      <x:c r="U850" s="7" t="n">
        <x:v>226</x:v>
      </x:c>
      <x:c r="V850" s="7" t="n">
        <x:v>655</x:v>
      </x:c>
    </x:row>
    <x:row r="851" ht="16" customHeight="1">
      <x:c r="A851" s="7" t="n">
        <x:v>848</x:v>
      </x:c>
      <x:c r="B851" s="8" t="n">
        <x:v>46183</x:v>
      </x:c>
      <x:c r="C851" s="7" t="str">
        <x:v>Breeze</x:v>
      </x:c>
      <x:c r="D851" s="7" t="str">
        <x:v>10th</x:v>
      </x:c>
      <x:c r="E851" s="7" t="str">
        <x:v>Reyna</x:v>
      </x:c>
      <x:c r="F851" s="7" t="n">
        <x:v>4</x:v>
      </x:c>
      <x:c r="G851" s="7" t="n">
        <x:v>13</x:v>
      </x:c>
      <x:c r="H851" s="7" t="str">
        <x:f>IF(F851&gt;G851,"Win",IF(F851&lt;G851,"Loss","Draw"))</x:f>
        <x:v>Loss</x:v>
      </x:c>
      <x:c r="I851" s="7" t="n">
        <x:f>IF(H851="Win",1,0)</x:f>
        <x:v>0</x:v>
      </x:c>
      <x:c r="J851" s="7" t="n">
        <x:f>F851-G851</x:f>
        <x:v>-9</x:v>
      </x:c>
      <x:c r="K851" s="7" t="n">
        <x:f>F851+G851</x:f>
        <x:v>17</x:v>
      </x:c>
      <x:c r="L851" s="7" t="n">
        <x:v>3</x:v>
      </x:c>
      <x:c r="M851" s="7" t="n">
        <x:v>14</x:v>
      </x:c>
      <x:c r="N851" s="7" t="n">
        <x:v>6</x:v>
      </x:c>
      <x:c r="O851" s="9" t="n">
        <x:f>IF(M851=0,"n.a.",L851/M851)</x:f>
        <x:v>0.21428571428571427</x:v>
      </x:c>
      <x:c r="P851" s="9" t="n">
        <x:f>IF(K851=0,"n.a.",L851/K851)</x:f>
        <x:v>0.17647058823529413</x:v>
      </x:c>
      <x:c r="Q851" s="9" t="n">
        <x:f>IF(K851=0,"n.a.",M851/K851)</x:f>
        <x:v>0.8235294117647058</x:v>
      </x:c>
      <x:c r="R851" s="9" t="n">
        <x:f>IF(K851=0,"n.a.",N851/K851)</x:f>
        <x:v>0.35294117647058826</x:v>
      </x:c>
      <x:c r="S851" s="7" t="n">
        <x:v>-111</x:v>
      </x:c>
      <x:c r="T851" s="10" t="n">
        <x:v>0.19</x:v>
      </x:c>
      <x:c r="U851" s="7" t="n">
        <x:v>72</x:v>
      </x:c>
      <x:c r="V851" s="7" t="n">
        <x:v>100</x:v>
      </x:c>
    </x:row>
    <x:row r="852" ht="16" customHeight="1">
      <x:c r="A852" s="7" t="n">
        <x:v>849</x:v>
      </x:c>
      <x:c r="B852" s="8" t="n">
        <x:v>46184</x:v>
      </x:c>
      <x:c r="C852" s="7" t="str">
        <x:v>Lotus</x:v>
      </x:c>
      <x:c r="D852" s="7" t="str">
        <x:v>4th</x:v>
      </x:c>
      <x:c r="E852" s="7" t="str">
        <x:v>Reyna</x:v>
      </x:c>
      <x:c r="F852" s="7" t="n">
        <x:v>13</x:v>
      </x:c>
      <x:c r="G852" s="7" t="n">
        <x:v>15</x:v>
      </x:c>
      <x:c r="H852" s="7" t="str">
        <x:f>IF(F852&gt;G852,"Win",IF(F852&lt;G852,"Loss","Draw"))</x:f>
        <x:v>Loss</x:v>
      </x:c>
      <x:c r="I852" s="7" t="n">
        <x:f>IF(H852="Win",1,0)</x:f>
        <x:v>0</x:v>
      </x:c>
      <x:c r="J852" s="7" t="n">
        <x:f>F852-G852</x:f>
        <x:v>-2</x:v>
      </x:c>
      <x:c r="K852" s="7" t="n">
        <x:f>F852+G852</x:f>
        <x:v>28</x:v>
      </x:c>
      <x:c r="L852" s="7" t="n">
        <x:v>24</x:v>
      </x:c>
      <x:c r="M852" s="7" t="n">
        <x:v>19</x:v>
      </x:c>
      <x:c r="N852" s="7" t="n">
        <x:v>4</x:v>
      </x:c>
      <x:c r="O852" s="9" t="n">
        <x:f>IF(M852=0,"n.a.",L852/M852)</x:f>
        <x:v>1.263157894736842</x:v>
      </x:c>
      <x:c r="P852" s="9" t="n">
        <x:f>IF(K852=0,"n.a.",L852/K852)</x:f>
        <x:v>0.8571428571428571</x:v>
      </x:c>
      <x:c r="Q852" s="9" t="n">
        <x:f>IF(K852=0,"n.a.",M852/K852)</x:f>
        <x:v>0.6785714285714286</x:v>
      </x:c>
      <x:c r="R852" s="9" t="n">
        <x:f>IF(K852=0,"n.a.",N852/K852)</x:f>
        <x:v>0.14285714285714285</x:v>
      </x:c>
      <x:c r="S852" s="7" t="n">
        <x:v>16</x:v>
      </x:c>
      <x:c r="T852" s="10" t="n">
        <x:v>0.31</x:v>
      </x:c>
      <x:c r="U852" s="7" t="n">
        <x:v>235</x:v>
      </x:c>
      <x:c r="V852" s="7" t="n">
        <x:v>540</x:v>
      </x:c>
    </x:row>
    <x:row r="853" ht="16" customHeight="1">
      <x:c r="A853" s="7" t="n">
        <x:v>850</x:v>
      </x:c>
      <x:c r="B853" s="8" t="n">
        <x:v>46184</x:v>
      </x:c>
      <x:c r="C853" s="7" t="str">
        <x:v>Breeze</x:v>
      </x:c>
      <x:c r="D853" s="7" t="str">
        <x:v>6th</x:v>
      </x:c>
      <x:c r="E853" s="7" t="str">
        <x:v>Neon</x:v>
      </x:c>
      <x:c r="F853" s="7" t="n">
        <x:v>9</x:v>
      </x:c>
      <x:c r="G853" s="7" t="n">
        <x:v>13</x:v>
      </x:c>
      <x:c r="H853" s="7" t="str">
        <x:f>IF(F853&gt;G853,"Win",IF(F853&lt;G853,"Loss","Draw"))</x:f>
        <x:v>Loss</x:v>
      </x:c>
      <x:c r="I853" s="7" t="n">
        <x:f>IF(H853="Win",1,0)</x:f>
        <x:v>0</x:v>
      </x:c>
      <x:c r="J853" s="7" t="n">
        <x:f>F853-G853</x:f>
        <x:v>-4</x:v>
      </x:c>
      <x:c r="K853" s="7" t="n">
        <x:f>F853+G853</x:f>
        <x:v>22</x:v>
      </x:c>
      <x:c r="L853" s="7" t="n">
        <x:v>18</x:v>
      </x:c>
      <x:c r="M853" s="7" t="n">
        <x:v>19</x:v>
      </x:c>
      <x:c r="N853" s="7" t="n">
        <x:v>2</x:v>
      </x:c>
      <x:c r="O853" s="9" t="n">
        <x:f>IF(M853=0,"n.a.",L853/M853)</x:f>
        <x:v>0.9473684210526315</x:v>
      </x:c>
      <x:c r="P853" s="9" t="n">
        <x:f>IF(K853=0,"n.a.",L853/K853)</x:f>
        <x:v>0.8181818181818182</x:v>
      </x:c>
      <x:c r="Q853" s="9" t="n">
        <x:f>IF(K853=0,"n.a.",M853/K853)</x:f>
        <x:v>0.8636363636363636</x:v>
      </x:c>
      <x:c r="R853" s="9" t="n">
        <x:f>IF(K853=0,"n.a.",N853/K853)</x:f>
        <x:v>0.09090909090909091</x:v>
      </x:c>
      <x:c r="S853" s="7" t="n">
        <x:v>4</x:v>
      </x:c>
      <x:c r="T853" s="10" t="n">
        <x:v>0.44</x:v>
      </x:c>
      <x:c r="U853" s="7" t="n">
        <x:v>230</x:v>
      </x:c>
      <x:c r="V853" s="7" t="n">
        <x:v>527</x:v>
      </x:c>
    </x:row>
    <x:row r="854" ht="16" customHeight="1">
      <x:c r="A854" s="7" t="n">
        <x:v>851</x:v>
      </x:c>
      <x:c r="B854" s="8" t="n">
        <x:v>46185</x:v>
      </x:c>
      <x:c r="C854" s="7" t="str">
        <x:v>Pearl</x:v>
      </x:c>
      <x:c r="D854" s="7" t="str">
        <x:v>4th</x:v>
      </x:c>
      <x:c r="E854" s="7" t="str">
        <x:v>Iso</x:v>
      </x:c>
      <x:c r="F854" s="7" t="n">
        <x:v>10</x:v>
      </x:c>
      <x:c r="G854" s="7" t="n">
        <x:v>13</x:v>
      </x:c>
      <x:c r="H854" s="7" t="str">
        <x:f>IF(F854&gt;G854,"Win",IF(F854&lt;G854,"Loss","Draw"))</x:f>
        <x:v>Loss</x:v>
      </x:c>
      <x:c r="I854" s="7" t="n">
        <x:f>IF(H854="Win",1,0)</x:f>
        <x:v>0</x:v>
      </x:c>
      <x:c r="J854" s="7" t="n">
        <x:f>F854-G854</x:f>
        <x:v>-3</x:v>
      </x:c>
      <x:c r="K854" s="7" t="n">
        <x:f>F854+G854</x:f>
        <x:v>23</x:v>
      </x:c>
      <x:c r="L854" s="7" t="n">
        <x:v>19</x:v>
      </x:c>
      <x:c r="M854" s="7" t="n">
        <x:v>17</x:v>
      </x:c>
      <x:c r="N854" s="7" t="n">
        <x:v>3</x:v>
      </x:c>
      <x:c r="O854" s="9" t="n">
        <x:f>IF(M854=0,"n.a.",L854/M854)</x:f>
        <x:v>1.1176470588235294</x:v>
      </x:c>
      <x:c r="P854" s="9" t="n">
        <x:f>IF(K854=0,"n.a.",L854/K854)</x:f>
        <x:v>0.8260869565217391</x:v>
      </x:c>
      <x:c r="Q854" s="9" t="n">
        <x:f>IF(K854=0,"n.a.",M854/K854)</x:f>
        <x:v>0.7391304347826086</x:v>
      </x:c>
      <x:c r="R854" s="9" t="n">
        <x:f>IF(K854=0,"n.a.",N854/K854)</x:f>
        <x:v>0.13043478260869565</x:v>
      </x:c>
      <x:c r="S854" s="7" t="n">
        <x:v>2</x:v>
      </x:c>
      <x:c r="T854" s="10" t="n">
        <x:v>0.41</x:v>
      </x:c>
      <x:c r="U854" s="7" t="n">
        <x:v>228</x:v>
      </x:c>
      <x:c r="V854" s="7" t="n">
        <x:v>507</x:v>
      </x:c>
    </x:row>
    <x:row r="855" ht="16" customHeight="1">
      <x:c r="A855" s="7" t="n">
        <x:v>852</x:v>
      </x:c>
      <x:c r="B855" s="8" t="n">
        <x:v>46185</x:v>
      </x:c>
      <x:c r="C855" s="7" t="str">
        <x:v>Breeze</x:v>
      </x:c>
      <x:c r="D855" s="7" t="str">
        <x:v>7th</x:v>
      </x:c>
      <x:c r="E855" s="7" t="str">
        <x:v>Gekko</x:v>
      </x:c>
      <x:c r="F855" s="7" t="n">
        <x:v>13</x:v>
      </x:c>
      <x:c r="G855" s="7" t="n">
        <x:v>7</x:v>
      </x:c>
      <x:c r="H855" s="7" t="str">
        <x:f>IF(F855&gt;G855,"Win",IF(F855&lt;G855,"Loss","Draw"))</x:f>
        <x:v>Win</x:v>
      </x:c>
      <x:c r="I855" s="7" t="n">
        <x:f>IF(H855="Win",1,0)</x:f>
        <x:v>1</x:v>
      </x:c>
      <x:c r="J855" s="7" t="n">
        <x:f>F855-G855</x:f>
        <x:v>6</x:v>
      </x:c>
      <x:c r="K855" s="7" t="n">
        <x:f>F855+G855</x:f>
        <x:v>20</x:v>
      </x:c>
      <x:c r="L855" s="7" t="n">
        <x:v>14</x:v>
      </x:c>
      <x:c r="M855" s="7" t="n">
        <x:v>15</x:v>
      </x:c>
      <x:c r="N855" s="7" t="n">
        <x:v>2</x:v>
      </x:c>
      <x:c r="O855" s="9" t="n">
        <x:f>IF(M855=0,"n.a.",L855/M855)</x:f>
        <x:v>0.9333333333333333</x:v>
      </x:c>
      <x:c r="P855" s="9" t="n">
        <x:f>IF(K855=0,"n.a.",L855/K855)</x:f>
        <x:v>0.7</x:v>
      </x:c>
      <x:c r="Q855" s="9" t="n">
        <x:f>IF(K855=0,"n.a.",M855/K855)</x:f>
        <x:v>0.75</x:v>
      </x:c>
      <x:c r="R855" s="9" t="n">
        <x:f>IF(K855=0,"n.a.",N855/K855)</x:f>
        <x:v>0.1</x:v>
      </x:c>
      <x:c r="S855" s="7" t="n">
        <x:v>-21</x:v>
      </x:c>
      <x:c r="T855" s="10" t="n">
        <x:v>0.19</x:v>
      </x:c>
      <x:c r="U855" s="7" t="n">
        <x:v>200</x:v>
      </x:c>
      <x:c r="V855" s="7" t="n">
        <x:v>633</x:v>
      </x:c>
    </x:row>
    <x:row r="856" ht="16" customHeight="1">
      <x:c r="A856" s="7" t="n">
        <x:v>853</x:v>
      </x:c>
      <x:c r="B856" s="8" t="n">
        <x:v>46185</x:v>
      </x:c>
      <x:c r="C856" s="7" t="str">
        <x:v>Ascent</x:v>
      </x:c>
      <x:c r="D856" s="7" t="str">
        <x:v>3rd</x:v>
      </x:c>
      <x:c r="E856" s="7" t="str">
        <x:v>Reyna</x:v>
      </x:c>
      <x:c r="F856" s="7" t="n">
        <x:v>9</x:v>
      </x:c>
      <x:c r="G856" s="7" t="n">
        <x:v>13</x:v>
      </x:c>
      <x:c r="H856" s="7" t="str">
        <x:f>IF(F856&gt;G856,"Win",IF(F856&lt;G856,"Loss","Draw"))</x:f>
        <x:v>Loss</x:v>
      </x:c>
      <x:c r="I856" s="7" t="n">
        <x:f>IF(H856="Win",1,0)</x:f>
        <x:v>0</x:v>
      </x:c>
      <x:c r="J856" s="7" t="n">
        <x:f>F856-G856</x:f>
        <x:v>-4</x:v>
      </x:c>
      <x:c r="K856" s="7" t="n">
        <x:f>F856+G856</x:f>
        <x:v>22</x:v>
      </x:c>
      <x:c r="L856" s="7" t="n">
        <x:v>23</x:v>
      </x:c>
      <x:c r="M856" s="7" t="n">
        <x:v>19</x:v>
      </x:c>
      <x:c r="N856" s="7" t="n">
        <x:v>2</x:v>
      </x:c>
      <x:c r="O856" s="9" t="n">
        <x:f>IF(M856=0,"n.a.",L856/M856)</x:f>
        <x:v>1.2105263157894737</x:v>
      </x:c>
      <x:c r="P856" s="9" t="n">
        <x:f>IF(K856=0,"n.a.",L856/K856)</x:f>
        <x:v>1.0454545454545454</x:v>
      </x:c>
      <x:c r="Q856" s="9" t="n">
        <x:f>IF(K856=0,"n.a.",M856/K856)</x:f>
        <x:v>0.8636363636363636</x:v>
      </x:c>
      <x:c r="R856" s="9" t="n">
        <x:f>IF(K856=0,"n.a.",N856/K856)</x:f>
        <x:v>0.09090909090909091</x:v>
      </x:c>
      <x:c r="S856" s="7" t="n">
        <x:v>11</x:v>
      </x:c>
      <x:c r="T856" s="10" t="n">
        <x:v>0.24</x:v>
      </x:c>
      <x:c r="U856" s="7" t="n">
        <x:v>289</x:v>
      </x:c>
      <x:c r="V856" s="7" t="n">
        <x:v>578</x:v>
      </x:c>
    </x:row>
    <x:row r="857" ht="16" customHeight="1">
      <x:c r="A857" s="7" t="n">
        <x:v>854</x:v>
      </x:c>
      <x:c r="B857" s="8" t="n">
        <x:v>46185</x:v>
      </x:c>
      <x:c r="C857" s="7" t="str">
        <x:v>Lotus</x:v>
      </x:c>
      <x:c r="D857" s="7" t="str">
        <x:v>7th</x:v>
      </x:c>
      <x:c r="E857" s="7" t="str">
        <x:v>Chamber</x:v>
      </x:c>
      <x:c r="F857" s="7" t="n">
        <x:v>3</x:v>
      </x:c>
      <x:c r="G857" s="7" t="n">
        <x:v>13</x:v>
      </x:c>
      <x:c r="H857" s="7" t="str">
        <x:f>IF(F857&gt;G857,"Win",IF(F857&lt;G857,"Loss","Draw"))</x:f>
        <x:v>Loss</x:v>
      </x:c>
      <x:c r="I857" s="7" t="n">
        <x:f>IF(H857="Win",1,0)</x:f>
        <x:v>0</x:v>
      </x:c>
      <x:c r="J857" s="7" t="n">
        <x:f>F857-G857</x:f>
        <x:v>-10</x:v>
      </x:c>
      <x:c r="K857" s="7" t="n">
        <x:f>F857+G857</x:f>
        <x:v>16</x:v>
      </x:c>
      <x:c r="L857" s="7" t="n">
        <x:v>10</x:v>
      </x:c>
      <x:c r="M857" s="7" t="n">
        <x:v>14</x:v>
      </x:c>
      <x:c r="N857" s="7" t="n">
        <x:v>0</x:v>
      </x:c>
      <x:c r="O857" s="9" t="n">
        <x:f>IF(M857=0,"n.a.",L857/M857)</x:f>
        <x:v>0.7142857142857143</x:v>
      </x:c>
      <x:c r="P857" s="9" t="n">
        <x:f>IF(K857=0,"n.a.",L857/K857)</x:f>
        <x:v>0.625</x:v>
      </x:c>
      <x:c r="Q857" s="9" t="n">
        <x:f>IF(K857=0,"n.a.",M857/K857)</x:f>
        <x:v>0.875</x:v>
      </x:c>
      <x:c r="R857" s="9" t="n">
        <x:f>IF(K857=0,"n.a.",N857/K857)</x:f>
        <x:v>0</x:v>
      </x:c>
      <x:c r="S857" s="7" t="n">
        <x:v>-27</x:v>
      </x:c>
      <x:c r="T857" s="10" t="n">
        <x:v>0.3</x:v>
      </x:c>
      <x:c r="U857" s="7" t="n">
        <x:v>167</x:v>
      </x:c>
      <x:c r="V857" s="7" t="n">
        <x:v>222</x:v>
      </x:c>
    </x:row>
    <x:row r="858" ht="16" customHeight="1">
      <x:c r="A858" s="7" t="n">
        <x:v>855</x:v>
      </x:c>
      <x:c r="B858" s="8" t="n">
        <x:v>46186</x:v>
      </x:c>
      <x:c r="C858" s="7" t="str">
        <x:v>Pearl</x:v>
      </x:c>
      <x:c r="D858" s="7" t="str">
        <x:v>3rd</x:v>
      </x:c>
      <x:c r="E858" s="7" t="str">
        <x:v>Neon</x:v>
      </x:c>
      <x:c r="F858" s="7" t="n">
        <x:v>13</x:v>
      </x:c>
      <x:c r="G858" s="7" t="n">
        <x:v>9</x:v>
      </x:c>
      <x:c r="H858" s="7" t="str">
        <x:f>IF(F858&gt;G858,"Win",IF(F858&lt;G858,"Loss","Draw"))</x:f>
        <x:v>Win</x:v>
      </x:c>
      <x:c r="I858" s="7" t="n">
        <x:f>IF(H858="Win",1,0)</x:f>
        <x:v>1</x:v>
      </x:c>
      <x:c r="J858" s="7" t="n">
        <x:f>F858-G858</x:f>
        <x:v>4</x:v>
      </x:c>
      <x:c r="K858" s="7" t="n">
        <x:f>F858+G858</x:f>
        <x:v>22</x:v>
      </x:c>
      <x:c r="L858" s="7" t="n">
        <x:v>21</x:v>
      </x:c>
      <x:c r="M858" s="7" t="n">
        <x:v>16</x:v>
      </x:c>
      <x:c r="N858" s="7" t="n">
        <x:v>2</x:v>
      </x:c>
      <x:c r="O858" s="9" t="n">
        <x:f>IF(M858=0,"n.a.",L858/M858)</x:f>
        <x:v>1.3125</x:v>
      </x:c>
      <x:c r="P858" s="9" t="n">
        <x:f>IF(K858=0,"n.a.",L858/K858)</x:f>
        <x:v>0.9545454545454546</x:v>
      </x:c>
      <x:c r="Q858" s="9" t="n">
        <x:f>IF(K858=0,"n.a.",M858/K858)</x:f>
        <x:v>0.7272727272727273</x:v>
      </x:c>
      <x:c r="R858" s="9" t="n">
        <x:f>IF(K858=0,"n.a.",N858/K858)</x:f>
        <x:v>0.09090909090909091</x:v>
      </x:c>
      <x:c r="S858" s="7" t="n">
        <x:v>17</x:v>
      </x:c>
      <x:c r="T858" s="10" t="n">
        <x:v>0.26</x:v>
      </x:c>
      <x:c r="U858" s="7" t="n">
        <x:v>262</x:v>
      </x:c>
      <x:c r="V858" s="7" t="n">
        <x:v>772</x:v>
      </x:c>
    </x:row>
    <x:row r="859" ht="16" customHeight="1">
      <x:c r="A859" s="7" t="n">
        <x:v>856</x:v>
      </x:c>
      <x:c r="B859" s="8" t="n">
        <x:v>46186</x:v>
      </x:c>
      <x:c r="C859" s="7" t="str">
        <x:v>Split</x:v>
      </x:c>
      <x:c r="D859" s="7" t="str">
        <x:v>5th</x:v>
      </x:c>
      <x:c r="E859" s="7" t="str">
        <x:v>Neon</x:v>
      </x:c>
      <x:c r="F859" s="7" t="n">
        <x:v>6</x:v>
      </x:c>
      <x:c r="G859" s="7" t="n">
        <x:v>13</x:v>
      </x:c>
      <x:c r="H859" s="7" t="str">
        <x:f>IF(F859&gt;G859,"Win",IF(F859&lt;G859,"Loss","Draw"))</x:f>
        <x:v>Loss</x:v>
      </x:c>
      <x:c r="I859" s="7" t="n">
        <x:f>IF(H859="Win",1,0)</x:f>
        <x:v>0</x:v>
      </x:c>
      <x:c r="J859" s="7" t="n">
        <x:f>F859-G859</x:f>
        <x:v>-7</x:v>
      </x:c>
      <x:c r="K859" s="7" t="n">
        <x:f>F859+G859</x:f>
        <x:v>19</x:v>
      </x:c>
      <x:c r="L859" s="7" t="n">
        <x:v>12</x:v>
      </x:c>
      <x:c r="M859" s="7" t="n">
        <x:v>17</x:v>
      </x:c>
      <x:c r="N859" s="7" t="n">
        <x:v>1</x:v>
      </x:c>
      <x:c r="O859" s="9" t="n">
        <x:f>IF(M859=0,"n.a.",L859/M859)</x:f>
        <x:v>0.7058823529411765</x:v>
      </x:c>
      <x:c r="P859" s="9" t="n">
        <x:f>IF(K859=0,"n.a.",L859/K859)</x:f>
        <x:v>0.631578947368421</x:v>
      </x:c>
      <x:c r="Q859" s="9" t="n">
        <x:f>IF(K859=0,"n.a.",M859/K859)</x:f>
        <x:v>0.8947368421052632</x:v>
      </x:c>
      <x:c r="R859" s="9" t="n">
        <x:f>IF(K859=0,"n.a.",N859/K859)</x:f>
        <x:v>0.05263157894736842</x:v>
      </x:c>
      <x:c r="S859" s="7" t="n">
        <x:v>-20</x:v>
      </x:c>
      <x:c r="T859" s="10" t="n">
        <x:v>0.2</x:v>
      </x:c>
      <x:c r="U859" s="7" t="n">
        <x:v>211</x:v>
      </x:c>
      <x:c r="V859" s="7" t="n">
        <x:v>326</x:v>
      </x:c>
    </x:row>
    <x:row r="860" ht="16" customHeight="1">
      <x:c r="A860" s="7" t="n">
        <x:v>857</x:v>
      </x:c>
      <x:c r="B860" s="8" t="n">
        <x:v>46186</x:v>
      </x:c>
      <x:c r="C860" s="7" t="str">
        <x:v>Split</x:v>
      </x:c>
      <x:c r="D860" s="7" t="str">
        <x:v>6th</x:v>
      </x:c>
      <x:c r="E860" s="7" t="str">
        <x:v>Neon</x:v>
      </x:c>
      <x:c r="F860" s="7" t="n">
        <x:v>13</x:v>
      </x:c>
      <x:c r="G860" s="7" t="n">
        <x:v>11</x:v>
      </x:c>
      <x:c r="H860" s="7" t="str">
        <x:f>IF(F860&gt;G860,"Win",IF(F860&lt;G860,"Loss","Draw"))</x:f>
        <x:v>Win</x:v>
      </x:c>
      <x:c r="I860" s="7" t="n">
        <x:f>IF(H860="Win",1,0)</x:f>
        <x:v>1</x:v>
      </x:c>
      <x:c r="J860" s="7" t="n">
        <x:f>F860-G860</x:f>
        <x:v>2</x:v>
      </x:c>
      <x:c r="K860" s="7" t="n">
        <x:f>F860+G860</x:f>
        <x:v>24</x:v>
      </x:c>
      <x:c r="L860" s="7" t="n">
        <x:v>19</x:v>
      </x:c>
      <x:c r="M860" s="7" t="n">
        <x:v>20</x:v>
      </x:c>
      <x:c r="N860" s="7" t="n">
        <x:v>7</x:v>
      </x:c>
      <x:c r="O860" s="9" t="n">
        <x:f>IF(M860=0,"n.a.",L860/M860)</x:f>
        <x:v>0.95</x:v>
      </x:c>
      <x:c r="P860" s="9" t="n">
        <x:f>IF(K860=0,"n.a.",L860/K860)</x:f>
        <x:v>0.7916666666666666</x:v>
      </x:c>
      <x:c r="Q860" s="9" t="n">
        <x:f>IF(K860=0,"n.a.",M860/K860)</x:f>
        <x:v>0.8333333333333334</x:v>
      </x:c>
      <x:c r="R860" s="9" t="n">
        <x:f>IF(K860=0,"n.a.",N860/K860)</x:f>
        <x:v>0.2916666666666667</x:v>
      </x:c>
      <x:c r="S860" s="7" t="n">
        <x:v>-19</x:v>
      </x:c>
      <x:c r="T860" s="10" t="n">
        <x:v>0.26</x:v>
      </x:c>
      <x:c r="U860" s="7" t="n">
        <x:v>220</x:v>
      </x:c>
      <x:c r="V860" s="7" t="n">
        <x:v>593</x:v>
      </x:c>
    </x:row>
    <x:row r="861" ht="16" customHeight="1">
      <x:c r="A861" s="7" t="n">
        <x:v>858</x:v>
      </x:c>
      <x:c r="B861" s="8" t="n">
        <x:v>46186</x:v>
      </x:c>
      <x:c r="C861" s="7" t="str">
        <x:v>Fracture</x:v>
      </x:c>
      <x:c r="D861" s="7" t="str">
        <x:v>8th</x:v>
      </x:c>
      <x:c r="E861" s="7" t="str">
        <x:v>Neon</x:v>
      </x:c>
      <x:c r="F861" s="7" t="n">
        <x:v>13</x:v>
      </x:c>
      <x:c r="G861" s="7" t="n">
        <x:v>7</x:v>
      </x:c>
      <x:c r="H861" s="7" t="str">
        <x:f>IF(F861&gt;G861,"Win",IF(F861&lt;G861,"Loss","Draw"))</x:f>
        <x:v>Win</x:v>
      </x:c>
      <x:c r="I861" s="7" t="n">
        <x:f>IF(H861="Win",1,0)</x:f>
        <x:v>1</x:v>
      </x:c>
      <x:c r="J861" s="7" t="n">
        <x:f>F861-G861</x:f>
        <x:v>6</x:v>
      </x:c>
      <x:c r="K861" s="7" t="n">
        <x:f>F861+G861</x:f>
        <x:v>20</x:v>
      </x:c>
      <x:c r="L861" s="7" t="n">
        <x:v>14</x:v>
      </x:c>
      <x:c r="M861" s="7" t="n">
        <x:v>15</x:v>
      </x:c>
      <x:c r="N861" s="7" t="n">
        <x:v>1</x:v>
      </x:c>
      <x:c r="O861" s="9" t="n">
        <x:f>IF(M861=0,"n.a.",L861/M861)</x:f>
        <x:v>0.9333333333333333</x:v>
      </x:c>
      <x:c r="P861" s="9" t="n">
        <x:f>IF(K861=0,"n.a.",L861/K861)</x:f>
        <x:v>0.7</x:v>
      </x:c>
      <x:c r="Q861" s="9" t="n">
        <x:f>IF(K861=0,"n.a.",M861/K861)</x:f>
        <x:v>0.75</x:v>
      </x:c>
      <x:c r="R861" s="9" t="n">
        <x:f>IF(K861=0,"n.a.",N861/K861)</x:f>
        <x:v>0.05</x:v>
      </x:c>
      <x:c r="S861" s="7" t="n">
        <x:v>-39</x:v>
      </x:c>
      <x:c r="T861" s="10" t="n">
        <x:v>0.48</x:v>
      </x:c>
      <x:c r="U861" s="7" t="n">
        <x:v>173</x:v>
      </x:c>
      <x:c r="V861" s="7" t="n">
        <x:v>349</x:v>
      </x:c>
    </x:row>
    <x:row r="862" ht="16" customHeight="1">
      <x:c r="A862" s="7" t="n">
        <x:v>859</x:v>
      </x:c>
      <x:c r="B862" s="8" t="n">
        <x:v>46186</x:v>
      </x:c>
      <x:c r="C862" s="7" t="str">
        <x:v>Breeze</x:v>
      </x:c>
      <x:c r="D862" s="7" t="str">
        <x:v>4th</x:v>
      </x:c>
      <x:c r="E862" s="7" t="str">
        <x:v>Astra</x:v>
      </x:c>
      <x:c r="F862" s="7" t="n">
        <x:v>13</x:v>
      </x:c>
      <x:c r="G862" s="7" t="n">
        <x:v>11</x:v>
      </x:c>
      <x:c r="H862" s="7" t="str">
        <x:f>IF(F862&gt;G862,"Win",IF(F862&lt;G862,"Loss","Draw"))</x:f>
        <x:v>Win</x:v>
      </x:c>
      <x:c r="I862" s="7" t="n">
        <x:f>IF(H862="Win",1,0)</x:f>
        <x:v>1</x:v>
      </x:c>
      <x:c r="J862" s="7" t="n">
        <x:f>F862-G862</x:f>
        <x:v>2</x:v>
      </x:c>
      <x:c r="K862" s="7" t="n">
        <x:f>F862+G862</x:f>
        <x:v>24</x:v>
      </x:c>
      <x:c r="L862" s="7" t="n">
        <x:v>21</x:v>
      </x:c>
      <x:c r="M862" s="7" t="n">
        <x:v>19</x:v>
      </x:c>
      <x:c r="N862" s="7" t="n">
        <x:v>4</x:v>
      </x:c>
      <x:c r="O862" s="9" t="n">
        <x:f>IF(M862=0,"n.a.",L862/M862)</x:f>
        <x:v>1.105263157894737</x:v>
      </x:c>
      <x:c r="P862" s="9" t="n">
        <x:f>IF(K862=0,"n.a.",L862/K862)</x:f>
        <x:v>0.875</x:v>
      </x:c>
      <x:c r="Q862" s="9" t="n">
        <x:f>IF(K862=0,"n.a.",M862/K862)</x:f>
        <x:v>0.7916666666666666</x:v>
      </x:c>
      <x:c r="R862" s="9" t="n">
        <x:f>IF(K862=0,"n.a.",N862/K862)</x:f>
        <x:v>0.16666666666666666</x:v>
      </x:c>
      <x:c r="S862" s="7" t="n">
        <x:v>-7</x:v>
      </x:c>
      <x:c r="T862" s="10" t="n">
        <x:v>0.37</x:v>
      </x:c>
      <x:c r="U862" s="7" t="n">
        <x:v>216</x:v>
      </x:c>
      <x:c r="V862" s="7" t="n">
        <x:v>570</x:v>
      </x:c>
    </x:row>
    <x:row r="863" ht="16" customHeight="1">
      <x:c r="A863" s="7" t="n">
        <x:v>860</x:v>
      </x:c>
      <x:c r="B863" s="8" t="n">
        <x:v>46186</x:v>
      </x:c>
      <x:c r="C863" s="7" t="str">
        <x:v>Fracture</x:v>
      </x:c>
      <x:c r="D863" s="7" t="str">
        <x:v>8th</x:v>
      </x:c>
      <x:c r="E863" s="7" t="str">
        <x:v>Neon</x:v>
      </x:c>
      <x:c r="F863" s="7" t="n">
        <x:v>10</x:v>
      </x:c>
      <x:c r="G863" s="7" t="n">
        <x:v>13</x:v>
      </x:c>
      <x:c r="H863" s="7" t="str">
        <x:f>IF(F863&gt;G863,"Win",IF(F863&lt;G863,"Loss","Draw"))</x:f>
        <x:v>Loss</x:v>
      </x:c>
      <x:c r="I863" s="7" t="n">
        <x:f>IF(H863="Win",1,0)</x:f>
        <x:v>0</x:v>
      </x:c>
      <x:c r="J863" s="7" t="n">
        <x:f>F863-G863</x:f>
        <x:v>-3</x:v>
      </x:c>
      <x:c r="K863" s="7" t="n">
        <x:f>F863+G863</x:f>
        <x:v>23</x:v>
      </x:c>
      <x:c r="L863" s="7" t="n">
        <x:v>13</x:v>
      </x:c>
      <x:c r="M863" s="7" t="n">
        <x:v>20</x:v>
      </x:c>
      <x:c r="N863" s="7" t="n">
        <x:v>5</x:v>
      </x:c>
      <x:c r="O863" s="9" t="n">
        <x:f>IF(M863=0,"n.a.",L863/M863)</x:f>
        <x:v>0.65</x:v>
      </x:c>
      <x:c r="P863" s="9" t="n">
        <x:f>IF(K863=0,"n.a.",L863/K863)</x:f>
        <x:v>0.5652173913043478</x:v>
      </x:c>
      <x:c r="Q863" s="9" t="n">
        <x:f>IF(K863=0,"n.a.",M863/K863)</x:f>
        <x:v>0.8695652173913043</x:v>
      </x:c>
      <x:c r="R863" s="9" t="n">
        <x:f>IF(K863=0,"n.a.",N863/K863)</x:f>
        <x:v>0.21739130434782608</x:v>
      </x:c>
      <x:c r="S863" s="7" t="n">
        <x:v>-59</x:v>
      </x:c>
      <x:c r="T863" s="10" t="n">
        <x:v>0.21</x:v>
      </x:c>
      <x:c r="U863" s="7" t="n">
        <x:v>175</x:v>
      </x:c>
      <x:c r="V863" s="7" t="n">
        <x:v>257</x:v>
      </x:c>
    </x:row>
    <x:row r="864" ht="16" customHeight="1">
      <x:c r="A864" s="7" t="n">
        <x:v>861</x:v>
      </x:c>
      <x:c r="B864" s="8" t="n">
        <x:v>46186</x:v>
      </x:c>
      <x:c r="C864" s="7" t="str">
        <x:v>Lotus</x:v>
      </x:c>
      <x:c r="D864" s="7" t="str">
        <x:v>2nd</x:v>
      </x:c>
      <x:c r="E864" s="7" t="str">
        <x:v>Neon</x:v>
      </x:c>
      <x:c r="F864" s="7" t="n">
        <x:v>13</x:v>
      </x:c>
      <x:c r="G864" s="7" t="n">
        <x:v>4</x:v>
      </x:c>
      <x:c r="H864" s="7" t="str">
        <x:f>IF(F864&gt;G864,"Win",IF(F864&lt;G864,"Loss","Draw"))</x:f>
        <x:v>Win</x:v>
      </x:c>
      <x:c r="I864" s="7" t="n">
        <x:f>IF(H864="Win",1,0)</x:f>
        <x:v>1</x:v>
      </x:c>
      <x:c r="J864" s="7" t="n">
        <x:f>F864-G864</x:f>
        <x:v>9</x:v>
      </x:c>
      <x:c r="K864" s="7" t="n">
        <x:f>F864+G864</x:f>
        <x:v>17</x:v>
      </x:c>
      <x:c r="L864" s="7" t="n">
        <x:v>17</x:v>
      </x:c>
      <x:c r="M864" s="7" t="n">
        <x:v>12</x:v>
      </x:c>
      <x:c r="N864" s="7" t="n">
        <x:v>1</x:v>
      </x:c>
      <x:c r="O864" s="9" t="n">
        <x:f>IF(M864=0,"n.a.",L864/M864)</x:f>
        <x:v>1.4166666666666667</x:v>
      </x:c>
      <x:c r="P864" s="9" t="n">
        <x:f>IF(K864=0,"n.a.",L864/K864)</x:f>
        <x:v>1</x:v>
      </x:c>
      <x:c r="Q864" s="9" t="n">
        <x:f>IF(K864=0,"n.a.",M864/K864)</x:f>
        <x:v>0.7058823529411765</x:v>
      </x:c>
      <x:c r="R864" s="9" t="n">
        <x:f>IF(K864=0,"n.a.",N864/K864)</x:f>
        <x:v>0.058823529411764705</x:v>
      </x:c>
      <x:c r="S864" s="7" t="n">
        <x:v>45</x:v>
      </x:c>
      <x:c r="T864" s="10" t="n">
        <x:v>0.39</x:v>
      </x:c>
      <x:c r="U864" s="7" t="n">
        <x:v>258</x:v>
      </x:c>
      <x:c r="V864" s="7" t="n">
        <x:v>854</x:v>
      </x:c>
    </x:row>
    <x:row r="865" ht="16" customHeight="1">
      <x:c r="A865" s="7" t="n">
        <x:v>862</x:v>
      </x:c>
      <x:c r="B865" s="8" t="n">
        <x:v>46186</x:v>
      </x:c>
      <x:c r="C865" s="7" t="str">
        <x:v>Split</x:v>
      </x:c>
      <x:c r="D865" s="7" t="str">
        <x:v>9th</x:v>
      </x:c>
      <x:c r="E865" s="7" t="str">
        <x:v>Chamber</x:v>
      </x:c>
      <x:c r="F865" s="7" t="n">
        <x:v>7</x:v>
      </x:c>
      <x:c r="G865" s="7" t="n">
        <x:v>13</x:v>
      </x:c>
      <x:c r="H865" s="7" t="str">
        <x:f>IF(F865&gt;G865,"Win",IF(F865&lt;G865,"Loss","Draw"))</x:f>
        <x:v>Loss</x:v>
      </x:c>
      <x:c r="I865" s="7" t="n">
        <x:f>IF(H865="Win",1,0)</x:f>
        <x:v>0</x:v>
      </x:c>
      <x:c r="J865" s="7" t="n">
        <x:f>F865-G865</x:f>
        <x:v>-6</x:v>
      </x:c>
      <x:c r="K865" s="7" t="n">
        <x:f>F865+G865</x:f>
        <x:v>20</x:v>
      </x:c>
      <x:c r="L865" s="7" t="n">
        <x:v>11</x:v>
      </x:c>
      <x:c r="M865" s="7" t="n">
        <x:v>17</x:v>
      </x:c>
      <x:c r="N865" s="7" t="n">
        <x:v>1</x:v>
      </x:c>
      <x:c r="O865" s="9" t="n">
        <x:f>IF(M865=0,"n.a.",L865/M865)</x:f>
        <x:v>0.6470588235294118</x:v>
      </x:c>
      <x:c r="P865" s="9" t="n">
        <x:f>IF(K865=0,"n.a.",L865/K865)</x:f>
        <x:v>0.55</x:v>
      </x:c>
      <x:c r="Q865" s="9" t="n">
        <x:f>IF(K865=0,"n.a.",M865/K865)</x:f>
        <x:v>0.85</x:v>
      </x:c>
      <x:c r="R865" s="9" t="n">
        <x:f>IF(K865=0,"n.a.",N865/K865)</x:f>
        <x:v>0.05</x:v>
      </x:c>
      <x:c r="S865" s="7" t="n">
        <x:v>-64</x:v>
      </x:c>
      <x:c r="T865" s="10" t="n">
        <x:v>0.31</x:v>
      </x:c>
      <x:c r="U865" s="7" t="n">
        <x:v>155</x:v>
      </x:c>
      <x:c r="V865" s="7" t="n">
        <x:v>159</x:v>
      </x:c>
    </x:row>
    <x:row r="866" ht="16" customHeight="1">
      <x:c r="A866" s="7" t="n">
        <x:v>863</x:v>
      </x:c>
      <x:c r="B866" s="8" t="n">
        <x:v>46187</x:v>
      </x:c>
      <x:c r="C866" s="7" t="str">
        <x:v>Pearl</x:v>
      </x:c>
      <x:c r="D866" s="7" t="str">
        <x:v>7th</x:v>
      </x:c>
      <x:c r="E866" s="7" t="str">
        <x:v>Neon</x:v>
      </x:c>
      <x:c r="F866" s="7" t="n">
        <x:v>10</x:v>
      </x:c>
      <x:c r="G866" s="7" t="n">
        <x:v>13</x:v>
      </x:c>
      <x:c r="H866" s="7" t="str">
        <x:f>IF(F866&gt;G866,"Win",IF(F866&lt;G866,"Loss","Draw"))</x:f>
        <x:v>Loss</x:v>
      </x:c>
      <x:c r="I866" s="7" t="n">
        <x:f>IF(H866="Win",1,0)</x:f>
        <x:v>0</x:v>
      </x:c>
      <x:c r="J866" s="7" t="n">
        <x:f>F866-G866</x:f>
        <x:v>-3</x:v>
      </x:c>
      <x:c r="K866" s="7" t="n">
        <x:f>F866+G866</x:f>
        <x:v>23</x:v>
      </x:c>
      <x:c r="L866" s="7" t="n">
        <x:v>14</x:v>
      </x:c>
      <x:c r="M866" s="7" t="n">
        <x:v>19</x:v>
      </x:c>
      <x:c r="N866" s="7" t="n">
        <x:v>1</x:v>
      </x:c>
      <x:c r="O866" s="9" t="n">
        <x:f>IF(M866=0,"n.a.",L866/M866)</x:f>
        <x:v>0.7368421052631579</x:v>
      </x:c>
      <x:c r="P866" s="9" t="n">
        <x:f>IF(K866=0,"n.a.",L866/K866)</x:f>
        <x:v>0.6086956521739131</x:v>
      </x:c>
      <x:c r="Q866" s="9" t="n">
        <x:f>IF(K866=0,"n.a.",M866/K866)</x:f>
        <x:v>0.8260869565217391</x:v>
      </x:c>
      <x:c r="R866" s="9" t="n">
        <x:f>IF(K866=0,"n.a.",N866/K866)</x:f>
        <x:v>0.043478260869565216</x:v>
      </x:c>
      <x:c r="S866" s="7" t="n">
        <x:v>-44</x:v>
      </x:c>
      <x:c r="T866" s="10" t="n">
        <x:v>0.16</x:v>
      </x:c>
      <x:c r="U866" s="7" t="n">
        <x:v>177</x:v>
      </x:c>
      <x:c r="V866" s="7" t="n">
        <x:v>256</x:v>
      </x:c>
    </x:row>
    <x:row r="867" ht="16" customHeight="1">
      <x:c r="A867" s="7" t="n">
        <x:v>864</x:v>
      </x:c>
      <x:c r="B867" s="8" t="n">
        <x:v>46187</x:v>
      </x:c>
      <x:c r="C867" s="7" t="str">
        <x:v>Lotus</x:v>
      </x:c>
      <x:c r="D867" s="7" t="str">
        <x:v>5th</x:v>
      </x:c>
      <x:c r="E867" s="7" t="str">
        <x:v>Neon</x:v>
      </x:c>
      <x:c r="F867" s="7" t="n">
        <x:v>10</x:v>
      </x:c>
      <x:c r="G867" s="7" t="n">
        <x:v>13</x:v>
      </x:c>
      <x:c r="H867" s="7" t="str">
        <x:f>IF(F867&gt;G867,"Win",IF(F867&lt;G867,"Loss","Draw"))</x:f>
        <x:v>Loss</x:v>
      </x:c>
      <x:c r="I867" s="7" t="n">
        <x:f>IF(H867="Win",1,0)</x:f>
        <x:v>0</x:v>
      </x:c>
      <x:c r="J867" s="7" t="n">
        <x:f>F867-G867</x:f>
        <x:v>-3</x:v>
      </x:c>
      <x:c r="K867" s="7" t="n">
        <x:f>F867+G867</x:f>
        <x:v>23</x:v>
      </x:c>
      <x:c r="L867" s="7" t="n">
        <x:v>15</x:v>
      </x:c>
      <x:c r="M867" s="7" t="n">
        <x:v>17</x:v>
      </x:c>
      <x:c r="N867" s="7" t="n">
        <x:v>3</x:v>
      </x:c>
      <x:c r="O867" s="9" t="n">
        <x:f>IF(M867=0,"n.a.",L867/M867)</x:f>
        <x:v>0.8823529411764706</x:v>
      </x:c>
      <x:c r="P867" s="9" t="n">
        <x:f>IF(K867=0,"n.a.",L867/K867)</x:f>
        <x:v>0.6521739130434783</x:v>
      </x:c>
      <x:c r="Q867" s="9" t="n">
        <x:f>IF(K867=0,"n.a.",M867/K867)</x:f>
        <x:v>0.7391304347826086</x:v>
      </x:c>
      <x:c r="R867" s="9" t="n">
        <x:f>IF(K867=0,"n.a.",N867/K867)</x:f>
        <x:v>0.13043478260869565</x:v>
      </x:c>
      <x:c r="S867" s="7" t="n">
        <x:v>-7</x:v>
      </x:c>
      <x:c r="T867" s="10" t="n">
        <x:v>0.52</x:v>
      </x:c>
      <x:c r="U867" s="7" t="n">
        <x:v>183</x:v>
      </x:c>
      <x:c r="V867" s="7" t="n">
        <x:v>382</x:v>
      </x:c>
    </x:row>
    <x:row r="868" ht="16" customHeight="1">
      <x:c r="A868" s="7" t="n">
        <x:v>865</x:v>
      </x:c>
      <x:c r="B868" s="8" t="n">
        <x:v>46187</x:v>
      </x:c>
      <x:c r="C868" s="7" t="str">
        <x:v>Pearl</x:v>
      </x:c>
      <x:c r="D868" s="7" t="str">
        <x:v>6th</x:v>
      </x:c>
      <x:c r="E868" s="7" t="str">
        <x:v>Neon</x:v>
      </x:c>
      <x:c r="F868" s="7" t="n">
        <x:v>13</x:v>
      </x:c>
      <x:c r="G868" s="7" t="n">
        <x:v>9</x:v>
      </x:c>
      <x:c r="H868" s="7" t="str">
        <x:f>IF(F868&gt;G868,"Win",IF(F868&lt;G868,"Loss","Draw"))</x:f>
        <x:v>Win</x:v>
      </x:c>
      <x:c r="I868" s="7" t="n">
        <x:f>IF(H868="Win",1,0)</x:f>
        <x:v>1</x:v>
      </x:c>
      <x:c r="J868" s="7" t="n">
        <x:f>F868-G868</x:f>
        <x:v>4</x:v>
      </x:c>
      <x:c r="K868" s="7" t="n">
        <x:f>F868+G868</x:f>
        <x:v>22</x:v>
      </x:c>
      <x:c r="L868" s="7" t="n">
        <x:v>15</x:v>
      </x:c>
      <x:c r="M868" s="7" t="n">
        <x:v>17</x:v>
      </x:c>
      <x:c r="N868" s="7" t="n">
        <x:v>3</x:v>
      </x:c>
      <x:c r="O868" s="9" t="n">
        <x:f>IF(M868=0,"n.a.",L868/M868)</x:f>
        <x:v>0.8823529411764706</x:v>
      </x:c>
      <x:c r="P868" s="9" t="n">
        <x:f>IF(K868=0,"n.a.",L868/K868)</x:f>
        <x:v>0.6818181818181818</x:v>
      </x:c>
      <x:c r="Q868" s="9" t="n">
        <x:f>IF(K868=0,"n.a.",M868/K868)</x:f>
        <x:v>0.7727272727272727</x:v>
      </x:c>
      <x:c r="R868" s="9" t="n">
        <x:f>IF(K868=0,"n.a.",N868/K868)</x:f>
        <x:v>0.13636363636363635</x:v>
      </x:c>
      <x:c r="S868" s="7" t="n">
        <x:v>-12</x:v>
      </x:c>
      <x:c r="T868" s="10" t="n">
        <x:v>0.23</x:v>
      </x:c>
      <x:c r="U868" s="7" t="n">
        <x:v>200</x:v>
      </x:c>
      <x:c r="V868" s="7" t="n">
        <x:v>626</x:v>
      </x:c>
    </x:row>
    <x:row r="869" ht="16" customHeight="1">
      <x:c r="A869" s="7" t="n">
        <x:v>866</x:v>
      </x:c>
      <x:c r="B869" s="8" t="n">
        <x:v>46187</x:v>
      </x:c>
      <x:c r="C869" s="7" t="str">
        <x:v>Ascent</x:v>
      </x:c>
      <x:c r="D869" s="7" t="str">
        <x:v>7th</x:v>
      </x:c>
      <x:c r="E869" s="7" t="str">
        <x:v>Neon</x:v>
      </x:c>
      <x:c r="F869" s="7" t="n">
        <x:v>10</x:v>
      </x:c>
      <x:c r="G869" s="7" t="n">
        <x:v>13</x:v>
      </x:c>
      <x:c r="H869" s="7" t="str">
        <x:f>IF(F869&gt;G869,"Win",IF(F869&lt;G869,"Loss","Draw"))</x:f>
        <x:v>Loss</x:v>
      </x:c>
      <x:c r="I869" s="7" t="n">
        <x:f>IF(H869="Win",1,0)</x:f>
        <x:v>0</x:v>
      </x:c>
      <x:c r="J869" s="7" t="n">
        <x:f>F869-G869</x:f>
        <x:v>-3</x:v>
      </x:c>
      <x:c r="K869" s="7" t="n">
        <x:f>F869+G869</x:f>
        <x:v>23</x:v>
      </x:c>
      <x:c r="L869" s="7" t="n">
        <x:v>16</x:v>
      </x:c>
      <x:c r="M869" s="7" t="n">
        <x:v>20</x:v>
      </x:c>
      <x:c r="N869" s="7" t="n">
        <x:v>3</x:v>
      </x:c>
      <x:c r="O869" s="9" t="n">
        <x:f>IF(M869=0,"n.a.",L869/M869)</x:f>
        <x:v>0.8</x:v>
      </x:c>
      <x:c r="P869" s="9" t="n">
        <x:f>IF(K869=0,"n.a.",L869/K869)</x:f>
        <x:v>0.6956521739130435</x:v>
      </x:c>
      <x:c r="Q869" s="9" t="n">
        <x:f>IF(K869=0,"n.a.",M869/K869)</x:f>
        <x:v>0.8695652173913043</x:v>
      </x:c>
      <x:c r="R869" s="9" t="n">
        <x:f>IF(K869=0,"n.a.",N869/K869)</x:f>
        <x:v>0.13043478260869565</x:v>
      </x:c>
      <x:c r="S869" s="7" t="n">
        <x:v>-49</x:v>
      </x:c>
      <x:c r="T869" s="10" t="n">
        <x:v>0.32</x:v>
      </x:c>
      <x:c r="U869" s="7" t="n">
        <x:v>198</x:v>
      </x:c>
      <x:c r="V869" s="7" t="n">
        <x:v>276</x:v>
      </x:c>
    </x:row>
    <x:row r="870" ht="16" customHeight="1">
      <x:c r="A870" s="7" t="n">
        <x:v>867</x:v>
      </x:c>
      <x:c r="B870" s="8" t="n">
        <x:v>46187</x:v>
      </x:c>
      <x:c r="C870" s="7" t="str">
        <x:v>Fracture</x:v>
      </x:c>
      <x:c r="D870" s="7" t="str">
        <x:v>MVP</x:v>
      </x:c>
      <x:c r="E870" s="7" t="str">
        <x:v>Neon</x:v>
      </x:c>
      <x:c r="F870" s="7" t="n">
        <x:v>13</x:v>
      </x:c>
      <x:c r="G870" s="7" t="n">
        <x:v>4</x:v>
      </x:c>
      <x:c r="H870" s="7" t="str">
        <x:f>IF(F870&gt;G870,"Win",IF(F870&lt;G870,"Loss","Draw"))</x:f>
        <x:v>Win</x:v>
      </x:c>
      <x:c r="I870" s="7" t="n">
        <x:f>IF(H870="Win",1,0)</x:f>
        <x:v>1</x:v>
      </x:c>
      <x:c r="J870" s="7" t="n">
        <x:f>F870-G870</x:f>
        <x:v>9</x:v>
      </x:c>
      <x:c r="K870" s="7" t="n">
        <x:f>F870+G870</x:f>
        <x:v>17</x:v>
      </x:c>
      <x:c r="L870" s="7" t="n">
        <x:v>24</x:v>
      </x:c>
      <x:c r="M870" s="7" t="n">
        <x:v>8</x:v>
      </x:c>
      <x:c r="N870" s="7" t="n">
        <x:v>2</x:v>
      </x:c>
      <x:c r="O870" s="9" t="n">
        <x:f>IF(M870=0,"n.a.",L870/M870)</x:f>
        <x:v>3</x:v>
      </x:c>
      <x:c r="P870" s="9" t="n">
        <x:f>IF(K870=0,"n.a.",L870/K870)</x:f>
        <x:v>1.411764705882353</x:v>
      </x:c>
      <x:c r="Q870" s="9" t="n">
        <x:f>IF(K870=0,"n.a.",M870/K870)</x:f>
        <x:v>0.47058823529411764</x:v>
      </x:c>
      <x:c r="R870" s="9" t="n">
        <x:f>IF(K870=0,"n.a.",N870/K870)</x:f>
        <x:v>0.11764705882352941</x:v>
      </x:c>
      <x:c r="S870" s="7" t="n">
        <x:v>127</x:v>
      </x:c>
      <x:c r="T870" s="10" t="n">
        <x:v>0.27</x:v>
      </x:c>
      <x:c r="U870" s="7" t="n">
        <x:v>361</x:v>
      </x:c>
      <x:c r="V870" s="7" t="n">
        <x:v>953</x:v>
      </x:c>
    </x:row>
    <x:row r="871" ht="16" customHeight="1">
      <x:c r="A871" s="7" t="n">
        <x:v>868</x:v>
      </x:c>
      <x:c r="B871" s="8" t="n">
        <x:v>46187</x:v>
      </x:c>
      <x:c r="C871" s="7" t="str">
        <x:v>Ascent</x:v>
      </x:c>
      <x:c r="D871" s="7" t="str">
        <x:v>MVP</x:v>
      </x:c>
      <x:c r="E871" s="7" t="str">
        <x:v>Neon</x:v>
      </x:c>
      <x:c r="F871" s="7" t="n">
        <x:v>13</x:v>
      </x:c>
      <x:c r="G871" s="7" t="n">
        <x:v>6</x:v>
      </x:c>
      <x:c r="H871" s="7" t="str">
        <x:f>IF(F871&gt;G871,"Win",IF(F871&lt;G871,"Loss","Draw"))</x:f>
        <x:v>Win</x:v>
      </x:c>
      <x:c r="I871" s="7" t="n">
        <x:f>IF(H871="Win",1,0)</x:f>
        <x:v>1</x:v>
      </x:c>
      <x:c r="J871" s="7" t="n">
        <x:f>F871-G871</x:f>
        <x:v>7</x:v>
      </x:c>
      <x:c r="K871" s="7" t="n">
        <x:f>F871+G871</x:f>
        <x:v>19</x:v>
      </x:c>
      <x:c r="L871" s="7" t="n">
        <x:v>17</x:v>
      </x:c>
      <x:c r="M871" s="7" t="n">
        <x:v>13</x:v>
      </x:c>
      <x:c r="N871" s="7" t="n">
        <x:v>2</x:v>
      </x:c>
      <x:c r="O871" s="9" t="n">
        <x:f>IF(M871=0,"n.a.",L871/M871)</x:f>
        <x:v>1.3076923076923077</x:v>
      </x:c>
      <x:c r="P871" s="9" t="n">
        <x:f>IF(K871=0,"n.a.",L871/K871)</x:f>
        <x:v>0.8947368421052632</x:v>
      </x:c>
      <x:c r="Q871" s="9" t="n">
        <x:f>IF(K871=0,"n.a.",M871/K871)</x:f>
        <x:v>0.6842105263157895</x:v>
      </x:c>
      <x:c r="R871" s="9" t="n">
        <x:f>IF(K871=0,"n.a.",N871/K871)</x:f>
        <x:v>0.10526315789473684</x:v>
      </x:c>
      <x:c r="S871" s="7" t="n">
        <x:v>31</x:v>
      </x:c>
      <x:c r="T871" s="10" t="n">
        <x:v>0.21</x:v>
      </x:c>
      <x:c r="U871" s="7" t="n">
        <x:v>246</x:v>
      </x:c>
      <x:c r="V871" s="7" t="n">
        <x:v>651</x:v>
      </x:c>
    </x:row>
    <x:row r="872" ht="16" customHeight="1">
      <x:c r="A872" s="7" t="n">
        <x:v>869</x:v>
      </x:c>
      <x:c r="B872" s="8" t="n">
        <x:v>46188</x:v>
      </x:c>
      <x:c r="C872" s="7" t="str">
        <x:v>Breeze</x:v>
      </x:c>
      <x:c r="D872" s="7" t="str">
        <x:v>MVP</x:v>
      </x:c>
      <x:c r="E872" s="7" t="str">
        <x:v>Neon</x:v>
      </x:c>
      <x:c r="F872" s="7" t="n">
        <x:v>13</x:v>
      </x:c>
      <x:c r="G872" s="7" t="n">
        <x:v>3</x:v>
      </x:c>
      <x:c r="H872" s="7" t="str">
        <x:f>IF(F872&gt;G872,"Win",IF(F872&lt;G872,"Loss","Draw"))</x:f>
        <x:v>Win</x:v>
      </x:c>
      <x:c r="I872" s="7" t="n">
        <x:f>IF(H872="Win",1,0)</x:f>
        <x:v>1</x:v>
      </x:c>
      <x:c r="J872" s="7" t="n">
        <x:f>F872-G872</x:f>
        <x:v>10</x:v>
      </x:c>
      <x:c r="K872" s="7" t="n">
        <x:f>F872+G872</x:f>
        <x:v>16</x:v>
      </x:c>
      <x:c r="L872" s="7" t="n">
        <x:v>24</x:v>
      </x:c>
      <x:c r="M872" s="7" t="n">
        <x:v>11</x:v>
      </x:c>
      <x:c r="N872" s="7" t="n">
        <x:v>2</x:v>
      </x:c>
      <x:c r="O872" s="9" t="n">
        <x:f>IF(M872=0,"n.a.",L872/M872)</x:f>
        <x:v>2.1818181818181817</x:v>
      </x:c>
      <x:c r="P872" s="9" t="n">
        <x:f>IF(K872=0,"n.a.",L872/K872)</x:f>
        <x:v>1.5</x:v>
      </x:c>
      <x:c r="Q872" s="9" t="n">
        <x:f>IF(K872=0,"n.a.",M872/K872)</x:f>
        <x:v>0.6875</x:v>
      </x:c>
      <x:c r="R872" s="9" t="n">
        <x:f>IF(K872=0,"n.a.",N872/K872)</x:f>
        <x:v>0.125</x:v>
      </x:c>
      <x:c r="S872" s="7" t="n">
        <x:v>113</x:v>
      </x:c>
      <x:c r="T872" s="10" t="n">
        <x:v>0.32</x:v>
      </x:c>
      <x:c r="U872" s="7" t="n">
        <x:v>402</x:v>
      </x:c>
      <x:c r="V872" s="7" t="n">
        <x:v>943</x:v>
      </x:c>
    </x:row>
    <x:row r="873" ht="16" customHeight="1">
      <x:c r="A873" s="7" t="n">
        <x:v>870</x:v>
      </x:c>
      <x:c r="B873" s="8" t="n">
        <x:v>46188</x:v>
      </x:c>
      <x:c r="C873" s="7" t="str">
        <x:v>Ascent</x:v>
      </x:c>
      <x:c r="D873" s="7" t="str">
        <x:v>2nd</x:v>
      </x:c>
      <x:c r="E873" s="7" t="str">
        <x:v>Neon</x:v>
      </x:c>
      <x:c r="F873" s="7" t="n">
        <x:v>7</x:v>
      </x:c>
      <x:c r="G873" s="7" t="n">
        <x:v>13</x:v>
      </x:c>
      <x:c r="H873" s="7" t="str">
        <x:f>IF(F873&gt;G873,"Win",IF(F873&lt;G873,"Loss","Draw"))</x:f>
        <x:v>Loss</x:v>
      </x:c>
      <x:c r="I873" s="7" t="n">
        <x:f>IF(H873="Win",1,0)</x:f>
        <x:v>0</x:v>
      </x:c>
      <x:c r="J873" s="7" t="n">
        <x:f>F873-G873</x:f>
        <x:v>-6</x:v>
      </x:c>
      <x:c r="K873" s="7" t="n">
        <x:f>F873+G873</x:f>
        <x:v>20</x:v>
      </x:c>
      <x:c r="L873" s="7" t="n">
        <x:v>21</x:v>
      </x:c>
      <x:c r="M873" s="7" t="n">
        <x:v>18</x:v>
      </x:c>
      <x:c r="N873" s="7" t="n">
        <x:v>2</x:v>
      </x:c>
      <x:c r="O873" s="9" t="n">
        <x:f>IF(M873=0,"n.a.",L873/M873)</x:f>
        <x:v>1.1666666666666667</x:v>
      </x:c>
      <x:c r="P873" s="9" t="n">
        <x:f>IF(K873=0,"n.a.",L873/K873)</x:f>
        <x:v>1.05</x:v>
      </x:c>
      <x:c r="Q873" s="9" t="n">
        <x:f>IF(K873=0,"n.a.",M873/K873)</x:f>
        <x:v>0.9</x:v>
      </x:c>
      <x:c r="R873" s="9" t="n">
        <x:f>IF(K873=0,"n.a.",N873/K873)</x:f>
        <x:v>0.1</x:v>
      </x:c>
      <x:c r="S873" s="7" t="n">
        <x:v>56</x:v>
      </x:c>
      <x:c r="T873" s="10" t="n">
        <x:v>0.29</x:v>
      </x:c>
      <x:c r="U873" s="7" t="n">
        <x:v>328</x:v>
      </x:c>
      <x:c r="V873" s="7" t="n">
        <x:v>745</x:v>
      </x:c>
    </x:row>
    <x:row r="874" ht="16" customHeight="1">
      <x:c r="A874" s="7" t="n">
        <x:v>871</x:v>
      </x:c>
      <x:c r="B874" s="8" t="n">
        <x:v>46188</x:v>
      </x:c>
      <x:c r="C874" s="7" t="str">
        <x:v>Breeze</x:v>
      </x:c>
      <x:c r="D874" s="7" t="str">
        <x:v>8th</x:v>
      </x:c>
      <x:c r="E874" s="7" t="str">
        <x:v>Neon</x:v>
      </x:c>
      <x:c r="F874" s="7" t="n">
        <x:v>13</x:v>
      </x:c>
      <x:c r="G874" s="7" t="n">
        <x:v>8</x:v>
      </x:c>
      <x:c r="H874" s="7" t="str">
        <x:f>IF(F874&gt;G874,"Win",IF(F874&lt;G874,"Loss","Draw"))</x:f>
        <x:v>Win</x:v>
      </x:c>
      <x:c r="I874" s="7" t="n">
        <x:f>IF(H874="Win",1,0)</x:f>
        <x:v>1</x:v>
      </x:c>
      <x:c r="J874" s="7" t="n">
        <x:f>F874-G874</x:f>
        <x:v>5</x:v>
      </x:c>
      <x:c r="K874" s="7" t="n">
        <x:f>F874+G874</x:f>
        <x:v>21</x:v>
      </x:c>
      <x:c r="L874" s="7" t="n">
        <x:v>15</x:v>
      </x:c>
      <x:c r="M874" s="7" t="n">
        <x:v>14</x:v>
      </x:c>
      <x:c r="N874" s="7" t="n">
        <x:v>2</x:v>
      </x:c>
      <x:c r="O874" s="9" t="n">
        <x:f>IF(M874=0,"n.a.",L874/M874)</x:f>
        <x:v>1.0714285714285714</x:v>
      </x:c>
      <x:c r="P874" s="9" t="n">
        <x:f>IF(K874=0,"n.a.",L874/K874)</x:f>
        <x:v>0.7142857142857143</x:v>
      </x:c>
      <x:c r="Q874" s="9" t="n">
        <x:f>IF(K874=0,"n.a.",M874/K874)</x:f>
        <x:v>0.6666666666666666</x:v>
      </x:c>
      <x:c r="R874" s="9" t="n">
        <x:f>IF(K874=0,"n.a.",N874/K874)</x:f>
        <x:v>0.09523809523809523</x:v>
      </x:c>
      <x:c r="S874" s="7" t="n">
        <x:v>-17</x:v>
      </x:c>
      <x:c r="T874" s="10" t="n">
        <x:v>0.13</x:v>
      </x:c>
      <x:c r="U874" s="7" t="n">
        <x:v>191</x:v>
      </x:c>
      <x:c r="V874" s="7" t="n">
        <x:v>431</x:v>
      </x:c>
    </x:row>
    <x:row r="875" ht="16" customHeight="1">
      <x:c r="A875" s="7" t="n">
        <x:v>872</x:v>
      </x:c>
      <x:c r="B875" s="8" t="n">
        <x:v>46189</x:v>
      </x:c>
      <x:c r="C875" s="7" t="str">
        <x:v>Haven</x:v>
      </x:c>
      <x:c r="D875" s="7" t="str">
        <x:v>4th</x:v>
      </x:c>
      <x:c r="E875" s="7" t="str">
        <x:v>Neon</x:v>
      </x:c>
      <x:c r="F875" s="7" t="n">
        <x:v>4</x:v>
      </x:c>
      <x:c r="G875" s="7" t="n">
        <x:v>13</x:v>
      </x:c>
      <x:c r="H875" s="7" t="str">
        <x:f>IF(F875&gt;G875,"Win",IF(F875&lt;G875,"Loss","Draw"))</x:f>
        <x:v>Loss</x:v>
      </x:c>
      <x:c r="I875" s="7" t="n">
        <x:f>IF(H875="Win",1,0)</x:f>
        <x:v>0</x:v>
      </x:c>
      <x:c r="J875" s="7" t="n">
        <x:f>F875-G875</x:f>
        <x:v>-9</x:v>
      </x:c>
      <x:c r="K875" s="7" t="n">
        <x:f>F875+G875</x:f>
        <x:v>17</x:v>
      </x:c>
      <x:c r="L875" s="7" t="n">
        <x:v>17</x:v>
      </x:c>
      <x:c r="M875" s="7" t="n">
        <x:v>16</x:v>
      </x:c>
      <x:c r="N875" s="7" t="n">
        <x:v>0</x:v>
      </x:c>
      <x:c r="O875" s="9" t="n">
        <x:f>IF(M875=0,"n.a.",L875/M875)</x:f>
        <x:v>1.0625</x:v>
      </x:c>
      <x:c r="P875" s="9" t="n">
        <x:f>IF(K875=0,"n.a.",L875/K875)</x:f>
        <x:v>1</x:v>
      </x:c>
      <x:c r="Q875" s="9" t="n">
        <x:f>IF(K875=0,"n.a.",M875/K875)</x:f>
        <x:v>0.9411764705882353</x:v>
      </x:c>
      <x:c r="R875" s="9" t="n">
        <x:f>IF(K875=0,"n.a.",N875/K875)</x:f>
        <x:v>0</x:v>
      </x:c>
      <x:c r="S875" s="7" t="n">
        <x:v>1</x:v>
      </x:c>
      <x:c r="T875" s="10" t="n">
        <x:v>0.32</x:v>
      </x:c>
      <x:c r="U875" s="7" t="n">
        <x:v>254</x:v>
      </x:c>
      <x:c r="V875" s="7" t="n">
        <x:v>481</x:v>
      </x:c>
    </x:row>
    <x:row r="876" ht="16" customHeight="1">
      <x:c r="A876" s="7" t="n">
        <x:v>873</x:v>
      </x:c>
      <x:c r="B876" s="8" t="n">
        <x:v>46189</x:v>
      </x:c>
      <x:c r="C876" s="7" t="str">
        <x:v>Split</x:v>
      </x:c>
      <x:c r="D876" s="7" t="str">
        <x:v>9th</x:v>
      </x:c>
      <x:c r="E876" s="7" t="str">
        <x:v>Neon</x:v>
      </x:c>
      <x:c r="F876" s="7" t="n">
        <x:v>2</x:v>
      </x:c>
      <x:c r="G876" s="7" t="n">
        <x:v>13</x:v>
      </x:c>
      <x:c r="H876" s="7" t="str">
        <x:f>IF(F876&gt;G876,"Win",IF(F876&lt;G876,"Loss","Draw"))</x:f>
        <x:v>Loss</x:v>
      </x:c>
      <x:c r="I876" s="7" t="n">
        <x:f>IF(H876="Win",1,0)</x:f>
        <x:v>0</x:v>
      </x:c>
      <x:c r="J876" s="7" t="n">
        <x:f>F876-G876</x:f>
        <x:v>-11</x:v>
      </x:c>
      <x:c r="K876" s="7" t="n">
        <x:f>F876+G876</x:f>
        <x:v>15</x:v>
      </x:c>
      <x:c r="L876" s="7" t="n">
        <x:v>6</x:v>
      </x:c>
      <x:c r="M876" s="7" t="n">
        <x:v>14</x:v>
      </x:c>
      <x:c r="N876" s="7" t="n">
        <x:v>0</x:v>
      </x:c>
      <x:c r="O876" s="9" t="n">
        <x:f>IF(M876=0,"n.a.",L876/M876)</x:f>
        <x:v>0.42857142857142855</x:v>
      </x:c>
      <x:c r="P876" s="9" t="n">
        <x:f>IF(K876=0,"n.a.",L876/K876)</x:f>
        <x:v>0.4</x:v>
      </x:c>
      <x:c r="Q876" s="9" t="n">
        <x:f>IF(K876=0,"n.a.",M876/K876)</x:f>
        <x:v>0.9333333333333333</x:v>
      </x:c>
      <x:c r="R876" s="9" t="n">
        <x:f>IF(K876=0,"n.a.",N876/K876)</x:f>
        <x:v>0</x:v>
      </x:c>
      <x:c r="S876" s="7" t="n">
        <x:v>-103</x:v>
      </x:c>
      <x:c r="T876" s="10" t="n">
        <x:v>0.11</x:v>
      </x:c>
      <x:c r="U876" s="7" t="n">
        <x:v>102</x:v>
      </x:c>
      <x:c r="V876" s="7" t="n">
        <x:v>100</x:v>
      </x:c>
    </x:row>
    <x:row r="877" ht="16" customHeight="1">
      <x:c r="A877" s="7" t="n">
        <x:v>874</x:v>
      </x:c>
      <x:c r="B877" s="8" t="n">
        <x:v>46189</x:v>
      </x:c>
      <x:c r="C877" s="7" t="str">
        <x:v>Haven</x:v>
      </x:c>
      <x:c r="D877" s="7" t="str">
        <x:v>7th</x:v>
      </x:c>
      <x:c r="E877" s="7" t="str">
        <x:v>Neon</x:v>
      </x:c>
      <x:c r="F877" s="7" t="n">
        <x:v>9</x:v>
      </x:c>
      <x:c r="G877" s="7" t="n">
        <x:v>13</x:v>
      </x:c>
      <x:c r="H877" s="7" t="str">
        <x:f>IF(F877&gt;G877,"Win",IF(F877&lt;G877,"Loss","Draw"))</x:f>
        <x:v>Loss</x:v>
      </x:c>
      <x:c r="I877" s="7" t="n">
        <x:f>IF(H877="Win",1,0)</x:f>
        <x:v>0</x:v>
      </x:c>
      <x:c r="J877" s="7" t="n">
        <x:f>F877-G877</x:f>
        <x:v>-4</x:v>
      </x:c>
      <x:c r="K877" s="7" t="n">
        <x:f>F877+G877</x:f>
        <x:v>22</x:v>
      </x:c>
      <x:c r="L877" s="7" t="n">
        <x:v>15</x:v>
      </x:c>
      <x:c r="M877" s="7" t="n">
        <x:v>20</x:v>
      </x:c>
      <x:c r="N877" s="7" t="n">
        <x:v>3</x:v>
      </x:c>
      <x:c r="O877" s="9" t="n">
        <x:f>IF(M877=0,"n.a.",L877/M877)</x:f>
        <x:v>0.75</x:v>
      </x:c>
      <x:c r="P877" s="9" t="n">
        <x:f>IF(K877=0,"n.a.",L877/K877)</x:f>
        <x:v>0.6818181818181818</x:v>
      </x:c>
      <x:c r="Q877" s="9" t="n">
        <x:f>IF(K877=0,"n.a.",M877/K877)</x:f>
        <x:v>0.9090909090909091</x:v>
      </x:c>
      <x:c r="R877" s="9" t="n">
        <x:f>IF(K877=0,"n.a.",N877/K877)</x:f>
        <x:v>0.13636363636363635</x:v>
      </x:c>
      <x:c r="S877" s="7" t="n">
        <x:v>-48</x:v>
      </x:c>
      <x:c r="T877" s="10" t="n">
        <x:v>0.35</x:v>
      </x:c>
      <x:c r="U877" s="7" t="n">
        <x:v>189</x:v>
      </x:c>
      <x:c r="V877" s="7" t="n">
        <x:v>325</x:v>
      </x:c>
    </x:row>
    <x:row r="878" ht="16" customHeight="1">
      <x:c r="A878" s="7" t="n">
        <x:v>875</x:v>
      </x:c>
      <x:c r="B878" s="8" t="n">
        <x:v>46190</x:v>
      </x:c>
      <x:c r="C878" s="7" t="str">
        <x:v>Lotus</x:v>
      </x:c>
      <x:c r="D878" s="7" t="str">
        <x:v>7th</x:v>
      </x:c>
      <x:c r="E878" s="7" t="str">
        <x:v>Neon</x:v>
      </x:c>
      <x:c r="F878" s="7" t="n">
        <x:v>11</x:v>
      </x:c>
      <x:c r="G878" s="7" t="n">
        <x:v>13</x:v>
      </x:c>
      <x:c r="H878" s="7" t="str">
        <x:f>IF(F878&gt;G878,"Win",IF(F878&lt;G878,"Loss","Draw"))</x:f>
        <x:v>Loss</x:v>
      </x:c>
      <x:c r="I878" s="7" t="n">
        <x:f>IF(H878="Win",1,0)</x:f>
        <x:v>0</x:v>
      </x:c>
      <x:c r="J878" s="7" t="n">
        <x:f>F878-G878</x:f>
        <x:v>-2</x:v>
      </x:c>
      <x:c r="K878" s="7" t="n">
        <x:f>F878+G878</x:f>
        <x:v>24</x:v>
      </x:c>
      <x:c r="L878" s="7" t="n">
        <x:v>15</x:v>
      </x:c>
      <x:c r="M878" s="7" t="n">
        <x:v>22</x:v>
      </x:c>
      <x:c r="N878" s="7" t="n">
        <x:v>3</x:v>
      </x:c>
      <x:c r="O878" s="9" t="n">
        <x:f>IF(M878=0,"n.a.",L878/M878)</x:f>
        <x:v>0.6818181818181818</x:v>
      </x:c>
      <x:c r="P878" s="9" t="n">
        <x:f>IF(K878=0,"n.a.",L878/K878)</x:f>
        <x:v>0.625</x:v>
      </x:c>
      <x:c r="Q878" s="9" t="n">
        <x:f>IF(K878=0,"n.a.",M878/K878)</x:f>
        <x:v>0.9166666666666666</x:v>
      </x:c>
      <x:c r="R878" s="9" t="n">
        <x:f>IF(K878=0,"n.a.",N878/K878)</x:f>
        <x:v>0.125</x:v>
      </x:c>
      <x:c r="S878" s="7" t="n">
        <x:v>-33</x:v>
      </x:c>
      <x:c r="T878" s="10" t="n">
        <x:v>0.24</x:v>
      </x:c>
      <x:c r="U878" s="7" t="n">
        <x:v>178</x:v>
      </x:c>
      <x:c r="V878" s="7" t="n">
        <x:v>342</x:v>
      </x:c>
    </x:row>
    <x:row r="879" ht="16" customHeight="1">
      <x:c r="A879" s="7" t="n">
        <x:v>876</x:v>
      </x:c>
      <x:c r="B879" s="8" t="n">
        <x:v>46190</x:v>
      </x:c>
      <x:c r="C879" s="7" t="str">
        <x:v>Pearl</x:v>
      </x:c>
      <x:c r="D879" s="7" t="str">
        <x:v>9th</x:v>
      </x:c>
      <x:c r="E879" s="7" t="str">
        <x:v>Neon</x:v>
      </x:c>
      <x:c r="F879" s="7" t="n">
        <x:v>11</x:v>
      </x:c>
      <x:c r="G879" s="7" t="n">
        <x:v>13</x:v>
      </x:c>
      <x:c r="H879" s="7" t="str">
        <x:f>IF(F879&gt;G879,"Win",IF(F879&lt;G879,"Loss","Draw"))</x:f>
        <x:v>Loss</x:v>
      </x:c>
      <x:c r="I879" s="7" t="n">
        <x:f>IF(H879="Win",1,0)</x:f>
        <x:v>0</x:v>
      </x:c>
      <x:c r="J879" s="7" t="n">
        <x:f>F879-G879</x:f>
        <x:v>-2</x:v>
      </x:c>
      <x:c r="K879" s="7" t="n">
        <x:f>F879+G879</x:f>
        <x:v>24</x:v>
      </x:c>
      <x:c r="L879" s="7" t="n">
        <x:v>15</x:v>
      </x:c>
      <x:c r="M879" s="7" t="n">
        <x:v>19</x:v>
      </x:c>
      <x:c r="N879" s="7" t="n">
        <x:v>2</x:v>
      </x:c>
      <x:c r="O879" s="9" t="n">
        <x:f>IF(M879=0,"n.a.",L879/M879)</x:f>
        <x:v>0.7894736842105263</x:v>
      </x:c>
      <x:c r="P879" s="9" t="n">
        <x:f>IF(K879=0,"n.a.",L879/K879)</x:f>
        <x:v>0.625</x:v>
      </x:c>
      <x:c r="Q879" s="9" t="n">
        <x:f>IF(K879=0,"n.a.",M879/K879)</x:f>
        <x:v>0.7916666666666666</x:v>
      </x:c>
      <x:c r="R879" s="9" t="n">
        <x:f>IF(K879=0,"n.a.",N879/K879)</x:f>
        <x:v>0.08333333333333333</x:v>
      </x:c>
      <x:c r="S879" s="7" t="n">
        <x:v>-12</x:v>
      </x:c>
      <x:c r="T879" s="10" t="n">
        <x:v>0.41</x:v>
      </x:c>
      <x:c r="U879" s="7" t="n">
        <x:v>166</x:v>
      </x:c>
      <x:c r="V879" s="7" t="n">
        <x:v>364</x:v>
      </x:c>
    </x:row>
    <x:row r="880" ht="16" customHeight="1">
      <x:c r="A880" s="7" t="n">
        <x:v>877</x:v>
      </x:c>
      <x:c r="B880" s="8" t="n">
        <x:v>46190</x:v>
      </x:c>
      <x:c r="C880" s="7" t="str">
        <x:v>Breeze</x:v>
      </x:c>
      <x:c r="D880" s="7" t="str">
        <x:v>MVP</x:v>
      </x:c>
      <x:c r="E880" s="7" t="str">
        <x:v>Neon</x:v>
      </x:c>
      <x:c r="F880" s="7" t="n">
        <x:v>9</x:v>
      </x:c>
      <x:c r="G880" s="7" t="n">
        <x:v>13</x:v>
      </x:c>
      <x:c r="H880" s="7" t="str">
        <x:f>IF(F880&gt;G880,"Win",IF(F880&lt;G880,"Loss","Draw"))</x:f>
        <x:v>Loss</x:v>
      </x:c>
      <x:c r="I880" s="7" t="n">
        <x:f>IF(H880="Win",1,0)</x:f>
        <x:v>0</x:v>
      </x:c>
      <x:c r="J880" s="7" t="n">
        <x:f>F880-G880</x:f>
        <x:v>-4</x:v>
      </x:c>
      <x:c r="K880" s="7" t="n">
        <x:f>F880+G880</x:f>
        <x:v>22</x:v>
      </x:c>
      <x:c r="L880" s="7" t="n">
        <x:v>22</x:v>
      </x:c>
      <x:c r="M880" s="7" t="n">
        <x:v>18</x:v>
      </x:c>
      <x:c r="N880" s="7" t="n">
        <x:v>6</x:v>
      </x:c>
      <x:c r="O880" s="9" t="n">
        <x:f>IF(M880=0,"n.a.",L880/M880)</x:f>
        <x:v>1.2222222222222223</x:v>
      </x:c>
      <x:c r="P880" s="9" t="n">
        <x:f>IF(K880=0,"n.a.",L880/K880)</x:f>
        <x:v>1</x:v>
      </x:c>
      <x:c r="Q880" s="9" t="n">
        <x:f>IF(K880=0,"n.a.",M880/K880)</x:f>
        <x:v>0.8181818181818182</x:v>
      </x:c>
      <x:c r="R880" s="9" t="n">
        <x:f>IF(K880=0,"n.a.",N880/K880)</x:f>
        <x:v>0.2727272727272727</x:v>
      </x:c>
      <x:c r="S880" s="7" t="n">
        <x:v>68</x:v>
      </x:c>
      <x:c r="T880" s="10" t="n">
        <x:v>0.24</x:v>
      </x:c>
      <x:c r="U880" s="7" t="n">
        <x:v>302</x:v>
      </x:c>
      <x:c r="V880" s="7" t="n">
        <x:v>744</x:v>
      </x:c>
    </x:row>
    <x:row r="881" ht="16" customHeight="1">
      <x:c r="A881" s="7" t="n">
        <x:v>878</x:v>
      </x:c>
      <x:c r="B881" s="8" t="n">
        <x:v>46190</x:v>
      </x:c>
      <x:c r="C881" s="7" t="str">
        <x:v>Lotus</x:v>
      </x:c>
      <x:c r="D881" s="7" t="str">
        <x:v>5th</x:v>
      </x:c>
      <x:c r="E881" s="7" t="str">
        <x:v>Reyna</x:v>
      </x:c>
      <x:c r="F881" s="7" t="n">
        <x:v>10</x:v>
      </x:c>
      <x:c r="G881" s="7" t="n">
        <x:v>13</x:v>
      </x:c>
      <x:c r="H881" s="7" t="str">
        <x:f>IF(F881&gt;G881,"Win",IF(F881&lt;G881,"Loss","Draw"))</x:f>
        <x:v>Loss</x:v>
      </x:c>
      <x:c r="I881" s="7" t="n">
        <x:f>IF(H881="Win",1,0)</x:f>
        <x:v>0</x:v>
      </x:c>
      <x:c r="J881" s="7" t="n">
        <x:f>F881-G881</x:f>
        <x:v>-3</x:v>
      </x:c>
      <x:c r="K881" s="7" t="n">
        <x:f>F881+G881</x:f>
        <x:v>23</x:v>
      </x:c>
      <x:c r="L881" s="7" t="n">
        <x:v>18</x:v>
      </x:c>
      <x:c r="M881" s="7" t="n">
        <x:v>17</x:v>
      </x:c>
      <x:c r="N881" s="7" t="n">
        <x:v>3</x:v>
      </x:c>
      <x:c r="O881" s="9" t="n">
        <x:f>IF(M881=0,"n.a.",L881/M881)</x:f>
        <x:v>1.0588235294117647</x:v>
      </x:c>
      <x:c r="P881" s="9" t="n">
        <x:f>IF(K881=0,"n.a.",L881/K881)</x:f>
        <x:v>0.782608695652174</x:v>
      </x:c>
      <x:c r="Q881" s="9" t="n">
        <x:f>IF(K881=0,"n.a.",M881/K881)</x:f>
        <x:v>0.7391304347826086</x:v>
      </x:c>
      <x:c r="R881" s="9" t="n">
        <x:f>IF(K881=0,"n.a.",N881/K881)</x:f>
        <x:v>0.13043478260869565</x:v>
      </x:c>
      <x:c r="S881" s="7" t="n">
        <x:v>-1</x:v>
      </x:c>
      <x:c r="T881" s="10" t="n">
        <x:v>0.38</x:v>
      </x:c>
      <x:c r="U881" s="7" t="n">
        <x:v>206</x:v>
      </x:c>
      <x:c r="V881" s="7" t="n">
        <x:v>464</x:v>
      </x:c>
    </x:row>
    <x:row r="882" ht="16" customHeight="1">
      <x:c r="A882" s="7" t="n">
        <x:v>879</x:v>
      </x:c>
      <x:c r="B882" s="8" t="n">
        <x:v>46191</x:v>
      </x:c>
      <x:c r="C882" s="7" t="str">
        <x:v>Ascent</x:v>
      </x:c>
      <x:c r="D882" s="7" t="str">
        <x:v>2nd</x:v>
      </x:c>
      <x:c r="E882" s="7" t="str">
        <x:v>Neon</x:v>
      </x:c>
      <x:c r="F882" s="7" t="n">
        <x:v>13</x:v>
      </x:c>
      <x:c r="G882" s="7" t="n">
        <x:v>9</x:v>
      </x:c>
      <x:c r="H882" s="7" t="str">
        <x:f>IF(F882&gt;G882,"Win",IF(F882&lt;G882,"Loss","Draw"))</x:f>
        <x:v>Win</x:v>
      </x:c>
      <x:c r="I882" s="7" t="n">
        <x:f>IF(H882="Win",1,0)</x:f>
        <x:v>1</x:v>
      </x:c>
      <x:c r="J882" s="7" t="n">
        <x:f>F882-G882</x:f>
        <x:v>4</x:v>
      </x:c>
      <x:c r="K882" s="7" t="n">
        <x:f>F882+G882</x:f>
        <x:v>22</x:v>
      </x:c>
      <x:c r="L882" s="7" t="n">
        <x:v>18</x:v>
      </x:c>
      <x:c r="M882" s="7" t="n">
        <x:v>17</x:v>
      </x:c>
      <x:c r="N882" s="7" t="n">
        <x:v>6</x:v>
      </x:c>
      <x:c r="O882" s="9" t="n">
        <x:f>IF(M882=0,"n.a.",L882/M882)</x:f>
        <x:v>1.0588235294117647</x:v>
      </x:c>
      <x:c r="P882" s="9" t="n">
        <x:f>IF(K882=0,"n.a.",L882/K882)</x:f>
        <x:v>0.8181818181818182</x:v>
      </x:c>
      <x:c r="Q882" s="9" t="n">
        <x:f>IF(K882=0,"n.a.",M882/K882)</x:f>
        <x:v>0.7727272727272727</x:v>
      </x:c>
      <x:c r="R882" s="9" t="n">
        <x:f>IF(K882=0,"n.a.",N882/K882)</x:f>
        <x:v>0.2727272727272727</x:v>
      </x:c>
      <x:c r="S882" s="7" t="n">
        <x:v>14</x:v>
      </x:c>
      <x:c r="T882" s="10" t="n">
        <x:v>0.23</x:v>
      </x:c>
      <x:c r="U882" s="7" t="n">
        <x:v>243</x:v>
      </x:c>
      <x:c r="V882" s="7" t="n">
        <x:v>744</x:v>
      </x:c>
    </x:row>
    <x:row r="883" ht="16" customHeight="1">
      <x:c r="A883" s="7" t="n">
        <x:v>880</x:v>
      </x:c>
      <x:c r="B883" s="8" t="n">
        <x:v>46192</x:v>
      </x:c>
      <x:c r="C883" s="7" t="str">
        <x:v>Fracture</x:v>
      </x:c>
      <x:c r="D883" s="7" t="str">
        <x:v>4th</x:v>
      </x:c>
      <x:c r="E883" s="7" t="str">
        <x:v>Neon</x:v>
      </x:c>
      <x:c r="F883" s="7" t="n">
        <x:v>12</x:v>
      </x:c>
      <x:c r="G883" s="7" t="n">
        <x:v>14</x:v>
      </x:c>
      <x:c r="H883" s="7" t="str">
        <x:f>IF(F883&gt;G883,"Win",IF(F883&lt;G883,"Loss","Draw"))</x:f>
        <x:v>Loss</x:v>
      </x:c>
      <x:c r="I883" s="7" t="n">
        <x:f>IF(H883="Win",1,0)</x:f>
        <x:v>0</x:v>
      </x:c>
      <x:c r="J883" s="7" t="n">
        <x:f>F883-G883</x:f>
        <x:v>-2</x:v>
      </x:c>
      <x:c r="K883" s="7" t="n">
        <x:f>F883+G883</x:f>
        <x:v>26</x:v>
      </x:c>
      <x:c r="L883" s="7" t="n">
        <x:v>20</x:v>
      </x:c>
      <x:c r="M883" s="7" t="n">
        <x:v>20</x:v>
      </x:c>
      <x:c r="N883" s="7" t="n">
        <x:v>11</x:v>
      </x:c>
      <x:c r="O883" s="9" t="n">
        <x:f>IF(M883=0,"n.a.",L883/M883)</x:f>
        <x:v>1</x:v>
      </x:c>
      <x:c r="P883" s="9" t="n">
        <x:f>IF(K883=0,"n.a.",L883/K883)</x:f>
        <x:v>0.7692307692307693</x:v>
      </x:c>
      <x:c r="Q883" s="9" t="n">
        <x:f>IF(K883=0,"n.a.",M883/K883)</x:f>
        <x:v>0.7692307692307693</x:v>
      </x:c>
      <x:c r="R883" s="9" t="n">
        <x:f>IF(K883=0,"n.a.",N883/K883)</x:f>
        <x:v>0.4230769230769231</x:v>
      </x:c>
      <x:c r="S883" s="7" t="n">
        <x:v>15</x:v>
      </x:c>
      <x:c r="T883" s="10" t="n">
        <x:v>0.19</x:v>
      </x:c>
      <x:c r="U883" s="7" t="n">
        <x:v>237</x:v>
      </x:c>
      <x:c r="V883" s="7" t="n">
        <x:v>536</x:v>
      </x:c>
    </x:row>
    <x:row r="884" ht="16" customHeight="1">
      <x:c r="A884" s="7" t="n">
        <x:v>881</x:v>
      </x:c>
      <x:c r="B884" s="8" t="n">
        <x:v>46192</x:v>
      </x:c>
      <x:c r="C884" s="7" t="str">
        <x:v>Pearl</x:v>
      </x:c>
      <x:c r="D884" s="7" t="str">
        <x:v>7th</x:v>
      </x:c>
      <x:c r="E884" s="7" t="str">
        <x:v>Neon</x:v>
      </x:c>
      <x:c r="F884" s="7" t="n">
        <x:v>15</x:v>
      </x:c>
      <x:c r="G884" s="7" t="n">
        <x:v>13</x:v>
      </x:c>
      <x:c r="H884" s="7" t="str">
        <x:f>IF(F884&gt;G884,"Win",IF(F884&lt;G884,"Loss","Draw"))</x:f>
        <x:v>Win</x:v>
      </x:c>
      <x:c r="I884" s="7" t="n">
        <x:f>IF(H884="Win",1,0)</x:f>
        <x:v>1</x:v>
      </x:c>
      <x:c r="J884" s="7" t="n">
        <x:f>F884-G884</x:f>
        <x:v>2</x:v>
      </x:c>
      <x:c r="K884" s="7" t="n">
        <x:f>F884+G884</x:f>
        <x:v>28</x:v>
      </x:c>
      <x:c r="L884" s="7" t="n">
        <x:v>18</x:v>
      </x:c>
      <x:c r="M884" s="7" t="n">
        <x:v>21</x:v>
      </x:c>
      <x:c r="N884" s="7" t="n">
        <x:v>5</x:v>
      </x:c>
      <x:c r="O884" s="9" t="n">
        <x:f>IF(M884=0,"n.a.",L884/M884)</x:f>
        <x:v>0.8571428571428571</x:v>
      </x:c>
      <x:c r="P884" s="9" t="n">
        <x:f>IF(K884=0,"n.a.",L884/K884)</x:f>
        <x:v>0.6428571428571429</x:v>
      </x:c>
      <x:c r="Q884" s="9" t="n">
        <x:f>IF(K884=0,"n.a.",M884/K884)</x:f>
        <x:v>0.75</x:v>
      </x:c>
      <x:c r="R884" s="9" t="n">
        <x:f>IF(K884=0,"n.a.",N884/K884)</x:f>
        <x:v>0.17857142857142858</x:v>
      </x:c>
      <x:c r="S884" s="7" t="n">
        <x:v>-28</x:v>
      </x:c>
      <x:c r="T884" s="10" t="n">
        <x:v>0.09</x:v>
      </x:c>
      <x:c r="U884" s="7" t="n">
        <x:v>190</x:v>
      </x:c>
      <x:c r="V884" s="7" t="n">
        <x:v>419</x:v>
      </x:c>
    </x:row>
    <x:row r="885" ht="16" customHeight="1">
      <x:c r="A885" s="7" t="n">
        <x:v>882</x:v>
      </x:c>
      <x:c r="B885" s="8" t="n">
        <x:v>46192</x:v>
      </x:c>
      <x:c r="C885" s="7" t="str">
        <x:v>Haven</x:v>
      </x:c>
      <x:c r="D885" s="7" t="str">
        <x:v>5th</x:v>
      </x:c>
      <x:c r="E885" s="7" t="str">
        <x:v>Neon</x:v>
      </x:c>
      <x:c r="F885" s="7" t="n">
        <x:v>2</x:v>
      </x:c>
      <x:c r="G885" s="7" t="n">
        <x:v>10</x:v>
      </x:c>
      <x:c r="H885" s="7" t="str">
        <x:f>IF(F885&gt;G885,"Win",IF(F885&lt;G885,"Loss","Draw"))</x:f>
        <x:v>Loss</x:v>
      </x:c>
      <x:c r="I885" s="7" t="n">
        <x:f>IF(H885="Win",1,0)</x:f>
        <x:v>0</x:v>
      </x:c>
      <x:c r="J885" s="7" t="n">
        <x:f>F885-G885</x:f>
        <x:v>-8</x:v>
      </x:c>
      <x:c r="K885" s="7" t="n">
        <x:f>F885+G885</x:f>
        <x:v>12</x:v>
      </x:c>
      <x:c r="L885" s="7" t="n">
        <x:v>10</x:v>
      </x:c>
      <x:c r="M885" s="7" t="n">
        <x:v>12</x:v>
      </x:c>
      <x:c r="N885" s="7" t="n">
        <x:v>0</x:v>
      </x:c>
      <x:c r="O885" s="9" t="n">
        <x:f>IF(M885=0,"n.a.",L885/M885)</x:f>
        <x:v>0.8333333333333334</x:v>
      </x:c>
      <x:c r="P885" s="9" t="n">
        <x:f>IF(K885=0,"n.a.",L885/K885)</x:f>
        <x:v>0.8333333333333334</x:v>
      </x:c>
      <x:c r="Q885" s="9" t="n">
        <x:f>IF(K885=0,"n.a.",M885/K885)</x:f>
        <x:v>1</x:v>
      </x:c>
      <x:c r="R885" s="9" t="n">
        <x:f>IF(K885=0,"n.a.",N885/K885)</x:f>
        <x:v>0</x:v>
      </x:c>
      <x:c r="S885" s="7" t="n">
        <x:v>-14</x:v>
      </x:c>
      <x:c r="T885" s="10" t="n">
        <x:v>0.55</x:v>
      </x:c>
      <x:c r="U885" s="7" t="n">
        <x:v>222</x:v>
      </x:c>
      <x:c r="V885" s="7" t="n">
        <x:v>408</x:v>
      </x:c>
    </x:row>
    <x:row r="886" ht="16" customHeight="1">
      <x:c r="A886" s="7" t="n">
        <x:v>883</x:v>
      </x:c>
      <x:c r="B886" s="8" t="n">
        <x:v>46192</x:v>
      </x:c>
      <x:c r="C886" s="7" t="str">
        <x:v>Fracture</x:v>
      </x:c>
      <x:c r="D886" s="7" t="str">
        <x:v>MVP</x:v>
      </x:c>
      <x:c r="E886" s="7" t="str">
        <x:v>Neon</x:v>
      </x:c>
      <x:c r="F886" s="7" t="n">
        <x:v>13</x:v>
      </x:c>
      <x:c r="G886" s="7" t="n">
        <x:v>11</x:v>
      </x:c>
      <x:c r="H886" s="7" t="str">
        <x:f>IF(F886&gt;G886,"Win",IF(F886&lt;G886,"Loss","Draw"))</x:f>
        <x:v>Win</x:v>
      </x:c>
      <x:c r="I886" s="7" t="n">
        <x:f>IF(H886="Win",1,0)</x:f>
        <x:v>1</x:v>
      </x:c>
      <x:c r="J886" s="7" t="n">
        <x:f>F886-G886</x:f>
        <x:v>2</x:v>
      </x:c>
      <x:c r="K886" s="7" t="n">
        <x:f>F886+G886</x:f>
        <x:v>24</x:v>
      </x:c>
      <x:c r="L886" s="7" t="n">
        <x:v>30</x:v>
      </x:c>
      <x:c r="M886" s="7" t="n">
        <x:v>17</x:v>
      </x:c>
      <x:c r="N886" s="7" t="n">
        <x:v>2</x:v>
      </x:c>
      <x:c r="O886" s="9" t="n">
        <x:f>IF(M886=0,"n.a.",L886/M886)</x:f>
        <x:v>1.7647058823529411</x:v>
      </x:c>
      <x:c r="P886" s="9" t="n">
        <x:f>IF(K886=0,"n.a.",L886/K886)</x:f>
        <x:v>1.25</x:v>
      </x:c>
      <x:c r="Q886" s="9" t="n">
        <x:f>IF(K886=0,"n.a.",M886/K886)</x:f>
        <x:v>0.7083333333333334</x:v>
      </x:c>
      <x:c r="R886" s="9" t="n">
        <x:f>IF(K886=0,"n.a.",N886/K886)</x:f>
        <x:v>0.08333333333333333</x:v>
      </x:c>
      <x:c r="S886" s="7" t="n">
        <x:v>87</x:v>
      </x:c>
      <x:c r="T886" s="10" t="n">
        <x:v>0.26</x:v>
      </x:c>
      <x:c r="U886" s="7" t="n">
        <x:v>369</x:v>
      </x:c>
      <x:c r="V886" s="7" t="n">
        <x:v>771</x:v>
      </x:c>
    </x:row>
    <x:row r="887" ht="16" customHeight="1">
      <x:c r="A887" s="7" t="n">
        <x:v>884</x:v>
      </x:c>
      <x:c r="B887" s="8" t="n">
        <x:v>46193</x:v>
      </x:c>
      <x:c r="C887" s="7" t="str">
        <x:v>Ascent</x:v>
      </x:c>
      <x:c r="D887" s="7" t="str">
        <x:v>6th</x:v>
      </x:c>
      <x:c r="E887" s="7" t="str">
        <x:v>Neon</x:v>
      </x:c>
      <x:c r="F887" s="7" t="n">
        <x:v>3</x:v>
      </x:c>
      <x:c r="G887" s="7" t="n">
        <x:v>13</x:v>
      </x:c>
      <x:c r="H887" s="7" t="str">
        <x:f>IF(F887&gt;G887,"Win",IF(F887&lt;G887,"Loss","Draw"))</x:f>
        <x:v>Loss</x:v>
      </x:c>
      <x:c r="I887" s="7" t="n">
        <x:f>IF(H887="Win",1,0)</x:f>
        <x:v>0</x:v>
      </x:c>
      <x:c r="J887" s="7" t="n">
        <x:f>F887-G887</x:f>
        <x:v>-10</x:v>
      </x:c>
      <x:c r="K887" s="7" t="n">
        <x:f>F887+G887</x:f>
        <x:v>16</x:v>
      </x:c>
      <x:c r="L887" s="7" t="n">
        <x:v>11</x:v>
      </x:c>
      <x:c r="M887" s="7" t="n">
        <x:v>15</x:v>
      </x:c>
      <x:c r="N887" s="7" t="n">
        <x:v>2</x:v>
      </x:c>
      <x:c r="O887" s="9" t="n">
        <x:f>IF(M887=0,"n.a.",L887/M887)</x:f>
        <x:v>0.7333333333333333</x:v>
      </x:c>
      <x:c r="P887" s="9" t="n">
        <x:f>IF(K887=0,"n.a.",L887/K887)</x:f>
        <x:v>0.6875</x:v>
      </x:c>
      <x:c r="Q887" s="9" t="n">
        <x:f>IF(K887=0,"n.a.",M887/K887)</x:f>
        <x:v>0.9375</x:v>
      </x:c>
      <x:c r="R887" s="9" t="n">
        <x:f>IF(K887=0,"n.a.",N887/K887)</x:f>
        <x:v>0.125</x:v>
      </x:c>
      <x:c r="S887" s="7" t="n">
        <x:v>-31</x:v>
      </x:c>
      <x:c r="T887" s="10" t="n">
        <x:v>0.24</x:v>
      </x:c>
      <x:c r="U887" s="7" t="n">
        <x:v>202</x:v>
      </x:c>
      <x:c r="V887" s="7" t="n">
        <x:v>371</x:v>
      </x:c>
    </x:row>
    <x:row r="888" ht="16" customHeight="1">
      <x:c r="A888" s="7" t="n">
        <x:v>885</x:v>
      </x:c>
      <x:c r="B888" s="8" t="n">
        <x:v>46193</x:v>
      </x:c>
      <x:c r="C888" s="7" t="str">
        <x:v>Fracture</x:v>
      </x:c>
      <x:c r="D888" s="7" t="str">
        <x:v>7th</x:v>
      </x:c>
      <x:c r="E888" s="7" t="str">
        <x:v>Neon</x:v>
      </x:c>
      <x:c r="F888" s="7" t="n">
        <x:v>11</x:v>
      </x:c>
      <x:c r="G888" s="7" t="n">
        <x:v>13</x:v>
      </x:c>
      <x:c r="H888" s="7" t="str">
        <x:f>IF(F888&gt;G888,"Win",IF(F888&lt;G888,"Loss","Draw"))</x:f>
        <x:v>Loss</x:v>
      </x:c>
      <x:c r="I888" s="7" t="n">
        <x:f>IF(H888="Win",1,0)</x:f>
        <x:v>0</x:v>
      </x:c>
      <x:c r="J888" s="7" t="n">
        <x:f>F888-G888</x:f>
        <x:v>-2</x:v>
      </x:c>
      <x:c r="K888" s="7" t="n">
        <x:f>F888+G888</x:f>
        <x:v>24</x:v>
      </x:c>
      <x:c r="L888" s="7" t="n">
        <x:v>15</x:v>
      </x:c>
      <x:c r="M888" s="7" t="n">
        <x:v>18</x:v>
      </x:c>
      <x:c r="N888" s="7" t="n">
        <x:v>1</x:v>
      </x:c>
      <x:c r="O888" s="9" t="n">
        <x:f>IF(M888=0,"n.a.",L888/M888)</x:f>
        <x:v>0.8333333333333334</x:v>
      </x:c>
      <x:c r="P888" s="9" t="n">
        <x:f>IF(K888=0,"n.a.",L888/K888)</x:f>
        <x:v>0.625</x:v>
      </x:c>
      <x:c r="Q888" s="9" t="n">
        <x:f>IF(K888=0,"n.a.",M888/K888)</x:f>
        <x:v>0.75</x:v>
      </x:c>
      <x:c r="R888" s="9" t="n">
        <x:f>IF(K888=0,"n.a.",N888/K888)</x:f>
        <x:v>0.041666666666666664</x:v>
      </x:c>
      <x:c r="S888" s="7" t="n">
        <x:v>-31</x:v>
      </x:c>
      <x:c r="T888" s="10" t="n">
        <x:v>0.29</x:v>
      </x:c>
      <x:c r="U888" s="7" t="n">
        <x:v>179</x:v>
      </x:c>
      <x:c r="V888" s="7" t="n">
        <x:v>307</x:v>
      </x:c>
    </x:row>
    <x:row r="889" ht="16" customHeight="1">
      <x:c r="A889" s="7" t="n">
        <x:v>886</x:v>
      </x:c>
      <x:c r="B889" s="8" t="n">
        <x:v>46193</x:v>
      </x:c>
      <x:c r="C889" s="7" t="str">
        <x:v>Breeze</x:v>
      </x:c>
      <x:c r="D889" s="7" t="str">
        <x:v>9th</x:v>
      </x:c>
      <x:c r="E889" s="7" t="str">
        <x:v>Neon</x:v>
      </x:c>
      <x:c r="F889" s="7" t="n">
        <x:v>12</x:v>
      </x:c>
      <x:c r="G889" s="7" t="n">
        <x:v>14</x:v>
      </x:c>
      <x:c r="H889" s="7" t="str">
        <x:f>IF(F889&gt;G889,"Win",IF(F889&lt;G889,"Loss","Draw"))</x:f>
        <x:v>Loss</x:v>
      </x:c>
      <x:c r="I889" s="7" t="n">
        <x:f>IF(H889="Win",1,0)</x:f>
        <x:v>0</x:v>
      </x:c>
      <x:c r="J889" s="7" t="n">
        <x:f>F889-G889</x:f>
        <x:v>-2</x:v>
      </x:c>
      <x:c r="K889" s="7" t="n">
        <x:f>F889+G889</x:f>
        <x:v>26</x:v>
      </x:c>
      <x:c r="L889" s="7" t="n">
        <x:v>16</x:v>
      </x:c>
      <x:c r="M889" s="7" t="n">
        <x:v>19</x:v>
      </x:c>
      <x:c r="N889" s="7" t="n">
        <x:v>2</x:v>
      </x:c>
      <x:c r="O889" s="9" t="n">
        <x:f>IF(M889=0,"n.a.",L889/M889)</x:f>
        <x:v>0.8421052631578947</x:v>
      </x:c>
      <x:c r="P889" s="9" t="n">
        <x:f>IF(K889=0,"n.a.",L889/K889)</x:f>
        <x:v>0.6153846153846154</x:v>
      </x:c>
      <x:c r="Q889" s="9" t="n">
        <x:f>IF(K889=0,"n.a.",M889/K889)</x:f>
        <x:v>0.7307692307692307</x:v>
      </x:c>
      <x:c r="R889" s="9" t="n">
        <x:f>IF(K889=0,"n.a.",N889/K889)</x:f>
        <x:v>0.07692307692307693</x:v>
      </x:c>
      <x:c r="S889" s="7" t="n">
        <x:v>-31</x:v>
      </x:c>
      <x:c r="T889" s="10" t="n">
        <x:v>0.38</x:v>
      </x:c>
      <x:c r="U889" s="7" t="n">
        <x:v>163</x:v>
      </x:c>
      <x:c r="V889" s="7" t="n">
        <x:v>300</x:v>
      </x:c>
    </x:row>
    <x:row r="890" ht="16" customHeight="1">
      <x:c r="A890" s="7" t="n">
        <x:v>887</x:v>
      </x:c>
      <x:c r="B890" s="8" t="n">
        <x:v>46193</x:v>
      </x:c>
      <x:c r="C890" s="7" t="str">
        <x:v>Ascent</x:v>
      </x:c>
      <x:c r="D890" s="7" t="str">
        <x:v>3rd</x:v>
      </x:c>
      <x:c r="E890" s="7" t="str">
        <x:v>Neon</x:v>
      </x:c>
      <x:c r="F890" s="7" t="n">
        <x:v>13</x:v>
      </x:c>
      <x:c r="G890" s="7" t="n">
        <x:v>0</x:v>
      </x:c>
      <x:c r="H890" s="7" t="str">
        <x:f>IF(F890&gt;G890,"Win",IF(F890&lt;G890,"Loss","Draw"))</x:f>
        <x:v>Win</x:v>
      </x:c>
      <x:c r="I890" s="7" t="n">
        <x:f>IF(H890="Win",1,0)</x:f>
        <x:v>1</x:v>
      </x:c>
      <x:c r="J890" s="7" t="n">
        <x:f>F890-G890</x:f>
        <x:v>13</x:v>
      </x:c>
      <x:c r="K890" s="7" t="n">
        <x:f>F890+G890</x:f>
        <x:v>13</x:v>
      </x:c>
      <x:c r="L890" s="7" t="n">
        <x:v>12</x:v>
      </x:c>
      <x:c r="M890" s="7" t="n">
        <x:v>7</x:v>
      </x:c>
      <x:c r="N890" s="7" t="n">
        <x:v>3</x:v>
      </x:c>
      <x:c r="O890" s="9" t="n">
        <x:f>IF(M890=0,"n.a.",L890/M890)</x:f>
        <x:v>1.7142857142857142</x:v>
      </x:c>
      <x:c r="P890" s="9" t="n">
        <x:f>IF(K890=0,"n.a.",L890/K890)</x:f>
        <x:v>0.9230769230769231</x:v>
      </x:c>
      <x:c r="Q890" s="9" t="n">
        <x:f>IF(K890=0,"n.a.",M890/K890)</x:f>
        <x:v>0.5384615384615384</x:v>
      </x:c>
      <x:c r="R890" s="9" t="n">
        <x:f>IF(K890=0,"n.a.",N890/K890)</x:f>
        <x:v>0.23076923076923078</x:v>
      </x:c>
      <x:c r="S890" s="7" t="n">
        <x:v>74</x:v>
      </x:c>
      <x:c r="T890" s="10" t="n">
        <x:v>0.32</x:v>
      </x:c>
      <x:c r="U890" s="7" t="n">
        <x:v>235</x:v>
      </x:c>
      <x:c r="V890" s="7" t="n">
        <x:v>867</x:v>
      </x:c>
    </x:row>
    <x:row r="891" ht="16" customHeight="1">
      <x:c r="A891" s="7" t="n">
        <x:v>888</x:v>
      </x:c>
      <x:c r="B891" s="8" t="n">
        <x:v>46194</x:v>
      </x:c>
      <x:c r="C891" s="7" t="str">
        <x:v>Breeze</x:v>
      </x:c>
      <x:c r="D891" s="7" t="str">
        <x:v>10th</x:v>
      </x:c>
      <x:c r="E891" s="7" t="str">
        <x:v>Neon</x:v>
      </x:c>
      <x:c r="F891" s="7" t="n">
        <x:v>5</x:v>
      </x:c>
      <x:c r="G891" s="7" t="n">
        <x:v>13</x:v>
      </x:c>
      <x:c r="H891" s="7" t="str">
        <x:f>IF(F891&gt;G891,"Win",IF(F891&lt;G891,"Loss","Draw"))</x:f>
        <x:v>Loss</x:v>
      </x:c>
      <x:c r="I891" s="7" t="n">
        <x:f>IF(H891="Win",1,0)</x:f>
        <x:v>0</x:v>
      </x:c>
      <x:c r="J891" s="7" t="n">
        <x:f>F891-G891</x:f>
        <x:v>-8</x:v>
      </x:c>
      <x:c r="K891" s="7" t="n">
        <x:f>F891+G891</x:f>
        <x:v>18</x:v>
      </x:c>
      <x:c r="L891" s="7" t="n">
        <x:v>9</x:v>
      </x:c>
      <x:c r="M891" s="7" t="n">
        <x:v>12</x:v>
      </x:c>
      <x:c r="N891" s="7" t="n">
        <x:v>2</x:v>
      </x:c>
      <x:c r="O891" s="9" t="n">
        <x:f>IF(M891=0,"n.a.",L891/M891)</x:f>
        <x:v>0.75</x:v>
      </x:c>
      <x:c r="P891" s="9" t="n">
        <x:f>IF(K891=0,"n.a.",L891/K891)</x:f>
        <x:v>0.5</x:v>
      </x:c>
      <x:c r="Q891" s="9" t="n">
        <x:f>IF(K891=0,"n.a.",M891/K891)</x:f>
        <x:v>0.6666666666666666</x:v>
      </x:c>
      <x:c r="R891" s="9" t="n">
        <x:f>IF(K891=0,"n.a.",N891/K891)</x:f>
        <x:v>0.1111111111111111</x:v>
      </x:c>
      <x:c r="S891" s="7" t="n">
        <x:v>-20</x:v>
      </x:c>
      <x:c r="T891" s="10" t="n">
        <x:v>0.2</x:v>
      </x:c>
      <x:c r="U891" s="7" t="n">
        <x:v>153</x:v>
      </x:c>
      <x:c r="V891" s="7" t="n">
        <x:v>201</x:v>
      </x:c>
    </x:row>
    <x:row r="892" ht="16" customHeight="1">
      <x:c r="A892" s="7" t="n">
        <x:v>889</x:v>
      </x:c>
      <x:c r="B892" s="8" t="n">
        <x:v>46195</x:v>
      </x:c>
      <x:c r="C892" s="7" t="str">
        <x:v>Lotus</x:v>
      </x:c>
      <x:c r="D892" s="7" t="str">
        <x:v>MVP</x:v>
      </x:c>
      <x:c r="E892" s="7" t="str">
        <x:v>Neon</x:v>
      </x:c>
      <x:c r="F892" s="7" t="n">
        <x:v>5</x:v>
      </x:c>
      <x:c r="G892" s="7" t="n">
        <x:v>13</x:v>
      </x:c>
      <x:c r="H892" s="7" t="str">
        <x:f>IF(F892&gt;G892,"Win",IF(F892&lt;G892,"Loss","Draw"))</x:f>
        <x:v>Loss</x:v>
      </x:c>
      <x:c r="I892" s="7" t="n">
        <x:f>IF(H892="Win",1,0)</x:f>
        <x:v>0</x:v>
      </x:c>
      <x:c r="J892" s="7" t="n">
        <x:f>F892-G892</x:f>
        <x:v>-8</x:v>
      </x:c>
      <x:c r="K892" s="7" t="n">
        <x:f>F892+G892</x:f>
        <x:v>18</x:v>
      </x:c>
      <x:c r="L892" s="7" t="n">
        <x:v>24</x:v>
      </x:c>
      <x:c r="M892" s="7" t="n">
        <x:v>15</x:v>
      </x:c>
      <x:c r="N892" s="7" t="n">
        <x:v>2</x:v>
      </x:c>
      <x:c r="O892" s="9" t="n">
        <x:f>IF(M892=0,"n.a.",L892/M892)</x:f>
        <x:v>1.6</x:v>
      </x:c>
      <x:c r="P892" s="9" t="n">
        <x:f>IF(K892=0,"n.a.",L892/K892)</x:f>
        <x:v>1.3333333333333333</x:v>
      </x:c>
      <x:c r="Q892" s="9" t="n">
        <x:f>IF(K892=0,"n.a.",M892/K892)</x:f>
        <x:v>0.8333333333333334</x:v>
      </x:c>
      <x:c r="R892" s="9" t="n">
        <x:f>IF(K892=0,"n.a.",N892/K892)</x:f>
        <x:v>0.1111111111111111</x:v>
      </x:c>
      <x:c r="S892" s="7" t="n">
        <x:v>71</x:v>
      </x:c>
      <x:c r="T892" s="10" t="n">
        <x:v>0.29</x:v>
      </x:c>
      <x:c r="U892" s="7" t="n">
        <x:v>352</x:v>
      </x:c>
      <x:c r="V892" s="7" t="n">
        <x:v>777</x:v>
      </x:c>
    </x:row>
    <x:row r="893" ht="16" customHeight="1">
      <x:c r="A893" s="7" t="n">
        <x:v>890</x:v>
      </x:c>
      <x:c r="B893" s="8" t="n">
        <x:v>46195</x:v>
      </x:c>
      <x:c r="C893" s="7" t="str">
        <x:v>Fracture</x:v>
      </x:c>
      <x:c r="D893" s="7" t="str">
        <x:v>5th</x:v>
      </x:c>
      <x:c r="E893" s="7" t="str">
        <x:v>Neon</x:v>
      </x:c>
      <x:c r="F893" s="7" t="n">
        <x:v>13</x:v>
      </x:c>
      <x:c r="G893" s="7" t="n">
        <x:v>9</x:v>
      </x:c>
      <x:c r="H893" s="7" t="str">
        <x:f>IF(F893&gt;G893,"Win",IF(F893&lt;G893,"Loss","Draw"))</x:f>
        <x:v>Win</x:v>
      </x:c>
      <x:c r="I893" s="7" t="n">
        <x:f>IF(H893="Win",1,0)</x:f>
        <x:v>1</x:v>
      </x:c>
      <x:c r="J893" s="7" t="n">
        <x:f>F893-G893</x:f>
        <x:v>4</x:v>
      </x:c>
      <x:c r="K893" s="7" t="n">
        <x:f>F893+G893</x:f>
        <x:v>22</x:v>
      </x:c>
      <x:c r="L893" s="7" t="n">
        <x:v>16</x:v>
      </x:c>
      <x:c r="M893" s="7" t="n">
        <x:v>17</x:v>
      </x:c>
      <x:c r="N893" s="7" t="n">
        <x:v>4</x:v>
      </x:c>
      <x:c r="O893" s="9" t="n">
        <x:f>IF(M893=0,"n.a.",L893/M893)</x:f>
        <x:v>0.9411764705882353</x:v>
      </x:c>
      <x:c r="P893" s="9" t="n">
        <x:f>IF(K893=0,"n.a.",L893/K893)</x:f>
        <x:v>0.7272727272727273</x:v>
      </x:c>
      <x:c r="Q893" s="9" t="n">
        <x:f>IF(K893=0,"n.a.",M893/K893)</x:f>
        <x:v>0.7727272727272727</x:v>
      </x:c>
      <x:c r="R893" s="9" t="n">
        <x:f>IF(K893=0,"n.a.",N893/K893)</x:f>
        <x:v>0.18181818181818182</x:v>
      </x:c>
      <x:c r="S893" s="7" t="n">
        <x:v>-38</x:v>
      </x:c>
      <x:c r="T893" s="10" t="n">
        <x:v>0.28</x:v>
      </x:c>
      <x:c r="U893" s="7" t="n">
        <x:v>202</x:v>
      </x:c>
      <x:c r="V893" s="7" t="n">
        <x:v>452</x:v>
      </x:c>
    </x:row>
    <x:row r="894" ht="16" customHeight="1">
      <x:c r="A894" s="7" t="n">
        <x:v>891</x:v>
      </x:c>
      <x:c r="B894" s="8" t="n">
        <x:v>46196</x:v>
      </x:c>
      <x:c r="C894" s="7" t="str">
        <x:v>Haven</x:v>
      </x:c>
      <x:c r="D894" s="7" t="str">
        <x:v>7th</x:v>
      </x:c>
      <x:c r="E894" s="7" t="str">
        <x:v>Neon</x:v>
      </x:c>
      <x:c r="F894" s="7" t="n">
        <x:v>13</x:v>
      </x:c>
      <x:c r="G894" s="7" t="n">
        <x:v>11</x:v>
      </x:c>
      <x:c r="H894" s="7" t="str">
        <x:f>IF(F894&gt;G894,"Win",IF(F894&lt;G894,"Loss","Draw"))</x:f>
        <x:v>Win</x:v>
      </x:c>
      <x:c r="I894" s="7" t="n">
        <x:f>IF(H894="Win",1,0)</x:f>
        <x:v>1</x:v>
      </x:c>
      <x:c r="J894" s="7" t="n">
        <x:f>F894-G894</x:f>
        <x:v>2</x:v>
      </x:c>
      <x:c r="K894" s="7" t="n">
        <x:f>F894+G894</x:f>
        <x:v>24</x:v>
      </x:c>
      <x:c r="L894" s="7" t="n">
        <x:v>16</x:v>
      </x:c>
      <x:c r="M894" s="7" t="n">
        <x:v>22</x:v>
      </x:c>
      <x:c r="N894" s="7" t="n">
        <x:v>4</x:v>
      </x:c>
      <x:c r="O894" s="9" t="n">
        <x:f>IF(M894=0,"n.a.",L894/M894)</x:f>
        <x:v>0.7272727272727273</x:v>
      </x:c>
      <x:c r="P894" s="9" t="n">
        <x:f>IF(K894=0,"n.a.",L894/K894)</x:f>
        <x:v>0.6666666666666666</x:v>
      </x:c>
      <x:c r="Q894" s="9" t="n">
        <x:f>IF(K894=0,"n.a.",M894/K894)</x:f>
        <x:v>0.9166666666666666</x:v>
      </x:c>
      <x:c r="R894" s="9" t="n">
        <x:f>IF(K894=0,"n.a.",N894/K894)</x:f>
        <x:v>0.16666666666666666</x:v>
      </x:c>
      <x:c r="S894" s="7" t="n">
        <x:v>-47</x:v>
      </x:c>
      <x:c r="T894" s="10" t="n">
        <x:v>0.3</x:v>
      </x:c>
      <x:c r="U894" s="7" t="n">
        <x:v>192</x:v>
      </x:c>
      <x:c r="V894" s="7" t="n">
        <x:v>372</x:v>
      </x:c>
    </x:row>
    <x:row r="895" ht="16" customHeight="1">
      <x:c r="A895" s="7" t="n">
        <x:v>892</x:v>
      </x:c>
      <x:c r="B895" s="8" t="n">
        <x:v>46196</x:v>
      </x:c>
      <x:c r="C895" s="7" t="str">
        <x:v>Split</x:v>
      </x:c>
      <x:c r="D895" s="7" t="str">
        <x:v>MVP</x:v>
      </x:c>
      <x:c r="E895" s="7" t="str">
        <x:v>Neon</x:v>
      </x:c>
      <x:c r="F895" s="7" t="n">
        <x:v>13</x:v>
      </x:c>
      <x:c r="G895" s="7" t="n">
        <x:v>5</x:v>
      </x:c>
      <x:c r="H895" s="7" t="str">
        <x:f>IF(F895&gt;G895,"Win",IF(F895&lt;G895,"Loss","Draw"))</x:f>
        <x:v>Win</x:v>
      </x:c>
      <x:c r="I895" s="7" t="n">
        <x:f>IF(H895="Win",1,0)</x:f>
        <x:v>1</x:v>
      </x:c>
      <x:c r="J895" s="7" t="n">
        <x:f>F895-G895</x:f>
        <x:v>8</x:v>
      </x:c>
      <x:c r="K895" s="7" t="n">
        <x:f>F895+G895</x:f>
        <x:v>18</x:v>
      </x:c>
      <x:c r="L895" s="7" t="n">
        <x:v>22</x:v>
      </x:c>
      <x:c r="M895" s="7" t="n">
        <x:v>12</x:v>
      </x:c>
      <x:c r="N895" s="7" t="n">
        <x:v>5</x:v>
      </x:c>
      <x:c r="O895" s="9" t="n">
        <x:f>IF(M895=0,"n.a.",L895/M895)</x:f>
        <x:v>1.8333333333333333</x:v>
      </x:c>
      <x:c r="P895" s="9" t="n">
        <x:f>IF(K895=0,"n.a.",L895/K895)</x:f>
        <x:v>1.2222222222222223</x:v>
      </x:c>
      <x:c r="Q895" s="9" t="n">
        <x:f>IF(K895=0,"n.a.",M895/K895)</x:f>
        <x:v>0.6666666666666666</x:v>
      </x:c>
      <x:c r="R895" s="9" t="n">
        <x:f>IF(K895=0,"n.a.",N895/K895)</x:f>
        <x:v>0.2777777777777778</x:v>
      </x:c>
      <x:c r="S895" s="7" t="n">
        <x:v>96</x:v>
      </x:c>
      <x:c r="T895" s="10" t="n">
        <x:v>0.34</x:v>
      </x:c>
      <x:c r="U895" s="7" t="n">
        <x:v>321</x:v>
      </x:c>
      <x:c r="V895" s="7" t="n">
        <x:v>949</x:v>
      </x:c>
    </x:row>
    <x:row r="896" ht="16" customHeight="1">
      <x:c r="A896" s="7" t="n">
        <x:v>893</x:v>
      </x:c>
      <x:c r="B896" s="8" t="n">
        <x:v>46196</x:v>
      </x:c>
      <x:c r="C896" s="7" t="str">
        <x:v>Pearl</x:v>
      </x:c>
      <x:c r="D896" s="7" t="str">
        <x:v>3rd</x:v>
      </x:c>
      <x:c r="E896" s="7" t="str">
        <x:v>Neon</x:v>
      </x:c>
      <x:c r="F896" s="7" t="n">
        <x:v>9</x:v>
      </x:c>
      <x:c r="G896" s="7" t="n">
        <x:v>13</x:v>
      </x:c>
      <x:c r="H896" s="7" t="str">
        <x:f>IF(F896&gt;G896,"Win",IF(F896&lt;G896,"Loss","Draw"))</x:f>
        <x:v>Loss</x:v>
      </x:c>
      <x:c r="I896" s="7" t="n">
        <x:f>IF(H896="Win",1,0)</x:f>
        <x:v>0</x:v>
      </x:c>
      <x:c r="J896" s="7" t="n">
        <x:f>F896-G896</x:f>
        <x:v>-4</x:v>
      </x:c>
      <x:c r="K896" s="7" t="n">
        <x:f>F896+G896</x:f>
        <x:v>22</x:v>
      </x:c>
      <x:c r="L896" s="7" t="n">
        <x:v>20</x:v>
      </x:c>
      <x:c r="M896" s="7" t="n">
        <x:v>18</x:v>
      </x:c>
      <x:c r="N896" s="7" t="n">
        <x:v>5</x:v>
      </x:c>
      <x:c r="O896" s="9" t="n">
        <x:f>IF(M896=0,"n.a.",L896/M896)</x:f>
        <x:v>1.1111111111111112</x:v>
      </x:c>
      <x:c r="P896" s="9" t="n">
        <x:f>IF(K896=0,"n.a.",L896/K896)</x:f>
        <x:v>0.9090909090909091</x:v>
      </x:c>
      <x:c r="Q896" s="9" t="n">
        <x:f>IF(K896=0,"n.a.",M896/K896)</x:f>
        <x:v>0.8181818181818182</x:v>
      </x:c>
      <x:c r="R896" s="9" t="n">
        <x:f>IF(K896=0,"n.a.",N896/K896)</x:f>
        <x:v>0.22727272727272727</x:v>
      </x:c>
      <x:c r="S896" s="7" t="n">
        <x:v>28</x:v>
      </x:c>
      <x:c r="T896" s="10" t="n">
        <x:v>0.37</x:v>
      </x:c>
      <x:c r="U896" s="7" t="n">
        <x:v>267</x:v>
      </x:c>
      <x:c r="V896" s="7" t="n">
        <x:v>713</x:v>
      </x:c>
    </x:row>
    <x:row r="897" ht="16" customHeight="1">
      <x:c r="A897" s="7" t="n">
        <x:v>894</x:v>
      </x:c>
      <x:c r="B897" s="8" t="n">
        <x:v>46196</x:v>
      </x:c>
      <x:c r="C897" s="7" t="str">
        <x:v>Breeze</x:v>
      </x:c>
      <x:c r="D897" s="7" t="str">
        <x:v>3rd</x:v>
      </x:c>
      <x:c r="E897" s="7" t="str">
        <x:v>Neon</x:v>
      </x:c>
      <x:c r="F897" s="7" t="n">
        <x:v>13</x:v>
      </x:c>
      <x:c r="G897" s="7" t="n">
        <x:v>11</x:v>
      </x:c>
      <x:c r="H897" s="7" t="str">
        <x:f>IF(F897&gt;G897,"Win",IF(F897&lt;G897,"Loss","Draw"))</x:f>
        <x:v>Win</x:v>
      </x:c>
      <x:c r="I897" s="7" t="n">
        <x:f>IF(H897="Win",1,0)</x:f>
        <x:v>1</x:v>
      </x:c>
      <x:c r="J897" s="7" t="n">
        <x:f>F897-G897</x:f>
        <x:v>2</x:v>
      </x:c>
      <x:c r="K897" s="7" t="n">
        <x:f>F897+G897</x:f>
        <x:v>24</x:v>
      </x:c>
      <x:c r="L897" s="7" t="n">
        <x:v>18</x:v>
      </x:c>
      <x:c r="M897" s="7" t="n">
        <x:v>16</x:v>
      </x:c>
      <x:c r="N897" s="7" t="n">
        <x:v>6</x:v>
      </x:c>
      <x:c r="O897" s="9" t="n">
        <x:f>IF(M897=0,"n.a.",L897/M897)</x:f>
        <x:v>1.125</x:v>
      </x:c>
      <x:c r="P897" s="9" t="n">
        <x:f>IF(K897=0,"n.a.",L897/K897)</x:f>
        <x:v>0.75</x:v>
      </x:c>
      <x:c r="Q897" s="9" t="n">
        <x:f>IF(K897=0,"n.a.",M897/K897)</x:f>
        <x:v>0.6666666666666666</x:v>
      </x:c>
      <x:c r="R897" s="9" t="n">
        <x:f>IF(K897=0,"n.a.",N897/K897)</x:f>
        <x:v>0.25</x:v>
      </x:c>
      <x:c r="S897" s="7" t="n">
        <x:v>26</x:v>
      </x:c>
      <x:c r="T897" s="10" t="n">
        <x:v>0.31</x:v>
      </x:c>
      <x:c r="U897" s="7" t="n">
        <x:v>226</x:v>
      </x:c>
      <x:c r="V897" s="7" t="n">
        <x:v>601</x:v>
      </x:c>
    </x:row>
    <x:row r="898" ht="16" customHeight="1">
      <x:c r="A898" s="7" t="n">
        <x:v>895</x:v>
      </x:c>
      <x:c r="B898" s="8" t="n">
        <x:v>46197</x:v>
      </x:c>
      <x:c r="C898" s="7" t="str">
        <x:v>Lotus</x:v>
      </x:c>
      <x:c r="D898" s="7" t="str">
        <x:v>7th</x:v>
      </x:c>
      <x:c r="E898" s="7" t="str">
        <x:v>Neon</x:v>
      </x:c>
      <x:c r="F898" s="7" t="n">
        <x:v>11</x:v>
      </x:c>
      <x:c r="G898" s="7" t="n">
        <x:v>13</x:v>
      </x:c>
      <x:c r="H898" s="7" t="str">
        <x:f>IF(F898&gt;G898,"Win",IF(F898&lt;G898,"Loss","Draw"))</x:f>
        <x:v>Loss</x:v>
      </x:c>
      <x:c r="I898" s="7" t="n">
        <x:f>IF(H898="Win",1,0)</x:f>
        <x:v>0</x:v>
      </x:c>
      <x:c r="J898" s="7" t="n">
        <x:f>F898-G898</x:f>
        <x:v>-2</x:v>
      </x:c>
      <x:c r="K898" s="7" t="n">
        <x:f>F898+G898</x:f>
        <x:v>24</x:v>
      </x:c>
      <x:c r="L898" s="7" t="n">
        <x:v>17</x:v>
      </x:c>
      <x:c r="M898" s="7" t="n">
        <x:v>18</x:v>
      </x:c>
      <x:c r="N898" s="7" t="n">
        <x:v>2</x:v>
      </x:c>
      <x:c r="O898" s="9" t="n">
        <x:f>IF(M898=0,"n.a.",L898/M898)</x:f>
        <x:v>0.9444444444444444</x:v>
      </x:c>
      <x:c r="P898" s="9" t="n">
        <x:f>IF(K898=0,"n.a.",L898/K898)</x:f>
        <x:v>0.7083333333333334</x:v>
      </x:c>
      <x:c r="Q898" s="9" t="n">
        <x:f>IF(K898=0,"n.a.",M898/K898)</x:f>
        <x:v>0.75</x:v>
      </x:c>
      <x:c r="R898" s="9" t="n">
        <x:f>IF(K898=0,"n.a.",N898/K898)</x:f>
        <x:v>0.08333333333333333</x:v>
      </x:c>
      <x:c r="S898" s="7" t="n">
        <x:v>-28</x:v>
      </x:c>
      <x:c r="T898" s="10" t="n">
        <x:v>0.27</x:v>
      </x:c>
      <x:c r="U898" s="7" t="n">
        <x:v>195</x:v>
      </x:c>
      <x:c r="V898" s="7" t="n">
        <x:v>343</x:v>
      </x:c>
    </x:row>
    <x:row r="899" ht="16" customHeight="1">
      <x:c r="A899" s="7" t="n">
        <x:v>896</x:v>
      </x:c>
      <x:c r="B899" s="8" t="n">
        <x:v>46197</x:v>
      </x:c>
      <x:c r="C899" s="7" t="str">
        <x:v>Ascent</x:v>
      </x:c>
      <x:c r="D899" s="7" t="str">
        <x:v>3rd</x:v>
      </x:c>
      <x:c r="E899" s="7" t="str">
        <x:v>Neon</x:v>
      </x:c>
      <x:c r="F899" s="7" t="n">
        <x:v>6</x:v>
      </x:c>
      <x:c r="G899" s="7" t="n">
        <x:v>13</x:v>
      </x:c>
      <x:c r="H899" s="7" t="str">
        <x:f>IF(F899&gt;G899,"Win",IF(F899&lt;G899,"Loss","Draw"))</x:f>
        <x:v>Loss</x:v>
      </x:c>
      <x:c r="I899" s="7" t="n">
        <x:f>IF(H899="Win",1,0)</x:f>
        <x:v>0</x:v>
      </x:c>
      <x:c r="J899" s="7" t="n">
        <x:f>F899-G899</x:f>
        <x:v>-7</x:v>
      </x:c>
      <x:c r="K899" s="7" t="n">
        <x:f>F899+G899</x:f>
        <x:v>19</x:v>
      </x:c>
      <x:c r="L899" s="7" t="n">
        <x:v>17</x:v>
      </x:c>
      <x:c r="M899" s="7" t="n">
        <x:v>16</x:v>
      </x:c>
      <x:c r="N899" s="7" t="n">
        <x:v>2</x:v>
      </x:c>
      <x:c r="O899" s="9" t="n">
        <x:f>IF(M899=0,"n.a.",L899/M899)</x:f>
        <x:v>1.0625</x:v>
      </x:c>
      <x:c r="P899" s="9" t="n">
        <x:f>IF(K899=0,"n.a.",L899/K899)</x:f>
        <x:v>0.8947368421052632</x:v>
      </x:c>
      <x:c r="Q899" s="9" t="n">
        <x:f>IF(K899=0,"n.a.",M899/K899)</x:f>
        <x:v>0.8421052631578947</x:v>
      </x:c>
      <x:c r="R899" s="9" t="n">
        <x:f>IF(K899=0,"n.a.",N899/K899)</x:f>
        <x:v>0.10526315789473684</x:v>
      </x:c>
      <x:c r="S899" s="7" t="n">
        <x:v>-14</x:v>
      </x:c>
      <x:c r="T899" s="10" t="n">
        <x:v>0.35</x:v>
      </x:c>
      <x:c r="U899" s="7" t="n">
        <x:v>233</x:v>
      </x:c>
      <x:c r="V899" s="7" t="n">
        <x:v>396</x:v>
      </x:c>
    </x:row>
    <x:row r="900" ht="16" customHeight="1">
      <x:c r="A900" s="7" t="n">
        <x:v>897</x:v>
      </x:c>
      <x:c r="B900" s="8" t="n">
        <x:v>46197</x:v>
      </x:c>
      <x:c r="C900" s="7" t="str">
        <x:v>Summit</x:v>
      </x:c>
      <x:c r="D900" s="7" t="str">
        <x:v>6th</x:v>
      </x:c>
      <x:c r="E900" s="7" t="str">
        <x:v>Neon</x:v>
      </x:c>
      <x:c r="F900" s="7" t="n">
        <x:v>5</x:v>
      </x:c>
      <x:c r="G900" s="7" t="n">
        <x:v>13</x:v>
      </x:c>
      <x:c r="H900" s="7" t="str">
        <x:f>IF(F900&gt;G900,"Win",IF(F900&lt;G900,"Loss","Draw"))</x:f>
        <x:v>Loss</x:v>
      </x:c>
      <x:c r="I900" s="7" t="n">
        <x:f>IF(H900="Win",1,0)</x:f>
        <x:v>0</x:v>
      </x:c>
      <x:c r="J900" s="7" t="n">
        <x:f>F900-G900</x:f>
        <x:v>-8</x:v>
      </x:c>
      <x:c r="K900" s="7" t="n">
        <x:f>F900+G900</x:f>
        <x:v>18</x:v>
      </x:c>
      <x:c r="L900" s="7" t="n">
        <x:v>14</x:v>
      </x:c>
      <x:c r="M900" s="7" t="n">
        <x:v>17</x:v>
      </x:c>
      <x:c r="N900" s="7" t="n">
        <x:v>2</x:v>
      </x:c>
      <x:c r="O900" s="9" t="n">
        <x:f>IF(M900=0,"n.a.",L900/M900)</x:f>
        <x:v>0.8235294117647058</x:v>
      </x:c>
      <x:c r="P900" s="9" t="n">
        <x:f>IF(K900=0,"n.a.",L900/K900)</x:f>
        <x:v>0.7777777777777778</x:v>
      </x:c>
      <x:c r="Q900" s="9" t="n">
        <x:f>IF(K900=0,"n.a.",M900/K900)</x:f>
        <x:v>0.9444444444444444</x:v>
      </x:c>
      <x:c r="R900" s="9" t="n">
        <x:f>IF(K900=0,"n.a.",N900/K900)</x:f>
        <x:v>0.1111111111111111</x:v>
      </x:c>
      <x:c r="S900" s="7" t="n">
        <x:v>-39</x:v>
      </x:c>
      <x:c r="T900" s="10" t="n">
        <x:v>0.38</x:v>
      </x:c>
      <x:c r="U900" s="7" t="n">
        <x:v>201</x:v>
      </x:c>
      <x:c r="V900" s="7" t="n">
        <x:v>340</x:v>
      </x:c>
    </x:row>
    <x:row r="901" ht="16" customHeight="1">
      <x:c r="A901" s="7" t="n">
        <x:v>898</x:v>
      </x:c>
      <x:c r="B901" s="8" t="n">
        <x:v>46197</x:v>
      </x:c>
      <x:c r="C901" s="7" t="str">
        <x:v>Lotus</x:v>
      </x:c>
      <x:c r="D901" s="7" t="str">
        <x:v>9th</x:v>
      </x:c>
      <x:c r="E901" s="7" t="str">
        <x:v>Neon</x:v>
      </x:c>
      <x:c r="F901" s="7" t="n">
        <x:v>13</x:v>
      </x:c>
      <x:c r="G901" s="7" t="n">
        <x:v>8</x:v>
      </x:c>
      <x:c r="H901" s="7" t="str">
        <x:f>IF(F901&gt;G901,"Win",IF(F901&lt;G901,"Loss","Draw"))</x:f>
        <x:v>Win</x:v>
      </x:c>
      <x:c r="I901" s="7" t="n">
        <x:f>IF(H901="Win",1,0)</x:f>
        <x:v>1</x:v>
      </x:c>
      <x:c r="J901" s="7" t="n">
        <x:f>F901-G901</x:f>
        <x:v>5</x:v>
      </x:c>
      <x:c r="K901" s="7" t="n">
        <x:f>F901+G901</x:f>
        <x:v>21</x:v>
      </x:c>
      <x:c r="L901" s="7" t="n">
        <x:v>11</x:v>
      </x:c>
      <x:c r="M901" s="7" t="n">
        <x:v>17</x:v>
      </x:c>
      <x:c r="N901" s="7" t="n">
        <x:v>5</x:v>
      </x:c>
      <x:c r="O901" s="9" t="n">
        <x:f>IF(M901=0,"n.a.",L901/M901)</x:f>
        <x:v>0.6470588235294118</x:v>
      </x:c>
      <x:c r="P901" s="9" t="n">
        <x:f>IF(K901=0,"n.a.",L901/K901)</x:f>
        <x:v>0.5238095238095238</x:v>
      </x:c>
      <x:c r="Q901" s="9" t="n">
        <x:f>IF(K901=0,"n.a.",M901/K901)</x:f>
        <x:v>0.8095238095238095</x:v>
      </x:c>
      <x:c r="R901" s="9" t="n">
        <x:f>IF(K901=0,"n.a.",N901/K901)</x:f>
        <x:v>0.23809523809523808</x:v>
      </x:c>
      <x:c r="S901" s="7" t="n">
        <x:v>-42</x:v>
      </x:c>
      <x:c r="T901" s="10" t="n">
        <x:v>0.27</x:v>
      </x:c>
      <x:c r="U901" s="7" t="n">
        <x:v>151</x:v>
      </x:c>
      <x:c r="V901" s="7" t="n">
        <x:v>378</x:v>
      </x:c>
    </x:row>
    <x:row r="902" ht="16" customHeight="1">
      <x:c r="A902" s="7" t="n">
        <x:v>899</x:v>
      </x:c>
      <x:c r="B902" s="8" t="n">
        <x:v>46197</x:v>
      </x:c>
      <x:c r="C902" s="7" t="str">
        <x:v>Summit</x:v>
      </x:c>
      <x:c r="D902" s="7" t="str">
        <x:v>5th</x:v>
      </x:c>
      <x:c r="E902" s="7" t="str">
        <x:v>Neon</x:v>
      </x:c>
      <x:c r="F902" s="7" t="n">
        <x:v>13</x:v>
      </x:c>
      <x:c r="G902" s="7" t="n">
        <x:v>7</x:v>
      </x:c>
      <x:c r="H902" s="7" t="str">
        <x:f>IF(F902&gt;G902,"Win",IF(F902&lt;G902,"Loss","Draw"))</x:f>
        <x:v>Win</x:v>
      </x:c>
      <x:c r="I902" s="7" t="n">
        <x:f>IF(H902="Win",1,0)</x:f>
        <x:v>1</x:v>
      </x:c>
      <x:c r="J902" s="7" t="n">
        <x:f>F902-G902</x:f>
        <x:v>6</x:v>
      </x:c>
      <x:c r="K902" s="7" t="n">
        <x:f>F902+G902</x:f>
        <x:v>20</x:v>
      </x:c>
      <x:c r="L902" s="7" t="n">
        <x:v>15</x:v>
      </x:c>
      <x:c r="M902" s="7" t="n">
        <x:v>14</x:v>
      </x:c>
      <x:c r="N902" s="7" t="n">
        <x:v>5</x:v>
      </x:c>
      <x:c r="O902" s="9" t="n">
        <x:f>IF(M902=0,"n.a.",L902/M902)</x:f>
        <x:v>1.0714285714285714</x:v>
      </x:c>
      <x:c r="P902" s="9" t="n">
        <x:f>IF(K902=0,"n.a.",L902/K902)</x:f>
        <x:v>0.75</x:v>
      </x:c>
      <x:c r="Q902" s="9" t="n">
        <x:f>IF(K902=0,"n.a.",M902/K902)</x:f>
        <x:v>0.7</x:v>
      </x:c>
      <x:c r="R902" s="9" t="n">
        <x:f>IF(K902=0,"n.a.",N902/K902)</x:f>
        <x:v>0.25</x:v>
      </x:c>
      <x:c r="S902" s="7" t="n">
        <x:v>34</x:v>
      </x:c>
      <x:c r="T902" s="10" t="n">
        <x:v>0.38</x:v>
      </x:c>
      <x:c r="U902" s="7" t="n">
        <x:v>232</x:v>
      </x:c>
      <x:c r="V902" s="7" t="n">
        <x:v>644</x:v>
      </x:c>
    </x:row>
    <x:row r="903" ht="16" customHeight="1">
      <x:c r="A903" s="7" t="n">
        <x:v>900</x:v>
      </x:c>
      <x:c r="B903" s="8" t="n">
        <x:v>46198</x:v>
      </x:c>
      <x:c r="C903" s="7" t="str">
        <x:v>Lotus</x:v>
      </x:c>
      <x:c r="D903" s="7" t="str">
        <x:v>3rd</x:v>
      </x:c>
      <x:c r="E903" s="7" t="str">
        <x:v>Neon</x:v>
      </x:c>
      <x:c r="F903" s="7" t="n">
        <x:v>12</x:v>
      </x:c>
      <x:c r="G903" s="7" t="n">
        <x:v>14</x:v>
      </x:c>
      <x:c r="H903" s="7" t="str">
        <x:f>IF(F903&gt;G903,"Win",IF(F903&lt;G903,"Loss","Draw"))</x:f>
        <x:v>Loss</x:v>
      </x:c>
      <x:c r="I903" s="7" t="n">
        <x:f>IF(H903="Win",1,0)</x:f>
        <x:v>0</x:v>
      </x:c>
      <x:c r="J903" s="7" t="n">
        <x:f>F903-G903</x:f>
        <x:v>-2</x:v>
      </x:c>
      <x:c r="K903" s="7" t="n">
        <x:f>F903+G903</x:f>
        <x:v>26</x:v>
      </x:c>
      <x:c r="L903" s="7" t="n">
        <x:v>23</x:v>
      </x:c>
      <x:c r="M903" s="7" t="n">
        <x:v>22</x:v>
      </x:c>
      <x:c r="N903" s="7" t="n">
        <x:v>6</x:v>
      </x:c>
      <x:c r="O903" s="9" t="n">
        <x:f>IF(M903=0,"n.a.",L903/M903)</x:f>
        <x:v>1.0454545454545454</x:v>
      </x:c>
      <x:c r="P903" s="9" t="n">
        <x:f>IF(K903=0,"n.a.",L903/K903)</x:f>
        <x:v>0.8846153846153846</x:v>
      </x:c>
      <x:c r="Q903" s="9" t="n">
        <x:f>IF(K903=0,"n.a.",M903/K903)</x:f>
        <x:v>0.8461538461538461</x:v>
      </x:c>
      <x:c r="R903" s="9" t="n">
        <x:f>IF(K903=0,"n.a.",N903/K903)</x:f>
        <x:v>0.23076923076923078</x:v>
      </x:c>
      <x:c r="S903" s="7" t="n">
        <x:v>-19</x:v>
      </x:c>
      <x:c r="T903" s="10" t="n">
        <x:v>0.25</x:v>
      </x:c>
      <x:c r="U903" s="7" t="n">
        <x:v>252</x:v>
      </x:c>
      <x:c r="V903" s="7" t="n">
        <x:v>587</x:v>
      </x:c>
    </x:row>
    <x:row r="904" ht="16" customHeight="1">
      <x:c r="A904" s="7" t="n">
        <x:v>901</x:v>
      </x:c>
      <x:c r="B904" s="8" t="n">
        <x:v>46198</x:v>
      </x:c>
      <x:c r="C904" s="7" t="str">
        <x:v>Sunset</x:v>
      </x:c>
      <x:c r="D904" s="7" t="str">
        <x:v>2nd</x:v>
      </x:c>
      <x:c r="E904" s="7" t="str">
        <x:v>Neon</x:v>
      </x:c>
      <x:c r="F904" s="7" t="n">
        <x:v>13</x:v>
      </x:c>
      <x:c r="G904" s="7" t="n">
        <x:v>4</x:v>
      </x:c>
      <x:c r="H904" s="7" t="str">
        <x:f>IF(F904&gt;G904,"Win",IF(F904&lt;G904,"Loss","Draw"))</x:f>
        <x:v>Win</x:v>
      </x:c>
      <x:c r="I904" s="7" t="n">
        <x:f>IF(H904="Win",1,0)</x:f>
        <x:v>1</x:v>
      </x:c>
      <x:c r="J904" s="7" t="n">
        <x:f>F904-G904</x:f>
        <x:v>9</x:v>
      </x:c>
      <x:c r="K904" s="7" t="n">
        <x:f>F904+G904</x:f>
        <x:v>17</x:v>
      </x:c>
      <x:c r="L904" s="7" t="n">
        <x:v>24</x:v>
      </x:c>
      <x:c r="M904" s="7" t="n">
        <x:v>11</x:v>
      </x:c>
      <x:c r="N904" s="7" t="n">
        <x:v>2</x:v>
      </x:c>
      <x:c r="O904" s="9" t="n">
        <x:f>IF(M904=0,"n.a.",L904/M904)</x:f>
        <x:v>2.1818181818181817</x:v>
      </x:c>
      <x:c r="P904" s="9" t="n">
        <x:f>IF(K904=0,"n.a.",L904/K904)</x:f>
        <x:v>1.411764705882353</x:v>
      </x:c>
      <x:c r="Q904" s="9" t="n">
        <x:f>IF(K904=0,"n.a.",M904/K904)</x:f>
        <x:v>0.6470588235294118</x:v>
      </x:c>
      <x:c r="R904" s="9" t="n">
        <x:f>IF(K904=0,"n.a.",N904/K904)</x:f>
        <x:v>0.11764705882352941</x:v>
      </x:c>
      <x:c r="S904" s="7" t="n">
        <x:v>92</x:v>
      </x:c>
      <x:c r="T904" s="10" t="n">
        <x:v>0.31</x:v>
      </x:c>
      <x:c r="U904" s="7" t="n">
        <x:v>380</x:v>
      </x:c>
      <x:c r="V904" s="7" t="n">
        <x:v>950</x:v>
      </x:c>
    </x:row>
    <x:row r="905" ht="16" customHeight="1">
      <x:c r="A905" s="7" t="n">
        <x:v>902</x:v>
      </x:c>
      <x:c r="B905" s="8" t="n">
        <x:v>46198</x:v>
      </x:c>
      <x:c r="C905" s="7" t="str">
        <x:v>Haven</x:v>
      </x:c>
      <x:c r="D905" s="7" t="str">
        <x:v>MVP</x:v>
      </x:c>
      <x:c r="E905" s="7" t="str">
        <x:v>Neon</x:v>
      </x:c>
      <x:c r="F905" s="7" t="n">
        <x:v>12</x:v>
      </x:c>
      <x:c r="G905" s="7" t="n">
        <x:v>14</x:v>
      </x:c>
      <x:c r="H905" s="7" t="str">
        <x:f>IF(F905&gt;G905,"Win",IF(F905&lt;G905,"Loss","Draw"))</x:f>
        <x:v>Loss</x:v>
      </x:c>
      <x:c r="I905" s="7" t="n">
        <x:f>IF(H905="Win",1,0)</x:f>
        <x:v>0</x:v>
      </x:c>
      <x:c r="J905" s="7" t="n">
        <x:f>F905-G905</x:f>
        <x:v>-2</x:v>
      </x:c>
      <x:c r="K905" s="7" t="n">
        <x:f>F905+G905</x:f>
        <x:v>26</x:v>
      </x:c>
      <x:c r="L905" s="7" t="n">
        <x:v>24</x:v>
      </x:c>
      <x:c r="M905" s="7" t="n">
        <x:v>18</x:v>
      </x:c>
      <x:c r="N905" s="7" t="n">
        <x:v>1</x:v>
      </x:c>
      <x:c r="O905" s="9" t="n">
        <x:f>IF(M905=0,"n.a.",L905/M905)</x:f>
        <x:v>1.3333333333333333</x:v>
      </x:c>
      <x:c r="P905" s="9" t="n">
        <x:f>IF(K905=0,"n.a.",L905/K905)</x:f>
        <x:v>0.9230769230769231</x:v>
      </x:c>
      <x:c r="Q905" s="9" t="n">
        <x:f>IF(K905=0,"n.a.",M905/K905)</x:f>
        <x:v>0.6923076923076923</x:v>
      </x:c>
      <x:c r="R905" s="9" t="n">
        <x:f>IF(K905=0,"n.a.",N905/K905)</x:f>
        <x:v>0.038461538461538464</x:v>
      </x:c>
      <x:c r="S905" s="7" t="n">
        <x:v>37</x:v>
      </x:c>
      <x:c r="T905" s="10" t="n">
        <x:v>0.32</x:v>
      </x:c>
      <x:c r="U905" s="7" t="n">
        <x:v>269</x:v>
      </x:c>
      <x:c r="V905" s="7" t="n">
        <x:v>556</x:v>
      </x:c>
    </x:row>
    <x:row r="906" ht="16" customHeight="1">
      <x:c r="A906" s="7" t="n">
        <x:v>903</x:v>
      </x:c>
      <x:c r="B906" s="8" t="n">
        <x:v>46198</x:v>
      </x:c>
      <x:c r="C906" s="7" t="str">
        <x:v>Haven</x:v>
      </x:c>
      <x:c r="D906" s="7" t="str">
        <x:v>MVP</x:v>
      </x:c>
      <x:c r="E906" s="7" t="str">
        <x:v>Neon</x:v>
      </x:c>
      <x:c r="F906" s="7" t="n">
        <x:v>10</x:v>
      </x:c>
      <x:c r="G906" s="7" t="n">
        <x:v>13</x:v>
      </x:c>
      <x:c r="H906" s="7" t="str">
        <x:f>IF(F906&gt;G906,"Win",IF(F906&lt;G906,"Loss","Draw"))</x:f>
        <x:v>Loss</x:v>
      </x:c>
      <x:c r="I906" s="7" t="n">
        <x:f>IF(H906="Win",1,0)</x:f>
        <x:v>0</x:v>
      </x:c>
      <x:c r="J906" s="7" t="n">
        <x:f>F906-G906</x:f>
        <x:v>-3</x:v>
      </x:c>
      <x:c r="K906" s="7" t="n">
        <x:f>F906+G906</x:f>
        <x:v>23</x:v>
      </x:c>
      <x:c r="L906" s="7" t="n">
        <x:v>42</x:v>
      </x:c>
      <x:c r="M906" s="7" t="n">
        <x:v>15</x:v>
      </x:c>
      <x:c r="N906" s="7" t="n">
        <x:v>6</x:v>
      </x:c>
      <x:c r="O906" s="9" t="n">
        <x:f>IF(M906=0,"n.a.",L906/M906)</x:f>
        <x:v>2.8</x:v>
      </x:c>
      <x:c r="P906" s="9" t="n">
        <x:f>IF(K906=0,"n.a.",L906/K906)</x:f>
        <x:v>1.826086956521739</x:v>
      </x:c>
      <x:c r="Q906" s="9" t="n">
        <x:f>IF(K906=0,"n.a.",M906/K906)</x:f>
        <x:v>0.6521739130434783</x:v>
      </x:c>
      <x:c r="R906" s="9" t="n">
        <x:f>IF(K906=0,"n.a.",N906/K906)</x:f>
        <x:v>0.2608695652173913</x:v>
      </x:c>
      <x:c r="S906" s="7" t="n">
        <x:v>191</x:v>
      </x:c>
      <x:c r="T906" s="10" t="n">
        <x:v>0.23</x:v>
      </x:c>
      <x:c r="U906" s="7" t="n">
        <x:v>535</x:v>
      </x:c>
      <x:c r="V906" s="7" t="n">
        <x:v>911</x:v>
      </x:c>
    </x:row>
    <x:row r="907" ht="16" customHeight="1">
      <x:c r="A907" s="7" t="n">
        <x:v>904</x:v>
      </x:c>
      <x:c r="B907" s="8" t="n">
        <x:v>46198</x:v>
      </x:c>
      <x:c r="C907" s="7" t="str">
        <x:v>Split</x:v>
      </x:c>
      <x:c r="D907" s="7" t="str">
        <x:v>MVP</x:v>
      </x:c>
      <x:c r="E907" s="7" t="str">
        <x:v>Neon</x:v>
      </x:c>
      <x:c r="F907" s="7" t="n">
        <x:v>14</x:v>
      </x:c>
      <x:c r="G907" s="7" t="n">
        <x:v>12</x:v>
      </x:c>
      <x:c r="H907" s="7" t="str">
        <x:f>IF(F907&gt;G907,"Win",IF(F907&lt;G907,"Loss","Draw"))</x:f>
        <x:v>Win</x:v>
      </x:c>
      <x:c r="I907" s="7" t="n">
        <x:f>IF(H907="Win",1,0)</x:f>
        <x:v>1</x:v>
      </x:c>
      <x:c r="J907" s="7" t="n">
        <x:f>F907-G907</x:f>
        <x:v>2</x:v>
      </x:c>
      <x:c r="K907" s="7" t="n">
        <x:f>F907+G907</x:f>
        <x:v>26</x:v>
      </x:c>
      <x:c r="L907" s="7" t="n">
        <x:v>24</x:v>
      </x:c>
      <x:c r="M907" s="7" t="n">
        <x:v>24</x:v>
      </x:c>
      <x:c r="N907" s="7" t="n">
        <x:v>5</x:v>
      </x:c>
      <x:c r="O907" s="9" t="n">
        <x:f>IF(M907=0,"n.a.",L907/M907)</x:f>
        <x:v>1</x:v>
      </x:c>
      <x:c r="P907" s="9" t="n">
        <x:f>IF(K907=0,"n.a.",L907/K907)</x:f>
        <x:v>0.9230769230769231</x:v>
      </x:c>
      <x:c r="Q907" s="9" t="n">
        <x:f>IF(K907=0,"n.a.",M907/K907)</x:f>
        <x:v>0.9230769230769231</x:v>
      </x:c>
      <x:c r="R907" s="9" t="n">
        <x:f>IF(K907=0,"n.a.",N907/K907)</x:f>
        <x:v>0.19230769230769232</x:v>
      </x:c>
      <x:c r="S907" s="7" t="n">
        <x:v>-3</x:v>
      </x:c>
      <x:c r="T907" s="10" t="n">
        <x:v>0.28</x:v>
      </x:c>
      <x:c r="U907" s="7" t="n">
        <x:v>262</x:v>
      </x:c>
      <x:c r="V907" s="7" t="n">
        <x:v>630</x:v>
      </x:c>
    </x:row>
    <x:row r="908" ht="16" customHeight="1">
      <x:c r="A908" s="7" t="n">
        <x:v>905</x:v>
      </x:c>
      <x:c r="B908" s="8" t="n">
        <x:v>46199</x:v>
      </x:c>
      <x:c r="C908" s="7" t="str">
        <x:v>Sunset</x:v>
      </x:c>
      <x:c r="D908" s="7" t="str">
        <x:v>8th</x:v>
      </x:c>
      <x:c r="E908" s="7" t="str">
        <x:v>Neon</x:v>
      </x:c>
      <x:c r="F908" s="7" t="n">
        <x:v>13</x:v>
      </x:c>
      <x:c r="G908" s="7" t="n">
        <x:v>10</x:v>
      </x:c>
      <x:c r="H908" s="7" t="str">
        <x:f>IF(F908&gt;G908,"Win",IF(F908&lt;G908,"Loss","Draw"))</x:f>
        <x:v>Win</x:v>
      </x:c>
      <x:c r="I908" s="7" t="n">
        <x:f>IF(H908="Win",1,0)</x:f>
        <x:v>1</x:v>
      </x:c>
      <x:c r="J908" s="7" t="n">
        <x:f>F908-G908</x:f>
        <x:v>3</x:v>
      </x:c>
      <x:c r="K908" s="7" t="n">
        <x:f>F908+G908</x:f>
        <x:v>23</x:v>
      </x:c>
      <x:c r="L908" s="7" t="n">
        <x:v>16</x:v>
      </x:c>
      <x:c r="M908" s="7" t="n">
        <x:v>17</x:v>
      </x:c>
      <x:c r="N908" s="7" t="n">
        <x:v>2</x:v>
      </x:c>
      <x:c r="O908" s="9" t="n">
        <x:f>IF(M908=0,"n.a.",L908/M908)</x:f>
        <x:v>0.9411764705882353</x:v>
      </x:c>
      <x:c r="P908" s="9" t="n">
        <x:f>IF(K908=0,"n.a.",L908/K908)</x:f>
        <x:v>0.6956521739130435</x:v>
      </x:c>
      <x:c r="Q908" s="9" t="n">
        <x:f>IF(K908=0,"n.a.",M908/K908)</x:f>
        <x:v>0.7391304347826086</x:v>
      </x:c>
      <x:c r="R908" s="9" t="n">
        <x:f>IF(K908=0,"n.a.",N908/K908)</x:f>
        <x:v>0.08695652173913043</x:v>
      </x:c>
      <x:c r="S908" s="7" t="n">
        <x:v>-11</x:v>
      </x:c>
      <x:c r="T908" s="10" t="n">
        <x:v>0.18</x:v>
      </x:c>
      <x:c r="U908" s="7" t="n">
        <x:v>206</x:v>
      </x:c>
      <x:c r="V908" s="7" t="n">
        <x:v>549</x:v>
      </x:c>
    </x:row>
    <x:row r="909" ht="16" customHeight="1">
      <x:c r="A909" s="7" t="n">
        <x:v>906</x:v>
      </x:c>
      <x:c r="B909" s="8" t="n">
        <x:v>46199</x:v>
      </x:c>
      <x:c r="C909" s="7" t="str">
        <x:v>Sunset</x:v>
      </x:c>
      <x:c r="D909" s="7" t="str">
        <x:v>3rd</x:v>
      </x:c>
      <x:c r="E909" s="7" t="str">
        <x:v>Neon</x:v>
      </x:c>
      <x:c r="F909" s="7" t="n">
        <x:v>11</x:v>
      </x:c>
      <x:c r="G909" s="7" t="n">
        <x:v>13</x:v>
      </x:c>
      <x:c r="H909" s="7" t="str">
        <x:f>IF(F909&gt;G909,"Win",IF(F909&lt;G909,"Loss","Draw"))</x:f>
        <x:v>Loss</x:v>
      </x:c>
      <x:c r="I909" s="7" t="n">
        <x:f>IF(H909="Win",1,0)</x:f>
        <x:v>0</x:v>
      </x:c>
      <x:c r="J909" s="7" t="n">
        <x:f>F909-G909</x:f>
        <x:v>-2</x:v>
      </x:c>
      <x:c r="K909" s="7" t="n">
        <x:f>F909+G909</x:f>
        <x:v>24</x:v>
      </x:c>
      <x:c r="L909" s="7" t="n">
        <x:v>21</x:v>
      </x:c>
      <x:c r="M909" s="7" t="n">
        <x:v>20</x:v>
      </x:c>
      <x:c r="N909" s="7" t="n">
        <x:v>4</x:v>
      </x:c>
      <x:c r="O909" s="9" t="n">
        <x:f>IF(M909=0,"n.a.",L909/M909)</x:f>
        <x:v>1.05</x:v>
      </x:c>
      <x:c r="P909" s="9" t="n">
        <x:f>IF(K909=0,"n.a.",L909/K909)</x:f>
        <x:v>0.875</x:v>
      </x:c>
      <x:c r="Q909" s="9" t="n">
        <x:f>IF(K909=0,"n.a.",M909/K909)</x:f>
        <x:v>0.8333333333333334</x:v>
      </x:c>
      <x:c r="R909" s="9" t="n">
        <x:f>IF(K909=0,"n.a.",N909/K909)</x:f>
        <x:v>0.16666666666666666</x:v>
      </x:c>
      <x:c r="S909" s="7" t="n">
        <x:v>17</x:v>
      </x:c>
      <x:c r="T909" s="10" t="n">
        <x:v>0.26</x:v>
      </x:c>
      <x:c r="U909" s="7" t="n">
        <x:v>260</x:v>
      </x:c>
      <x:c r="V909" s="7" t="n">
        <x:v>650</x:v>
      </x:c>
    </x:row>
    <x:row r="910" ht="16" customHeight="1">
      <x:c r="A910" s="7" t="n">
        <x:v>907</x:v>
      </x:c>
      <x:c r="B910" s="8" t="n">
        <x:v>46199</x:v>
      </x:c>
      <x:c r="C910" s="7" t="str">
        <x:v>Split</x:v>
      </x:c>
      <x:c r="D910" s="7" t="str">
        <x:v>3rd</x:v>
      </x:c>
      <x:c r="E910" s="7" t="str">
        <x:v>Neon</x:v>
      </x:c>
      <x:c r="F910" s="7" t="n">
        <x:v>11</x:v>
      </x:c>
      <x:c r="G910" s="7" t="n">
        <x:v>13</x:v>
      </x:c>
      <x:c r="H910" s="7" t="str">
        <x:f>IF(F910&gt;G910,"Win",IF(F910&lt;G910,"Loss","Draw"))</x:f>
        <x:v>Loss</x:v>
      </x:c>
      <x:c r="I910" s="7" t="n">
        <x:f>IF(H910="Win",1,0)</x:f>
        <x:v>0</x:v>
      </x:c>
      <x:c r="J910" s="7" t="n">
        <x:f>F910-G910</x:f>
        <x:v>-2</x:v>
      </x:c>
      <x:c r="K910" s="7" t="n">
        <x:f>F910+G910</x:f>
        <x:v>24</x:v>
      </x:c>
      <x:c r="L910" s="7" t="n">
        <x:v>21</x:v>
      </x:c>
      <x:c r="M910" s="7" t="n">
        <x:v>18</x:v>
      </x:c>
      <x:c r="N910" s="7" t="n">
        <x:v>5</x:v>
      </x:c>
      <x:c r="O910" s="9" t="n">
        <x:f>IF(M910=0,"n.a.",L910/M910)</x:f>
        <x:v>1.1666666666666667</x:v>
      </x:c>
      <x:c r="P910" s="9" t="n">
        <x:f>IF(K910=0,"n.a.",L910/K910)</x:f>
        <x:v>0.875</x:v>
      </x:c>
      <x:c r="Q910" s="9" t="n">
        <x:f>IF(K910=0,"n.a.",M910/K910)</x:f>
        <x:v>0.75</x:v>
      </x:c>
      <x:c r="R910" s="9" t="n">
        <x:f>IF(K910=0,"n.a.",N910/K910)</x:f>
        <x:v>0.20833333333333334</x:v>
      </x:c>
      <x:c r="S910" s="7" t="n">
        <x:v>31</x:v>
      </x:c>
      <x:c r="T910" s="10" t="n">
        <x:v>0.43</x:v>
      </x:c>
      <x:c r="U910" s="7" t="n">
        <x:v>250</x:v>
      </x:c>
      <x:c r="V910" s="7" t="n">
        <x:v>659</x:v>
      </x:c>
    </x:row>
    <x:row r="911" ht="16" customHeight="1">
      <x:c r="A911" s="7" t="n">
        <x:v>908</x:v>
      </x:c>
      <x:c r="B911" s="8" t="n">
        <x:v>46199</x:v>
      </x:c>
      <x:c r="C911" s="7" t="str">
        <x:v>Split</x:v>
      </x:c>
      <x:c r="D911" s="7" t="str">
        <x:v>MVP</x:v>
      </x:c>
      <x:c r="E911" s="7" t="str">
        <x:v>Neon</x:v>
      </x:c>
      <x:c r="F911" s="7" t="n">
        <x:v>13</x:v>
      </x:c>
      <x:c r="G911" s="7" t="n">
        <x:v>4</x:v>
      </x:c>
      <x:c r="H911" s="7" t="str">
        <x:f>IF(F911&gt;G911,"Win",IF(F911&lt;G911,"Loss","Draw"))</x:f>
        <x:v>Win</x:v>
      </x:c>
      <x:c r="I911" s="7" t="n">
        <x:f>IF(H911="Win",1,0)</x:f>
        <x:v>1</x:v>
      </x:c>
      <x:c r="J911" s="7" t="n">
        <x:f>F911-G911</x:f>
        <x:v>9</x:v>
      </x:c>
      <x:c r="K911" s="7" t="n">
        <x:f>F911+G911</x:f>
        <x:v>17</x:v>
      </x:c>
      <x:c r="L911" s="7" t="n">
        <x:v>23</x:v>
      </x:c>
      <x:c r="M911" s="7" t="n">
        <x:v>12</x:v>
      </x:c>
      <x:c r="N911" s="7" t="n">
        <x:v>1</x:v>
      </x:c>
      <x:c r="O911" s="9" t="n">
        <x:f>IF(M911=0,"n.a.",L911/M911)</x:f>
        <x:v>1.9166666666666667</x:v>
      </x:c>
      <x:c r="P911" s="9" t="n">
        <x:f>IF(K911=0,"n.a.",L911/K911)</x:f>
        <x:v>1.3529411764705883</x:v>
      </x:c>
      <x:c r="Q911" s="9" t="n">
        <x:f>IF(K911=0,"n.a.",M911/K911)</x:f>
        <x:v>0.7058823529411765</x:v>
      </x:c>
      <x:c r="R911" s="9" t="n">
        <x:f>IF(K911=0,"n.a.",N911/K911)</x:f>
        <x:v>0.058823529411764705</x:v>
      </x:c>
      <x:c r="S911" s="7" t="n">
        <x:v>72</x:v>
      </x:c>
      <x:c r="T911" s="10" t="n">
        <x:v>0.27</x:v>
      </x:c>
      <x:c r="U911" s="7" t="n">
        <x:v>352</x:v>
      </x:c>
      <x:c r="V911" s="7" t="n">
        <x:v>836</x:v>
      </x:c>
    </x:row>
    <x:row r="912" ht="16" customHeight="1">
      <x:c r="A912" s="7" t="n">
        <x:v>909</x:v>
      </x:c>
      <x:c r="B912" s="8" t="n">
        <x:v>46199</x:v>
      </x:c>
      <x:c r="C912" s="7" t="str">
        <x:v>Lotus</x:v>
      </x:c>
      <x:c r="D912" s="7" t="str">
        <x:v>6th</x:v>
      </x:c>
      <x:c r="E912" s="7" t="str">
        <x:v>Neon</x:v>
      </x:c>
      <x:c r="F912" s="7" t="n">
        <x:v>7</x:v>
      </x:c>
      <x:c r="G912" s="7" t="n">
        <x:v>13</x:v>
      </x:c>
      <x:c r="H912" s="7" t="str">
        <x:f>IF(F912&gt;G912,"Win",IF(F912&lt;G912,"Loss","Draw"))</x:f>
        <x:v>Loss</x:v>
      </x:c>
      <x:c r="I912" s="7" t="n">
        <x:f>IF(H912="Win",1,0)</x:f>
        <x:v>0</x:v>
      </x:c>
      <x:c r="J912" s="7" t="n">
        <x:f>F912-G912</x:f>
        <x:v>-6</x:v>
      </x:c>
      <x:c r="K912" s="7" t="n">
        <x:f>F912+G912</x:f>
        <x:v>20</x:v>
      </x:c>
      <x:c r="L912" s="7" t="n">
        <x:v>16</x:v>
      </x:c>
      <x:c r="M912" s="7" t="n">
        <x:v>17</x:v>
      </x:c>
      <x:c r="N912" s="7" t="n">
        <x:v>1</x:v>
      </x:c>
      <x:c r="O912" s="9" t="n">
        <x:f>IF(M912=0,"n.a.",L912/M912)</x:f>
        <x:v>0.9411764705882353</x:v>
      </x:c>
      <x:c r="P912" s="9" t="n">
        <x:f>IF(K912=0,"n.a.",L912/K912)</x:f>
        <x:v>0.8</x:v>
      </x:c>
      <x:c r="Q912" s="9" t="n">
        <x:f>IF(K912=0,"n.a.",M912/K912)</x:f>
        <x:v>0.85</x:v>
      </x:c>
      <x:c r="R912" s="9" t="n">
        <x:f>IF(K912=0,"n.a.",N912/K912)</x:f>
        <x:v>0.05</x:v>
      </x:c>
      <x:c r="S912" s="7" t="n">
        <x:v>-22</x:v>
      </x:c>
      <x:c r="T912" s="10" t="n">
        <x:v>0.29</x:v>
      </x:c>
      <x:c r="U912" s="7" t="n">
        <x:v>226</x:v>
      </x:c>
      <x:c r="V912" s="7" t="n">
        <x:v>389</x:v>
      </x:c>
    </x:row>
    <x:row r="913" ht="16" customHeight="1">
      <x:c r="A913" s="7" t="n">
        <x:v>910</x:v>
      </x:c>
      <x:c r="B913" s="8" t="n">
        <x:v>46200</x:v>
      </x:c>
      <x:c r="C913" s="7" t="str">
        <x:v>Sunset</x:v>
      </x:c>
      <x:c r="D913" s="7" t="str">
        <x:v>2nd</x:v>
      </x:c>
      <x:c r="E913" s="7" t="str">
        <x:v>Neon</x:v>
      </x:c>
      <x:c r="F913" s="7" t="n">
        <x:v>15</x:v>
      </x:c>
      <x:c r="G913" s="7" t="n">
        <x:v>13</x:v>
      </x:c>
      <x:c r="H913" s="7" t="str">
        <x:f>IF(F913&gt;G913,"Win",IF(F913&lt;G913,"Loss","Draw"))</x:f>
        <x:v>Win</x:v>
      </x:c>
      <x:c r="I913" s="7" t="n">
        <x:f>IF(H913="Win",1,0)</x:f>
        <x:v>1</x:v>
      </x:c>
      <x:c r="J913" s="7" t="n">
        <x:f>F913-G913</x:f>
        <x:v>2</x:v>
      </x:c>
      <x:c r="K913" s="7" t="n">
        <x:f>F913+G913</x:f>
        <x:v>28</x:v>
      </x:c>
      <x:c r="L913" s="7" t="n">
        <x:v>28</x:v>
      </x:c>
      <x:c r="M913" s="7" t="n">
        <x:v>20</x:v>
      </x:c>
      <x:c r="N913" s="7" t="n">
        <x:v>6</x:v>
      </x:c>
      <x:c r="O913" s="9" t="n">
        <x:f>IF(M913=0,"n.a.",L913/M913)</x:f>
        <x:v>1.4</x:v>
      </x:c>
      <x:c r="P913" s="9" t="n">
        <x:f>IF(K913=0,"n.a.",L913/K913)</x:f>
        <x:v>1</x:v>
      </x:c>
      <x:c r="Q913" s="9" t="n">
        <x:f>IF(K913=0,"n.a.",M913/K913)</x:f>
        <x:v>0.7142857142857143</x:v>
      </x:c>
      <x:c r="R913" s="9" t="n">
        <x:f>IF(K913=0,"n.a.",N913/K913)</x:f>
        <x:v>0.21428571428571427</x:v>
      </x:c>
      <x:c r="S913" s="7" t="n">
        <x:v>51</x:v>
      </x:c>
      <x:c r="T913" s="10" t="n">
        <x:v>0.19</x:v>
      </x:c>
      <x:c r="U913" s="7" t="n">
        <x:v>298</x:v>
      </x:c>
      <x:c r="V913" s="7" t="n">
        <x:v>799</x:v>
      </x:c>
    </x:row>
    <x:row r="914" ht="16" customHeight="1">
      <x:c r="A914" s="7" t="n">
        <x:v>911</x:v>
      </x:c>
      <x:c r="B914" s="8" t="n">
        <x:v>46200</x:v>
      </x:c>
      <x:c r="C914" s="7" t="str">
        <x:v>Ascent</x:v>
      </x:c>
      <x:c r="D914" s="7" t="str">
        <x:v>5th</x:v>
      </x:c>
      <x:c r="E914" s="7" t="str">
        <x:v>Neon</x:v>
      </x:c>
      <x:c r="F914" s="7" t="n">
        <x:v>4</x:v>
      </x:c>
      <x:c r="G914" s="7" t="n">
        <x:v>13</x:v>
      </x:c>
      <x:c r="H914" s="7" t="str">
        <x:f>IF(F914&gt;G914,"Win",IF(F914&lt;G914,"Loss","Draw"))</x:f>
        <x:v>Loss</x:v>
      </x:c>
      <x:c r="I914" s="7" t="n">
        <x:f>IF(H914="Win",1,0)</x:f>
        <x:v>0</x:v>
      </x:c>
      <x:c r="J914" s="7" t="n">
        <x:f>F914-G914</x:f>
        <x:v>-9</x:v>
      </x:c>
      <x:c r="K914" s="7" t="n">
        <x:f>F914+G914</x:f>
        <x:v>17</x:v>
      </x:c>
      <x:c r="L914" s="7" t="n">
        <x:v>9</x:v>
      </x:c>
      <x:c r="M914" s="7" t="n">
        <x:v>15</x:v>
      </x:c>
      <x:c r="N914" s="7" t="n">
        <x:v>5</x:v>
      </x:c>
      <x:c r="O914" s="9" t="n">
        <x:f>IF(M914=0,"n.a.",L914/M914)</x:f>
        <x:v>0.6</x:v>
      </x:c>
      <x:c r="P914" s="9" t="n">
        <x:f>IF(K914=0,"n.a.",L914/K914)</x:f>
        <x:v>0.5294117647058824</x:v>
      </x:c>
      <x:c r="Q914" s="9" t="n">
        <x:f>IF(K914=0,"n.a.",M914/K914)</x:f>
        <x:v>0.8823529411764706</x:v>
      </x:c>
      <x:c r="R914" s="9" t="n">
        <x:f>IF(K914=0,"n.a.",N914/K914)</x:f>
        <x:v>0.29411764705882354</x:v>
      </x:c>
      <x:c r="S914" s="7" t="n">
        <x:v>-61</x:v>
      </x:c>
      <x:c r="T914" s="10" t="n">
        <x:v>0.23</x:v>
      </x:c>
      <x:c r="U914" s="7" t="n">
        <x:v>180</x:v>
      </x:c>
      <x:c r="V914" s="7" t="n">
        <x:v>186</x:v>
      </x:c>
    </x:row>
    <x:row r="915" ht="16" customHeight="1">
      <x:c r="A915" s="7" t="n">
        <x:v>912</x:v>
      </x:c>
      <x:c r="B915" s="8" t="n">
        <x:v>46200</x:v>
      </x:c>
      <x:c r="C915" s="7" t="str">
        <x:v>Lotus</x:v>
      </x:c>
      <x:c r="D915" s="7" t="str">
        <x:v>7th</x:v>
      </x:c>
      <x:c r="E915" s="7" t="str">
        <x:v>Yoru</x:v>
      </x:c>
      <x:c r="F915" s="7" t="n">
        <x:v>1</x:v>
      </x:c>
      <x:c r="G915" s="7" t="n">
        <x:v>13</x:v>
      </x:c>
      <x:c r="H915" s="7" t="str">
        <x:f>IF(F915&gt;G915,"Win",IF(F915&lt;G915,"Loss","Draw"))</x:f>
        <x:v>Loss</x:v>
      </x:c>
      <x:c r="I915" s="7" t="n">
        <x:f>IF(H915="Win",1,0)</x:f>
        <x:v>0</x:v>
      </x:c>
      <x:c r="J915" s="7" t="n">
        <x:f>F915-G915</x:f>
        <x:v>-12</x:v>
      </x:c>
      <x:c r="K915" s="7" t="n">
        <x:f>F915+G915</x:f>
        <x:v>14</x:v>
      </x:c>
      <x:c r="L915" s="7" t="n">
        <x:v>8</x:v>
      </x:c>
      <x:c r="M915" s="7" t="n">
        <x:v>14</x:v>
      </x:c>
      <x:c r="N915" s="7" t="n">
        <x:v>1</x:v>
      </x:c>
      <x:c r="O915" s="9" t="n">
        <x:f>IF(M915=0,"n.a.",L915/M915)</x:f>
        <x:v>0.5714285714285714</x:v>
      </x:c>
      <x:c r="P915" s="9" t="n">
        <x:f>IF(K915=0,"n.a.",L915/K915)</x:f>
        <x:v>0.5714285714285714</x:v>
      </x:c>
      <x:c r="Q915" s="9" t="n">
        <x:f>IF(K915=0,"n.a.",M915/K915)</x:f>
        <x:v>1</x:v>
      </x:c>
      <x:c r="R915" s="9" t="n">
        <x:f>IF(K915=0,"n.a.",N915/K915)</x:f>
        <x:v>0.07142857142857142</x:v>
      </x:c>
      <x:c r="S915" s="7" t="n">
        <x:v>-79</x:v>
      </x:c>
      <x:c r="T915" s="10" t="n">
        <x:v>0.5</x:v>
      </x:c>
      <x:c r="U915" s="7" t="n">
        <x:v>149</x:v>
      </x:c>
      <x:c r="V915" s="7" t="n">
        <x:v>100</x:v>
      </x:c>
    </x:row>
    <x:row r="916" ht="16" customHeight="1">
      <x:c r="A916" s="7" t="n">
        <x:v>913</x:v>
      </x:c>
      <x:c r="B916" s="8" t="n">
        <x:v>46200</x:v>
      </x:c>
      <x:c r="C916" s="7" t="str">
        <x:v>Lotus</x:v>
      </x:c>
      <x:c r="D916" s="7" t="str">
        <x:v>2nd</x:v>
      </x:c>
      <x:c r="E916" s="7" t="str">
        <x:v>Brimstone</x:v>
      </x:c>
      <x:c r="F916" s="7" t="n">
        <x:v>14</x:v>
      </x:c>
      <x:c r="G916" s="7" t="n">
        <x:v>16</x:v>
      </x:c>
      <x:c r="H916" s="7" t="str">
        <x:f>IF(F916&gt;G916,"Win",IF(F916&lt;G916,"Loss","Draw"))</x:f>
        <x:v>Loss</x:v>
      </x:c>
      <x:c r="I916" s="7" t="n">
        <x:f>IF(H916="Win",1,0)</x:f>
        <x:v>0</x:v>
      </x:c>
      <x:c r="J916" s="7" t="n">
        <x:f>F916-G916</x:f>
        <x:v>-2</x:v>
      </x:c>
      <x:c r="K916" s="7" t="n">
        <x:f>F916+G916</x:f>
        <x:v>30</x:v>
      </x:c>
      <x:c r="L916" s="7" t="n">
        <x:v>31</x:v>
      </x:c>
      <x:c r="M916" s="7" t="n">
        <x:v>20</x:v>
      </x:c>
      <x:c r="N916" s="7" t="n">
        <x:v>4</x:v>
      </x:c>
      <x:c r="O916" s="9" t="n">
        <x:f>IF(M916=0,"n.a.",L916/M916)</x:f>
        <x:v>1.55</x:v>
      </x:c>
      <x:c r="P916" s="9" t="n">
        <x:f>IF(K916=0,"n.a.",L916/K916)</x:f>
        <x:v>1.0333333333333334</x:v>
      </x:c>
      <x:c r="Q916" s="9" t="n">
        <x:f>IF(K916=0,"n.a.",M916/K916)</x:f>
        <x:v>0.6666666666666666</x:v>
      </x:c>
      <x:c r="R916" s="9" t="n">
        <x:f>IF(K916=0,"n.a.",N916/K916)</x:f>
        <x:v>0.13333333333333333</x:v>
      </x:c>
      <x:c r="S916" s="7" t="n">
        <x:v>49</x:v>
      </x:c>
      <x:c r="T916" s="10" t="n">
        <x:v>0.23</x:v>
      </x:c>
      <x:c r="U916" s="7" t="n">
        <x:v>292</x:v>
      </x:c>
      <x:c r="V916" s="7" t="n">
        <x:v>768</x:v>
      </x:c>
    </x:row>
    <x:row r="917" ht="16" customHeight="1">
      <x:c r="A917" s="7" t="n">
        <x:v>914</x:v>
      </x:c>
      <x:c r="B917" s="8" t="n">
        <x:v>46200</x:v>
      </x:c>
      <x:c r="C917" s="7" t="str">
        <x:v>Summit</x:v>
      </x:c>
      <x:c r="D917" s="7" t="str">
        <x:v>9th</x:v>
      </x:c>
      <x:c r="E917" s="7" t="str">
        <x:v>Neon</x:v>
      </x:c>
      <x:c r="F917" s="7" t="n">
        <x:v>13</x:v>
      </x:c>
      <x:c r="G917" s="7" t="n">
        <x:v>7</x:v>
      </x:c>
      <x:c r="H917" s="7" t="str">
        <x:f>IF(F917&gt;G917,"Win",IF(F917&lt;G917,"Loss","Draw"))</x:f>
        <x:v>Win</x:v>
      </x:c>
      <x:c r="I917" s="7" t="n">
        <x:f>IF(H917="Win",1,0)</x:f>
        <x:v>1</x:v>
      </x:c>
      <x:c r="J917" s="7" t="n">
        <x:f>F917-G917</x:f>
        <x:v>6</x:v>
      </x:c>
      <x:c r="K917" s="7" t="n">
        <x:f>F917+G917</x:f>
        <x:v>20</x:v>
      </x:c>
      <x:c r="L917" s="7" t="n">
        <x:v>8</x:v>
      </x:c>
      <x:c r="M917" s="7" t="n">
        <x:v>18</x:v>
      </x:c>
      <x:c r="N917" s="7" t="n">
        <x:v>3</x:v>
      </x:c>
      <x:c r="O917" s="9" t="n">
        <x:f>IF(M917=0,"n.a.",L917/M917)</x:f>
        <x:v>0.4444444444444444</x:v>
      </x:c>
      <x:c r="P917" s="9" t="n">
        <x:f>IF(K917=0,"n.a.",L917/K917)</x:f>
        <x:v>0.4</x:v>
      </x:c>
      <x:c r="Q917" s="9" t="n">
        <x:f>IF(K917=0,"n.a.",M917/K917)</x:f>
        <x:v>0.9</x:v>
      </x:c>
      <x:c r="R917" s="9" t="n">
        <x:f>IF(K917=0,"n.a.",N917/K917)</x:f>
        <x:v>0.15</x:v>
      </x:c>
      <x:c r="S917" s="7" t="n">
        <x:v>-66</x:v>
      </x:c>
      <x:c r="T917" s="10" t="n">
        <x:v>0.29</x:v>
      </x:c>
      <x:c r="U917" s="7" t="n">
        <x:v>126</x:v>
      </x:c>
      <x:c r="V917" s="7" t="n">
        <x:v>272</x:v>
      </x:c>
    </x:row>
    <x:row r="918" ht="16" customHeight="1">
      <x:c r="A918" s="7" t="n">
        <x:v>915</x:v>
      </x:c>
      <x:c r="B918" s="8" t="n">
        <x:v>46200</x:v>
      </x:c>
      <x:c r="C918" s="7" t="str">
        <x:v>Breeze</x:v>
      </x:c>
      <x:c r="D918" s="7" t="str">
        <x:v>5th</x:v>
      </x:c>
      <x:c r="E918" s="7" t="str">
        <x:v>Neon</x:v>
      </x:c>
      <x:c r="F918" s="7" t="n">
        <x:v>13</x:v>
      </x:c>
      <x:c r="G918" s="7" t="n">
        <x:v>6</x:v>
      </x:c>
      <x:c r="H918" s="7" t="str">
        <x:f>IF(F918&gt;G918,"Win",IF(F918&lt;G918,"Loss","Draw"))</x:f>
        <x:v>Win</x:v>
      </x:c>
      <x:c r="I918" s="7" t="n">
        <x:f>IF(H918="Win",1,0)</x:f>
        <x:v>1</x:v>
      </x:c>
      <x:c r="J918" s="7" t="n">
        <x:f>F918-G918</x:f>
        <x:v>7</x:v>
      </x:c>
      <x:c r="K918" s="7" t="n">
        <x:f>F918+G918</x:f>
        <x:v>19</x:v>
      </x:c>
      <x:c r="L918" s="7" t="n">
        <x:v>12</x:v>
      </x:c>
      <x:c r="M918" s="7" t="n">
        <x:v>14</x:v>
      </x:c>
      <x:c r="N918" s="7" t="n">
        <x:v>5</x:v>
      </x:c>
      <x:c r="O918" s="9" t="n">
        <x:f>IF(M918=0,"n.a.",L918/M918)</x:f>
        <x:v>0.8571428571428571</x:v>
      </x:c>
      <x:c r="P918" s="9" t="n">
        <x:f>IF(K918=0,"n.a.",L918/K918)</x:f>
        <x:v>0.631578947368421</x:v>
      </x:c>
      <x:c r="Q918" s="9" t="n">
        <x:f>IF(K918=0,"n.a.",M918/K918)</x:f>
        <x:v>0.7368421052631579</x:v>
      </x:c>
      <x:c r="R918" s="9" t="n">
        <x:f>IF(K918=0,"n.a.",N918/K918)</x:f>
        <x:v>0.2631578947368421</x:v>
      </x:c>
      <x:c r="S918" s="7" t="n">
        <x:v>-46</x:v>
      </x:c>
      <x:c r="T918" s="10" t="n">
        <x:v>0.18</x:v>
      </x:c>
      <x:c r="U918" s="7" t="n">
        <x:v>181</x:v>
      </x:c>
      <x:c r="V918" s="7" t="n">
        <x:v>364</x:v>
      </x:c>
    </x:row>
    <x:row r="919" ht="16" customHeight="1">
      <x:c r="A919" s="7" t="n">
        <x:v>916</x:v>
      </x:c>
      <x:c r="B919" s="8" t="n">
        <x:v>46200</x:v>
      </x:c>
      <x:c r="C919" s="7" t="str">
        <x:v>Breeze</x:v>
      </x:c>
      <x:c r="D919" s="7" t="str">
        <x:v>4th</x:v>
      </x:c>
      <x:c r="E919" s="7" t="str">
        <x:v>Neon</x:v>
      </x:c>
      <x:c r="F919" s="7" t="n">
        <x:v>14</x:v>
      </x:c>
      <x:c r="G919" s="7" t="n">
        <x:v>14</x:v>
      </x:c>
      <x:c r="H919" s="7" t="str">
        <x:f>IF(F919&gt;G919,"Win",IF(F919&lt;G919,"Loss","Draw"))</x:f>
        <x:v>Draw</x:v>
      </x:c>
      <x:c r="I919" s="7" t="n">
        <x:f>IF(H919="Win",1,0)</x:f>
        <x:v>0</x:v>
      </x:c>
      <x:c r="J919" s="7" t="n">
        <x:f>F919-G919</x:f>
        <x:v>0</x:v>
      </x:c>
      <x:c r="K919" s="7" t="n">
        <x:f>F919+G919</x:f>
        <x:v>28</x:v>
      </x:c>
      <x:c r="L919" s="7" t="n">
        <x:v>21</x:v>
      </x:c>
      <x:c r="M919" s="7" t="n">
        <x:v>19</x:v>
      </x:c>
      <x:c r="N919" s="7" t="n">
        <x:v>3</x:v>
      </x:c>
      <x:c r="O919" s="9" t="n">
        <x:f>IF(M919=0,"n.a.",L919/M919)</x:f>
        <x:v>1.105263157894737</x:v>
      </x:c>
      <x:c r="P919" s="9" t="n">
        <x:f>IF(K919=0,"n.a.",L919/K919)</x:f>
        <x:v>0.75</x:v>
      </x:c>
      <x:c r="Q919" s="9" t="n">
        <x:f>IF(K919=0,"n.a.",M919/K919)</x:f>
        <x:v>0.6785714285714286</x:v>
      </x:c>
      <x:c r="R919" s="9" t="n">
        <x:f>IF(K919=0,"n.a.",N919/K919)</x:f>
        <x:v>0.10714285714285714</x:v>
      </x:c>
      <x:c r="S919" s="7" t="n">
        <x:v>14</x:v>
      </x:c>
      <x:c r="T919" s="10" t="n">
        <x:v>0.2</x:v>
      </x:c>
      <x:c r="U919" s="7" t="n">
        <x:v>221</x:v>
      </x:c>
      <x:c r="V919" s="7" t="n">
        <x:v>527</x:v>
      </x:c>
    </x:row>
    <x:row r="920" ht="16" customHeight="1">
      <x:c r="A920" s="7" t="n">
        <x:v>917</x:v>
      </x:c>
      <x:c r="B920" s="8" t="n">
        <x:v>46201</x:v>
      </x:c>
      <x:c r="C920" s="7" t="str">
        <x:v>Sunset</x:v>
      </x:c>
      <x:c r="D920" s="7" t="str">
        <x:v>MVP</x:v>
      </x:c>
      <x:c r="E920" s="7" t="str">
        <x:v>Jett</x:v>
      </x:c>
      <x:c r="F920" s="7" t="n">
        <x:v>16</x:v>
      </x:c>
      <x:c r="G920" s="7" t="n">
        <x:v>14</x:v>
      </x:c>
      <x:c r="H920" s="7" t="str">
        <x:f>IF(F920&gt;G920,"Win",IF(F920&lt;G920,"Loss","Draw"))</x:f>
        <x:v>Win</x:v>
      </x:c>
      <x:c r="I920" s="7" t="n">
        <x:f>IF(H920="Win",1,0)</x:f>
        <x:v>1</x:v>
      </x:c>
      <x:c r="J920" s="7" t="n">
        <x:f>F920-G920</x:f>
        <x:v>2</x:v>
      </x:c>
      <x:c r="K920" s="7" t="n">
        <x:f>F920+G920</x:f>
        <x:v>30</x:v>
      </x:c>
      <x:c r="L920" s="7" t="n">
        <x:v>33</x:v>
      </x:c>
      <x:c r="M920" s="7" t="n">
        <x:v>23</x:v>
      </x:c>
      <x:c r="N920" s="7" t="n">
        <x:v>7</x:v>
      </x:c>
      <x:c r="O920" s="9" t="n">
        <x:f>IF(M920=0,"n.a.",L920/M920)</x:f>
        <x:v>1.434782608695652</x:v>
      </x:c>
      <x:c r="P920" s="9" t="n">
        <x:f>IF(K920=0,"n.a.",L920/K920)</x:f>
        <x:v>1.1</x:v>
      </x:c>
      <x:c r="Q920" s="9" t="n">
        <x:f>IF(K920=0,"n.a.",M920/K920)</x:f>
        <x:v>0.7666666666666667</x:v>
      </x:c>
      <x:c r="R920" s="9" t="n">
        <x:f>IF(K920=0,"n.a.",N920/K920)</x:f>
        <x:v>0.23333333333333334</x:v>
      </x:c>
      <x:c r="S920" s="7" t="n">
        <x:v>49</x:v>
      </x:c>
      <x:c r="T920" s="10" t="n">
        <x:v>0.27</x:v>
      </x:c>
      <x:c r="U920" s="7" t="n">
        <x:v>306</x:v>
      </x:c>
      <x:c r="V920" s="7" t="n">
        <x:v>825</x:v>
      </x:c>
    </x:row>
    <x:row r="921" ht="16" customHeight="1">
      <x:c r="A921" s="7" t="n">
        <x:v>918</x:v>
      </x:c>
      <x:c r="B921" s="8" t="n">
        <x:v>46201</x:v>
      </x:c>
      <x:c r="C921" s="7" t="str">
        <x:v>Haven</x:v>
      </x:c>
      <x:c r="D921" s="7" t="str">
        <x:v>3rd</x:v>
      </x:c>
      <x:c r="E921" s="7" t="str">
        <x:v>Neon</x:v>
      </x:c>
      <x:c r="F921" s="7" t="n">
        <x:v>6</x:v>
      </x:c>
      <x:c r="G921" s="7" t="n">
        <x:v>13</x:v>
      </x:c>
      <x:c r="H921" s="7" t="str">
        <x:f>IF(F921&gt;G921,"Win",IF(F921&lt;G921,"Loss","Draw"))</x:f>
        <x:v>Loss</x:v>
      </x:c>
      <x:c r="I921" s="7" t="n">
        <x:f>IF(H921="Win",1,0)</x:f>
        <x:v>0</x:v>
      </x:c>
      <x:c r="J921" s="7" t="n">
        <x:f>F921-G921</x:f>
        <x:v>-7</x:v>
      </x:c>
      <x:c r="K921" s="7" t="n">
        <x:f>F921+G921</x:f>
        <x:v>19</x:v>
      </x:c>
      <x:c r="L921" s="7" t="n">
        <x:v>22</x:v>
      </x:c>
      <x:c r="M921" s="7" t="n">
        <x:v>15</x:v>
      </x:c>
      <x:c r="N921" s="7" t="n">
        <x:v>2</x:v>
      </x:c>
      <x:c r="O921" s="9" t="n">
        <x:f>IF(M921=0,"n.a.",L921/M921)</x:f>
        <x:v>1.4666666666666666</x:v>
      </x:c>
      <x:c r="P921" s="9" t="n">
        <x:f>IF(K921=0,"n.a.",L921/K921)</x:f>
        <x:v>1.1578947368421053</x:v>
      </x:c>
      <x:c r="Q921" s="9" t="n">
        <x:f>IF(K921=0,"n.a.",M921/K921)</x:f>
        <x:v>0.7894736842105263</x:v>
      </x:c>
      <x:c r="R921" s="9" t="n">
        <x:f>IF(K921=0,"n.a.",N921/K921)</x:f>
        <x:v>0.10526315789473684</x:v>
      </x:c>
      <x:c r="S921" s="7" t="n">
        <x:v>72</x:v>
      </x:c>
      <x:c r="T921" s="10" t="n">
        <x:v>0.3</x:v>
      </x:c>
      <x:c r="U921" s="7" t="n">
        <x:v>329</x:v>
      </x:c>
      <x:c r="V921" s="7" t="n">
        <x:v>739</x:v>
      </x:c>
    </x:row>
    <x:row r="922" ht="16" customHeight="1">
      <x:c r="A922" s="7" t="n">
        <x:v>919</x:v>
      </x:c>
      <x:c r="B922" s="8" t="n">
        <x:v>46201</x:v>
      </x:c>
      <x:c r="C922" s="7" t="str">
        <x:v>Breeze</x:v>
      </x:c>
      <x:c r="D922" s="7" t="str">
        <x:v>6th</x:v>
      </x:c>
      <x:c r="E922" s="7" t="str">
        <x:v>Neon</x:v>
      </x:c>
      <x:c r="F922" s="7" t="n">
        <x:v>13</x:v>
      </x:c>
      <x:c r="G922" s="7" t="n">
        <x:v>7</x:v>
      </x:c>
      <x:c r="H922" s="7" t="str">
        <x:f>IF(F922&gt;G922,"Win",IF(F922&lt;G922,"Loss","Draw"))</x:f>
        <x:v>Win</x:v>
      </x:c>
      <x:c r="I922" s="7" t="n">
        <x:f>IF(H922="Win",1,0)</x:f>
        <x:v>1</x:v>
      </x:c>
      <x:c r="J922" s="7" t="n">
        <x:f>F922-G922</x:f>
        <x:v>6</x:v>
      </x:c>
      <x:c r="K922" s="7" t="n">
        <x:f>F922+G922</x:f>
        <x:v>20</x:v>
      </x:c>
      <x:c r="L922" s="7" t="n">
        <x:v>14</x:v>
      </x:c>
      <x:c r="M922" s="7" t="n">
        <x:v>13</x:v>
      </x:c>
      <x:c r="N922" s="7" t="n">
        <x:v>4</x:v>
      </x:c>
      <x:c r="O922" s="9" t="n">
        <x:f>IF(M922=0,"n.a.",L922/M922)</x:f>
        <x:v>1.0769230769230769</x:v>
      </x:c>
      <x:c r="P922" s="9" t="n">
        <x:f>IF(K922=0,"n.a.",L922/K922)</x:f>
        <x:v>0.7</x:v>
      </x:c>
      <x:c r="Q922" s="9" t="n">
        <x:f>IF(K922=0,"n.a.",M922/K922)</x:f>
        <x:v>0.65</x:v>
      </x:c>
      <x:c r="R922" s="9" t="n">
        <x:f>IF(K922=0,"n.a.",N922/K922)</x:f>
        <x:v>0.2</x:v>
      </x:c>
      <x:c r="S922" s="7" t="n">
        <x:v>6</x:v>
      </x:c>
      <x:c r="T922" s="10" t="n">
        <x:v>0.25</x:v>
      </x:c>
      <x:c r="U922" s="7" t="n">
        <x:v>211</x:v>
      </x:c>
      <x:c r="V922" s="7" t="n">
        <x:v>704</x:v>
      </x:c>
    </x:row>
    <x:row r="923" ht="16" customHeight="1">
      <x:c r="A923" s="7" t="n">
        <x:v>920</x:v>
      </x:c>
      <x:c r="B923" s="8" t="n">
        <x:v>46201</x:v>
      </x:c>
      <x:c r="C923" s="7" t="str">
        <x:v>Ascent</x:v>
      </x:c>
      <x:c r="D923" s="7" t="str">
        <x:v>8th</x:v>
      </x:c>
      <x:c r="E923" s="7" t="str">
        <x:v>Neon</x:v>
      </x:c>
      <x:c r="F923" s="7" t="n">
        <x:v>3</x:v>
      </x:c>
      <x:c r="G923" s="7" t="n">
        <x:v>11</x:v>
      </x:c>
      <x:c r="H923" s="7" t="str">
        <x:f>IF(F923&gt;G923,"Win",IF(F923&lt;G923,"Loss","Draw"))</x:f>
        <x:v>Loss</x:v>
      </x:c>
      <x:c r="I923" s="7" t="n">
        <x:f>IF(H923="Win",1,0)</x:f>
        <x:v>0</x:v>
      </x:c>
      <x:c r="J923" s="7" t="n">
        <x:f>F923-G923</x:f>
        <x:v>-8</x:v>
      </x:c>
      <x:c r="K923" s="7" t="n">
        <x:f>F923+G923</x:f>
        <x:v>14</x:v>
      </x:c>
      <x:c r="L923" s="7" t="n">
        <x:v>6</x:v>
      </x:c>
      <x:c r="M923" s="7" t="n">
        <x:v>12</x:v>
      </x:c>
      <x:c r="N923" s="7" t="n">
        <x:v>4</x:v>
      </x:c>
      <x:c r="O923" s="9" t="n">
        <x:f>IF(M923=0,"n.a.",L923/M923)</x:f>
        <x:v>0.5</x:v>
      </x:c>
      <x:c r="P923" s="9" t="n">
        <x:f>IF(K923=0,"n.a.",L923/K923)</x:f>
        <x:v>0.42857142857142855</x:v>
      </x:c>
      <x:c r="Q923" s="9" t="n">
        <x:f>IF(K923=0,"n.a.",M923/K923)</x:f>
        <x:v>0.8571428571428571</x:v>
      </x:c>
      <x:c r="R923" s="9" t="n">
        <x:f>IF(K923=0,"n.a.",N923/K923)</x:f>
        <x:v>0.2857142857142857</x:v>
      </x:c>
      <x:c r="S923" s="7" t="n">
        <x:v>-6</x:v>
      </x:c>
      <x:c r="T923" s="10" t="n">
        <x:v>0.32</x:v>
      </x:c>
      <x:c r="U923" s="7" t="n">
        <x:v>186</x:v>
      </x:c>
      <x:c r="V923" s="7" t="n">
        <x:v>284</x:v>
      </x:c>
    </x:row>
    <x:row r="924" ht="16" customHeight="1">
      <x:c r="A924" s="7" t="n">
        <x:v>921</x:v>
      </x:c>
      <x:c r="B924" s="8" t="n">
        <x:v>46201</x:v>
      </x:c>
      <x:c r="C924" s="7" t="str">
        <x:v>Summit</x:v>
      </x:c>
      <x:c r="D924" s="7" t="str">
        <x:v>5th</x:v>
      </x:c>
      <x:c r="E924" s="7" t="str">
        <x:v>Neon</x:v>
      </x:c>
      <x:c r="F924" s="7" t="n">
        <x:v>13</x:v>
      </x:c>
      <x:c r="G924" s="7" t="n">
        <x:v>8</x:v>
      </x:c>
      <x:c r="H924" s="7" t="str">
        <x:f>IF(F924&gt;G924,"Win",IF(F924&lt;G924,"Loss","Draw"))</x:f>
        <x:v>Win</x:v>
      </x:c>
      <x:c r="I924" s="7" t="n">
        <x:f>IF(H924="Win",1,0)</x:f>
        <x:v>1</x:v>
      </x:c>
      <x:c r="J924" s="7" t="n">
        <x:f>F924-G924</x:f>
        <x:v>5</x:v>
      </x:c>
      <x:c r="K924" s="7" t="n">
        <x:f>F924+G924</x:f>
        <x:v>21</x:v>
      </x:c>
      <x:c r="L924" s="7" t="n">
        <x:v>17</x:v>
      </x:c>
      <x:c r="M924" s="7" t="n">
        <x:v>14</x:v>
      </x:c>
      <x:c r="N924" s="7" t="n">
        <x:v>4</x:v>
      </x:c>
      <x:c r="O924" s="9" t="n">
        <x:f>IF(M924=0,"n.a.",L924/M924)</x:f>
        <x:v>1.2142857142857142</x:v>
      </x:c>
      <x:c r="P924" s="9" t="n">
        <x:f>IF(K924=0,"n.a.",L924/K924)</x:f>
        <x:v>0.8095238095238095</x:v>
      </x:c>
      <x:c r="Q924" s="9" t="n">
        <x:f>IF(K924=0,"n.a.",M924/K924)</x:f>
        <x:v>0.6666666666666666</x:v>
      </x:c>
      <x:c r="R924" s="9" t="n">
        <x:f>IF(K924=0,"n.a.",N924/K924)</x:f>
        <x:v>0.19047619047619047</x:v>
      </x:c>
      <x:c r="S924" s="7" t="n">
        <x:v>31</x:v>
      </x:c>
      <x:c r="T924" s="10" t="n">
        <x:v>0.17</x:v>
      </x:c>
      <x:c r="U924" s="7" t="n">
        <x:v>232</x:v>
      </x:c>
      <x:c r="V924" s="7" t="n">
        <x:v>692</x:v>
      </x:c>
    </x:row>
    <x:row r="925" ht="16" customHeight="1">
      <x:c r="A925" s="7" t="n">
        <x:v>922</x:v>
      </x:c>
      <x:c r="B925" s="8" t="n">
        <x:v>46201</x:v>
      </x:c>
      <x:c r="C925" s="7" t="str">
        <x:v>Lotus</x:v>
      </x:c>
      <x:c r="D925" s="7" t="str">
        <x:v>5th</x:v>
      </x:c>
      <x:c r="E925" s="7" t="str">
        <x:v>Neon</x:v>
      </x:c>
      <x:c r="F925" s="7" t="n">
        <x:v>5</x:v>
      </x:c>
      <x:c r="G925" s="7" t="n">
        <x:v>13</x:v>
      </x:c>
      <x:c r="H925" s="7" t="str">
        <x:f>IF(F925&gt;G925,"Win",IF(F925&lt;G925,"Loss","Draw"))</x:f>
        <x:v>Loss</x:v>
      </x:c>
      <x:c r="I925" s="7" t="n">
        <x:f>IF(H925="Win",1,0)</x:f>
        <x:v>0</x:v>
      </x:c>
      <x:c r="J925" s="7" t="n">
        <x:f>F925-G925</x:f>
        <x:v>-8</x:v>
      </x:c>
      <x:c r="K925" s="7" t="n">
        <x:f>F925+G925</x:f>
        <x:v>18</x:v>
      </x:c>
      <x:c r="L925" s="7" t="n">
        <x:v>10</x:v>
      </x:c>
      <x:c r="M925" s="7" t="n">
        <x:v>13</x:v>
      </x:c>
      <x:c r="N925" s="7" t="n">
        <x:v>1</x:v>
      </x:c>
      <x:c r="O925" s="9" t="n">
        <x:f>IF(M925=0,"n.a.",L925/M925)</x:f>
        <x:v>0.7692307692307693</x:v>
      </x:c>
      <x:c r="P925" s="9" t="n">
        <x:f>IF(K925=0,"n.a.",L925/K925)</x:f>
        <x:v>0.5555555555555556</x:v>
      </x:c>
      <x:c r="Q925" s="9" t="n">
        <x:f>IF(K925=0,"n.a.",M925/K925)</x:f>
        <x:v>0.7222222222222222</x:v>
      </x:c>
      <x:c r="R925" s="9" t="n">
        <x:f>IF(K925=0,"n.a.",N925/K925)</x:f>
        <x:v>0.05555555555555555</x:v>
      </x:c>
      <x:c r="S925" s="7" t="n">
        <x:v>-26</x:v>
      </x:c>
      <x:c r="T925" s="10" t="n">
        <x:v>0.2</x:v>
      </x:c>
      <x:c r="U925" s="7" t="n">
        <x:v>170</x:v>
      </x:c>
      <x:c r="V925" s="7" t="n">
        <x:v>223</x:v>
      </x:c>
    </x:row>
    <x:row r="926" ht="16" customHeight="1">
      <x:c r="A926" s="7" t="n">
        <x:v>923</x:v>
      </x:c>
      <x:c r="B926" s="8" t="n">
        <x:v>46201</x:v>
      </x:c>
      <x:c r="C926" s="7" t="str">
        <x:v>Summit</x:v>
      </x:c>
      <x:c r="D926" s="7" t="str">
        <x:v>3rd</x:v>
      </x:c>
      <x:c r="E926" s="7" t="str">
        <x:v>Neon</x:v>
      </x:c>
      <x:c r="F926" s="7" t="n">
        <x:v>13</x:v>
      </x:c>
      <x:c r="G926" s="7" t="n">
        <x:v>8</x:v>
      </x:c>
      <x:c r="H926" s="7" t="str">
        <x:f>IF(F926&gt;G926,"Win",IF(F926&lt;G926,"Loss","Draw"))</x:f>
        <x:v>Win</x:v>
      </x:c>
      <x:c r="I926" s="7" t="n">
        <x:f>IF(H926="Win",1,0)</x:f>
        <x:v>1</x:v>
      </x:c>
      <x:c r="J926" s="7" t="n">
        <x:f>F926-G926</x:f>
        <x:v>5</x:v>
      </x:c>
      <x:c r="K926" s="7" t="n">
        <x:f>F926+G926</x:f>
        <x:v>21</x:v>
      </x:c>
      <x:c r="L926" s="7" t="n">
        <x:v>21</x:v>
      </x:c>
      <x:c r="M926" s="7" t="n">
        <x:v>15</x:v>
      </x:c>
      <x:c r="N926" s="7" t="n">
        <x:v>3</x:v>
      </x:c>
      <x:c r="O926" s="9" t="n">
        <x:f>IF(M926=0,"n.a.",L926/M926)</x:f>
        <x:v>1.4</x:v>
      </x:c>
      <x:c r="P926" s="9" t="n">
        <x:f>IF(K926=0,"n.a.",L926/K926)</x:f>
        <x:v>1</x:v>
      </x:c>
      <x:c r="Q926" s="9" t="n">
        <x:f>IF(K926=0,"n.a.",M926/K926)</x:f>
        <x:v>0.7142857142857143</x:v>
      </x:c>
      <x:c r="R926" s="9" t="n">
        <x:f>IF(K926=0,"n.a.",N926/K926)</x:f>
        <x:v>0.14285714285714285</x:v>
      </x:c>
      <x:c r="S926" s="7" t="n">
        <x:v>11</x:v>
      </x:c>
      <x:c r="T926" s="10" t="n">
        <x:v>0.23</x:v>
      </x:c>
      <x:c r="U926" s="7" t="n">
        <x:v>255</x:v>
      </x:c>
      <x:c r="V926" s="7" t="n">
        <x:v>649</x:v>
      </x:c>
    </x:row>
    <x:row r="927" ht="16" customHeight="1">
      <x:c r="A927" s="7" t="n">
        <x:v>924</x:v>
      </x:c>
      <x:c r="B927" s="8" t="n">
        <x:v>46201</x:v>
      </x:c>
      <x:c r="C927" s="7" t="str">
        <x:v>Haven</x:v>
      </x:c>
      <x:c r="D927" s="7" t="str">
        <x:v>2nd</x:v>
      </x:c>
      <x:c r="E927" s="7" t="str">
        <x:v>Neon</x:v>
      </x:c>
      <x:c r="F927" s="7" t="n">
        <x:v>13</x:v>
      </x:c>
      <x:c r="G927" s="7" t="n">
        <x:v>10</x:v>
      </x:c>
      <x:c r="H927" s="7" t="str">
        <x:f>IF(F927&gt;G927,"Win",IF(F927&lt;G927,"Loss","Draw"))</x:f>
        <x:v>Win</x:v>
      </x:c>
      <x:c r="I927" s="7" t="n">
        <x:f>IF(H927="Win",1,0)</x:f>
        <x:v>1</x:v>
      </x:c>
      <x:c r="J927" s="7" t="n">
        <x:f>F927-G927</x:f>
        <x:v>3</x:v>
      </x:c>
      <x:c r="K927" s="7" t="n">
        <x:f>F927+G927</x:f>
        <x:v>23</x:v>
      </x:c>
      <x:c r="L927" s="7" t="n">
        <x:v>23</x:v>
      </x:c>
      <x:c r="M927" s="7" t="n">
        <x:v>15</x:v>
      </x:c>
      <x:c r="N927" s="7" t="n">
        <x:v>2</x:v>
      </x:c>
      <x:c r="O927" s="9" t="n">
        <x:f>IF(M927=0,"n.a.",L927/M927)</x:f>
        <x:v>1.5333333333333334</x:v>
      </x:c>
      <x:c r="P927" s="9" t="n">
        <x:f>IF(K927=0,"n.a.",L927/K927)</x:f>
        <x:v>1</x:v>
      </x:c>
      <x:c r="Q927" s="9" t="n">
        <x:f>IF(K927=0,"n.a.",M927/K927)</x:f>
        <x:v>0.6521739130434783</x:v>
      </x:c>
      <x:c r="R927" s="9" t="n">
        <x:f>IF(K927=0,"n.a.",N927/K927)</x:f>
        <x:v>0.08695652173913043</x:v>
      </x:c>
      <x:c r="S927" s="7" t="n">
        <x:v>43</x:v>
      </x:c>
      <x:c r="T927" s="10" t="n">
        <x:v>0.19</x:v>
      </x:c>
      <x:c r="U927" s="7" t="n">
        <x:v>279</x:v>
      </x:c>
      <x:c r="V927" s="7" t="n">
        <x:v>746</x:v>
      </x:c>
    </x:row>
    <x:row r="928" ht="16" customHeight="1">
      <x:c r="A928" s="7" t="n">
        <x:v>925</x:v>
      </x:c>
      <x:c r="B928" s="8" t="n">
        <x:v>46202</x:v>
      </x:c>
      <x:c r="C928" s="7" t="str">
        <x:v>Lotus</x:v>
      </x:c>
      <x:c r="D928" s="7" t="str">
        <x:v>8th</x:v>
      </x:c>
      <x:c r="E928" s="7" t="str">
        <x:v>Phoenix</x:v>
      </x:c>
      <x:c r="F928" s="7" t="n">
        <x:v>13</x:v>
      </x:c>
      <x:c r="G928" s="7" t="n">
        <x:v>7</x:v>
      </x:c>
      <x:c r="H928" s="7" t="str">
        <x:f>IF(F928&gt;G928,"Win",IF(F928&lt;G928,"Loss","Draw"))</x:f>
        <x:v>Win</x:v>
      </x:c>
      <x:c r="I928" s="7" t="n">
        <x:f>IF(H928="Win",1,0)</x:f>
        <x:v>1</x:v>
      </x:c>
      <x:c r="J928" s="7" t="n">
        <x:f>F928-G928</x:f>
        <x:v>6</x:v>
      </x:c>
      <x:c r="K928" s="7" t="n">
        <x:f>F928+G928</x:f>
        <x:v>20</x:v>
      </x:c>
      <x:c r="L928" s="7" t="n">
        <x:v>14</x:v>
      </x:c>
      <x:c r="M928" s="7" t="n">
        <x:v>12</x:v>
      </x:c>
      <x:c r="N928" s="7" t="n">
        <x:v>4</x:v>
      </x:c>
      <x:c r="O928" s="9" t="n">
        <x:f>IF(M928=0,"n.a.",L928/M928)</x:f>
        <x:v>1.1666666666666667</x:v>
      </x:c>
      <x:c r="P928" s="9" t="n">
        <x:f>IF(K928=0,"n.a.",L928/K928)</x:f>
        <x:v>0.7</x:v>
      </x:c>
      <x:c r="Q928" s="9" t="n">
        <x:f>IF(K928=0,"n.a.",M928/K928)</x:f>
        <x:v>0.6</x:v>
      </x:c>
      <x:c r="R928" s="9" t="n">
        <x:f>IF(K928=0,"n.a.",N928/K928)</x:f>
        <x:v>0.2</x:v>
      </x:c>
      <x:c r="S928" s="7" t="n">
        <x:v>-47</x:v>
      </x:c>
      <x:c r="T928" s="10" t="n">
        <x:v>0.26</x:v>
      </x:c>
      <x:c r="U928" s="7" t="n">
        <x:v>165</x:v>
      </x:c>
      <x:c r="V928" s="7" t="n">
        <x:v>324</x:v>
      </x:c>
    </x:row>
    <x:row r="929" ht="16" customHeight="1">
      <x:c r="A929" s="7" t="n">
        <x:v>926</x:v>
      </x:c>
      <x:c r="B929" s="8" t="n">
        <x:v>46202</x:v>
      </x:c>
      <x:c r="C929" s="7" t="str">
        <x:v>Lotus</x:v>
      </x:c>
      <x:c r="D929" s="7" t="str">
        <x:v>5th</x:v>
      </x:c>
      <x:c r="E929" s="7" t="str">
        <x:v>Neon</x:v>
      </x:c>
      <x:c r="F929" s="7" t="n">
        <x:v>3</x:v>
      </x:c>
      <x:c r="G929" s="7" t="n">
        <x:v>13</x:v>
      </x:c>
      <x:c r="H929" s="7" t="str">
        <x:f>IF(F929&gt;G929,"Win",IF(F929&lt;G929,"Loss","Draw"))</x:f>
        <x:v>Loss</x:v>
      </x:c>
      <x:c r="I929" s="7" t="n">
        <x:f>IF(H929="Win",1,0)</x:f>
        <x:v>0</x:v>
      </x:c>
      <x:c r="J929" s="7" t="n">
        <x:f>F929-G929</x:f>
        <x:v>-10</x:v>
      </x:c>
      <x:c r="K929" s="7" t="n">
        <x:f>F929+G929</x:f>
        <x:v>16</x:v>
      </x:c>
      <x:c r="L929" s="7" t="n">
        <x:v>12</x:v>
      </x:c>
      <x:c r="M929" s="7" t="n">
        <x:v>15</x:v>
      </x:c>
      <x:c r="N929" s="7" t="n">
        <x:v>1</x:v>
      </x:c>
      <x:c r="O929" s="9" t="n">
        <x:f>IF(M929=0,"n.a.",L929/M929)</x:f>
        <x:v>0.8</x:v>
      </x:c>
      <x:c r="P929" s="9" t="n">
        <x:f>IF(K929=0,"n.a.",L929/K929)</x:f>
        <x:v>0.75</x:v>
      </x:c>
      <x:c r="Q929" s="9" t="n">
        <x:f>IF(K929=0,"n.a.",M929/K929)</x:f>
        <x:v>0.9375</x:v>
      </x:c>
      <x:c r="R929" s="9" t="n">
        <x:f>IF(K929=0,"n.a.",N929/K929)</x:f>
        <x:v>0.0625</x:v>
      </x:c>
      <x:c r="S929" s="7" t="n">
        <x:v>-47</x:v>
      </x:c>
      <x:c r="T929" s="10" t="n">
        <x:v>0.38</x:v>
      </x:c>
      <x:c r="U929" s="7" t="n">
        <x:v>194</x:v>
      </x:c>
      <x:c r="V929" s="7" t="n">
        <x:v>326</x:v>
      </x:c>
    </x:row>
    <x:row r="930" ht="16" customHeight="1">
      <x:c r="A930" s="7" t="n">
        <x:v>927</x:v>
      </x:c>
      <x:c r="B930" s="8" t="n">
        <x:v>46202</x:v>
      </x:c>
      <x:c r="C930" s="7" t="str">
        <x:v>Split</x:v>
      </x:c>
      <x:c r="D930" s="7" t="str">
        <x:v>MVP</x:v>
      </x:c>
      <x:c r="E930" s="7" t="str">
        <x:v>Neon</x:v>
      </x:c>
      <x:c r="F930" s="7" t="n">
        <x:v>13</x:v>
      </x:c>
      <x:c r="G930" s="7" t="n">
        <x:v>8</x:v>
      </x:c>
      <x:c r="H930" s="7" t="str">
        <x:f>IF(F930&gt;G930,"Win",IF(F930&lt;G930,"Loss","Draw"))</x:f>
        <x:v>Win</x:v>
      </x:c>
      <x:c r="I930" s="7" t="n">
        <x:f>IF(H930="Win",1,0)</x:f>
        <x:v>1</x:v>
      </x:c>
      <x:c r="J930" s="7" t="n">
        <x:f>F930-G930</x:f>
        <x:v>5</x:v>
      </x:c>
      <x:c r="K930" s="7" t="n">
        <x:f>F930+G930</x:f>
        <x:v>21</x:v>
      </x:c>
      <x:c r="L930" s="7" t="n">
        <x:v>22</x:v>
      </x:c>
      <x:c r="M930" s="7" t="n">
        <x:v>16</x:v>
      </x:c>
      <x:c r="N930" s="7" t="n">
        <x:v>2</x:v>
      </x:c>
      <x:c r="O930" s="9" t="n">
        <x:f>IF(M930=0,"n.a.",L930/M930)</x:f>
        <x:v>1.375</x:v>
      </x:c>
      <x:c r="P930" s="9" t="n">
        <x:f>IF(K930=0,"n.a.",L930/K930)</x:f>
        <x:v>1.0476190476190477</x:v>
      </x:c>
      <x:c r="Q930" s="9" t="n">
        <x:f>IF(K930=0,"n.a.",M930/K930)</x:f>
        <x:v>0.7619047619047619</x:v>
      </x:c>
      <x:c r="R930" s="9" t="n">
        <x:f>IF(K930=0,"n.a.",N930/K930)</x:f>
        <x:v>0.09523809523809523</x:v>
      </x:c>
      <x:c r="S930" s="7" t="n">
        <x:v>50</x:v>
      </x:c>
      <x:c r="T930" s="10" t="n">
        <x:v>0.27</x:v>
      </x:c>
      <x:c r="U930" s="7" t="n">
        <x:v>312</x:v>
      </x:c>
      <x:c r="V930" s="7" t="n">
        <x:v>724</x:v>
      </x:c>
    </x:row>
    <x:row r="931" ht="16" customHeight="1">
      <x:c r="A931" s="7" t="n">
        <x:v>928</x:v>
      </x:c>
      <x:c r="B931" s="8" t="n">
        <x:v>46202</x:v>
      </x:c>
      <x:c r="C931" s="7" t="str">
        <x:v>Split</x:v>
      </x:c>
      <x:c r="D931" s="7" t="str">
        <x:v>10th</x:v>
      </x:c>
      <x:c r="E931" s="7" t="str">
        <x:v>Brimstone</x:v>
      </x:c>
      <x:c r="F931" s="7" t="n">
        <x:v>2</x:v>
      </x:c>
      <x:c r="G931" s="7" t="n">
        <x:v>13</x:v>
      </x:c>
      <x:c r="H931" s="7" t="str">
        <x:f>IF(F931&gt;G931,"Win",IF(F931&lt;G931,"Loss","Draw"))</x:f>
        <x:v>Loss</x:v>
      </x:c>
      <x:c r="I931" s="7" t="n">
        <x:f>IF(H931="Win",1,0)</x:f>
        <x:v>0</x:v>
      </x:c>
      <x:c r="J931" s="7" t="n">
        <x:f>F931-G931</x:f>
        <x:v>-11</x:v>
      </x:c>
      <x:c r="K931" s="7" t="n">
        <x:f>F931+G931</x:f>
        <x:v>15</x:v>
      </x:c>
      <x:c r="L931" s="7" t="n">
        <x:v>1</x:v>
      </x:c>
      <x:c r="M931" s="7" t="n">
        <x:v>13</x:v>
      </x:c>
      <x:c r="N931" s="7" t="n">
        <x:v>1</x:v>
      </x:c>
      <x:c r="O931" s="9" t="n">
        <x:f>IF(M931=0,"n.a.",L931/M931)</x:f>
        <x:v>0.07692307692307693</x:v>
      </x:c>
      <x:c r="P931" s="9" t="n">
        <x:f>IF(K931=0,"n.a.",L931/K931)</x:f>
        <x:v>0.06666666666666667</x:v>
      </x:c>
      <x:c r="Q931" s="9" t="n">
        <x:f>IF(K931=0,"n.a.",M931/K931)</x:f>
        <x:v>0.8666666666666667</x:v>
      </x:c>
      <x:c r="R931" s="9" t="n">
        <x:f>IF(K931=0,"n.a.",N931/K931)</x:f>
        <x:v>0.06666666666666667</x:v>
      </x:c>
      <x:c r="S931" s="7" t="n">
        <x:v>-134</x:v>
      </x:c>
      <x:c r="T931" s="10" t="n">
        <x:v>0.25</x:v>
      </x:c>
      <x:c r="U931" s="7" t="n">
        <x:v>20</x:v>
      </x:c>
      <x:c r="V931" s="7" t="n">
        <x:v>100</x:v>
      </x:c>
    </x:row>
    <x:row r="932" ht="16" customHeight="1">
      <x:c r="A932" s="7" t="n">
        <x:v>929</x:v>
      </x:c>
      <x:c r="B932" s="8" t="n">
        <x:v>46202</x:v>
      </x:c>
      <x:c r="C932" s="7" t="str">
        <x:v>Ascent</x:v>
      </x:c>
      <x:c r="D932" s="7" t="str">
        <x:v>10th</x:v>
      </x:c>
      <x:c r="E932" s="7" t="str">
        <x:v>Neon</x:v>
      </x:c>
      <x:c r="F932" s="7" t="n">
        <x:v>10</x:v>
      </x:c>
      <x:c r="G932" s="7" t="n">
        <x:v>13</x:v>
      </x:c>
      <x:c r="H932" s="7" t="str">
        <x:f>IF(F932&gt;G932,"Win",IF(F932&lt;G932,"Loss","Draw"))</x:f>
        <x:v>Loss</x:v>
      </x:c>
      <x:c r="I932" s="7" t="n">
        <x:f>IF(H932="Win",1,0)</x:f>
        <x:v>0</x:v>
      </x:c>
      <x:c r="J932" s="7" t="n">
        <x:f>F932-G932</x:f>
        <x:v>-3</x:v>
      </x:c>
      <x:c r="K932" s="7" t="n">
        <x:f>F932+G932</x:f>
        <x:v>23</x:v>
      </x:c>
      <x:c r="L932" s="7" t="n">
        <x:v>13</x:v>
      </x:c>
      <x:c r="M932" s="7" t="n">
        <x:v>17</x:v>
      </x:c>
      <x:c r="N932" s="7" t="n">
        <x:v>6</x:v>
      </x:c>
      <x:c r="O932" s="9" t="n">
        <x:f>IF(M932=0,"n.a.",L932/M932)</x:f>
        <x:v>0.7647058823529411</x:v>
      </x:c>
      <x:c r="P932" s="9" t="n">
        <x:f>IF(K932=0,"n.a.",L932/K932)</x:f>
        <x:v>0.5652173913043478</x:v>
      </x:c>
      <x:c r="Q932" s="9" t="n">
        <x:f>IF(K932=0,"n.a.",M932/K932)</x:f>
        <x:v>0.7391304347826086</x:v>
      </x:c>
      <x:c r="R932" s="9" t="n">
        <x:f>IF(K932=0,"n.a.",N932/K932)</x:f>
        <x:v>0.2608695652173913</x:v>
      </x:c>
      <x:c r="S932" s="7" t="n">
        <x:v>-23</x:v>
      </x:c>
      <x:c r="T932" s="10" t="n">
        <x:v>0.23</x:v>
      </x:c>
      <x:c r="U932" s="7" t="n">
        <x:v>165</x:v>
      </x:c>
      <x:c r="V932" s="7" t="n">
        <x:v>389</x:v>
      </x:c>
    </x:row>
    <x:row r="933" ht="16" customHeight="1">
      <x:c r="A933" s="7" t="n">
        <x:v>930</x:v>
      </x:c>
      <x:c r="B933" s="8" t="n">
        <x:v>46203</x:v>
      </x:c>
      <x:c r="C933" s="7" t="str">
        <x:v>Split</x:v>
      </x:c>
      <x:c r="D933" s="7" t="str">
        <x:v>7th</x:v>
      </x:c>
      <x:c r="E933" s="7" t="str">
        <x:v>Neon</x:v>
      </x:c>
      <x:c r="F933" s="7" t="n">
        <x:v>3</x:v>
      </x:c>
      <x:c r="G933" s="7" t="n">
        <x:v>10</x:v>
      </x:c>
      <x:c r="H933" s="7" t="str">
        <x:f>IF(F933&gt;G933,"Win",IF(F933&lt;G933,"Loss","Draw"))</x:f>
        <x:v>Loss</x:v>
      </x:c>
      <x:c r="I933" s="7" t="n">
        <x:f>IF(H933="Win",1,0)</x:f>
        <x:v>0</x:v>
      </x:c>
      <x:c r="J933" s="7" t="n">
        <x:f>F933-G933</x:f>
        <x:v>-7</x:v>
      </x:c>
      <x:c r="K933" s="7" t="n">
        <x:f>F933+G933</x:f>
        <x:v>13</x:v>
      </x:c>
      <x:c r="L933" s="7" t="n">
        <x:v>9</x:v>
      </x:c>
      <x:c r="M933" s="7" t="n">
        <x:v>11</x:v>
      </x:c>
      <x:c r="N933" s="7" t="n">
        <x:v>1</x:v>
      </x:c>
      <x:c r="O933" s="9" t="n">
        <x:f>IF(M933=0,"n.a.",L933/M933)</x:f>
        <x:v>0.8181818181818182</x:v>
      </x:c>
      <x:c r="P933" s="9" t="n">
        <x:f>IF(K933=0,"n.a.",L933/K933)</x:f>
        <x:v>0.6923076923076923</x:v>
      </x:c>
      <x:c r="Q933" s="9" t="n">
        <x:f>IF(K933=0,"n.a.",M933/K933)</x:f>
        <x:v>0.8461538461538461</x:v>
      </x:c>
      <x:c r="R933" s="9" t="n">
        <x:f>IF(K933=0,"n.a.",N933/K933)</x:f>
        <x:v>0.07692307692307693</x:v>
      </x:c>
      <x:c r="S933" s="7" t="n">
        <x:v>-73</x:v>
      </x:c>
      <x:c r="T933" s="10" t="n">
        <x:v>0.36</x:v>
      </x:c>
      <x:c r="U933" s="7" t="n">
        <x:v>176</x:v>
      </x:c>
      <x:c r="V933" s="7" t="n">
        <x:v>211</x:v>
      </x:c>
    </x:row>
    <x:row r="934" ht="16" customHeight="1">
      <x:c r="A934" s="7" t="n">
        <x:v>931</x:v>
      </x:c>
      <x:c r="B934" s="8" t="n">
        <x:v>46203</x:v>
      </x:c>
      <x:c r="C934" s="7" t="str">
        <x:v>Sunset</x:v>
      </x:c>
      <x:c r="D934" s="7" t="str">
        <x:v>MVP</x:v>
      </x:c>
      <x:c r="E934" s="7" t="str">
        <x:v>Neon</x:v>
      </x:c>
      <x:c r="F934" s="7" t="n">
        <x:v>15</x:v>
      </x:c>
      <x:c r="G934" s="7" t="n">
        <x:v>13</x:v>
      </x:c>
      <x:c r="H934" s="7" t="str">
        <x:f>IF(F934&gt;G934,"Win",IF(F934&lt;G934,"Loss","Draw"))</x:f>
        <x:v>Win</x:v>
      </x:c>
      <x:c r="I934" s="7" t="n">
        <x:f>IF(H934="Win",1,0)</x:f>
        <x:v>1</x:v>
      </x:c>
      <x:c r="J934" s="7" t="n">
        <x:f>F934-G934</x:f>
        <x:v>2</x:v>
      </x:c>
      <x:c r="K934" s="7" t="n">
        <x:f>F934+G934</x:f>
        <x:v>28</x:v>
      </x:c>
      <x:c r="L934" s="7" t="n">
        <x:v>37</x:v>
      </x:c>
      <x:c r="M934" s="7" t="n">
        <x:v>21</x:v>
      </x:c>
      <x:c r="N934" s="7" t="n">
        <x:v>3</x:v>
      </x:c>
      <x:c r="O934" s="9" t="n">
        <x:f>IF(M934=0,"n.a.",L934/M934)</x:f>
        <x:v>1.7619047619047619</x:v>
      </x:c>
      <x:c r="P934" s="9" t="n">
        <x:f>IF(K934=0,"n.a.",L934/K934)</x:f>
        <x:v>1.3214285714285714</x:v>
      </x:c>
      <x:c r="Q934" s="9" t="n">
        <x:f>IF(K934=0,"n.a.",M934/K934)</x:f>
        <x:v>0.75</x:v>
      </x:c>
      <x:c r="R934" s="9" t="n">
        <x:f>IF(K934=0,"n.a.",N934/K934)</x:f>
        <x:v>0.10714285714285714</x:v>
      </x:c>
      <x:c r="S934" s="7" t="n">
        <x:v>59</x:v>
      </x:c>
      <x:c r="T934" s="10" t="n">
        <x:v>0.22</x:v>
      </x:c>
      <x:c r="U934" s="7" t="n">
        <x:v>367</x:v>
      </x:c>
      <x:c r="V934" s="7" t="n">
        <x:v>900</x:v>
      </x:c>
    </x:row>
    <x:row r="935" ht="16" customHeight="1">
      <x:c r="A935" s="7" t="n">
        <x:v>932</x:v>
      </x:c>
      <x:c r="B935" s="8" t="n">
        <x:v>46203</x:v>
      </x:c>
      <x:c r="C935" s="7" t="str">
        <x:v>Ascent</x:v>
      </x:c>
      <x:c r="D935" s="7" t="str">
        <x:v>MVP</x:v>
      </x:c>
      <x:c r="E935" s="7" t="str">
        <x:v>Neon</x:v>
      </x:c>
      <x:c r="F935" s="7" t="n">
        <x:v>13</x:v>
      </x:c>
      <x:c r="G935" s="7" t="n">
        <x:v>6</x:v>
      </x:c>
      <x:c r="H935" s="7" t="str">
        <x:f>IF(F935&gt;G935,"Win",IF(F935&lt;G935,"Loss","Draw"))</x:f>
        <x:v>Win</x:v>
      </x:c>
      <x:c r="I935" s="7" t="n">
        <x:f>IF(H935="Win",1,0)</x:f>
        <x:v>1</x:v>
      </x:c>
      <x:c r="J935" s="7" t="n">
        <x:f>F935-G935</x:f>
        <x:v>7</x:v>
      </x:c>
      <x:c r="K935" s="7" t="n">
        <x:f>F935+G935</x:f>
        <x:v>19</x:v>
      </x:c>
      <x:c r="L935" s="7" t="n">
        <x:v>22</x:v>
      </x:c>
      <x:c r="M935" s="7" t="n">
        <x:v>11</x:v>
      </x:c>
      <x:c r="N935" s="7" t="n">
        <x:v>2</x:v>
      </x:c>
      <x:c r="O935" s="9" t="n">
        <x:f>IF(M935=0,"n.a.",L935/M935)</x:f>
        <x:v>2</x:v>
      </x:c>
      <x:c r="P935" s="9" t="n">
        <x:f>IF(K935=0,"n.a.",L935/K935)</x:f>
        <x:v>1.1578947368421053</x:v>
      </x:c>
      <x:c r="Q935" s="9" t="n">
        <x:f>IF(K935=0,"n.a.",M935/K935)</x:f>
        <x:v>0.5789473684210527</x:v>
      </x:c>
      <x:c r="R935" s="9" t="n">
        <x:f>IF(K935=0,"n.a.",N935/K935)</x:f>
        <x:v>0.10526315789473684</x:v>
      </x:c>
      <x:c r="S935" s="7" t="n">
        <x:v>94</x:v>
      </x:c>
      <x:c r="T935" s="10" t="n">
        <x:v>0.21</x:v>
      </x:c>
      <x:c r="U935" s="7" t="n">
        <x:v>322</x:v>
      </x:c>
      <x:c r="V935" s="7" t="n">
        <x:v>984</x:v>
      </x:c>
    </x:row>
    <x:row r="936" ht="16" customHeight="1">
      <x:c r="A936" s="7" t="n">
        <x:v>933</x:v>
      </x:c>
      <x:c r="B936" s="8" t="n">
        <x:v>46203</x:v>
      </x:c>
      <x:c r="C936" s="7" t="str">
        <x:v>Ascent</x:v>
      </x:c>
      <x:c r="D936" s="7" t="str">
        <x:v>2nd</x:v>
      </x:c>
      <x:c r="E936" s="7" t="str">
        <x:v>Neon</x:v>
      </x:c>
      <x:c r="F936" s="7" t="n">
        <x:v>10</x:v>
      </x:c>
      <x:c r="G936" s="7" t="n">
        <x:v>13</x:v>
      </x:c>
      <x:c r="H936" s="7" t="str">
        <x:f>IF(F936&gt;G936,"Win",IF(F936&lt;G936,"Loss","Draw"))</x:f>
        <x:v>Loss</x:v>
      </x:c>
      <x:c r="I936" s="7" t="n">
        <x:f>IF(H936="Win",1,0)</x:f>
        <x:v>0</x:v>
      </x:c>
      <x:c r="J936" s="7" t="n">
        <x:f>F936-G936</x:f>
        <x:v>-3</x:v>
      </x:c>
      <x:c r="K936" s="7" t="n">
        <x:f>F936+G936</x:f>
        <x:v>23</x:v>
      </x:c>
      <x:c r="L936" s="7" t="n">
        <x:v>20</x:v>
      </x:c>
      <x:c r="M936" s="7" t="n">
        <x:v>17</x:v>
      </x:c>
      <x:c r="N936" s="7" t="n">
        <x:v>1</x:v>
      </x:c>
      <x:c r="O936" s="9" t="n">
        <x:f>IF(M936=0,"n.a.",L936/M936)</x:f>
        <x:v>1.1764705882352942</x:v>
      </x:c>
      <x:c r="P936" s="9" t="n">
        <x:f>IF(K936=0,"n.a.",L936/K936)</x:f>
        <x:v>0.8695652173913043</x:v>
      </x:c>
      <x:c r="Q936" s="9" t="n">
        <x:f>IF(K936=0,"n.a.",M936/K936)</x:f>
        <x:v>0.7391304347826086</x:v>
      </x:c>
      <x:c r="R936" s="9" t="n">
        <x:f>IF(K936=0,"n.a.",N936/K936)</x:f>
        <x:v>0.043478260869565216</x:v>
      </x:c>
      <x:c r="S936" s="7" t="n">
        <x:v>9</x:v>
      </x:c>
      <x:c r="T936" s="10" t="n">
        <x:v>0.21</x:v>
      </x:c>
      <x:c r="U936" s="7" t="n">
        <x:v>232</x:v>
      </x:c>
      <x:c r="V936" s="7" t="n">
        <x:v>571</x:v>
      </x:c>
    </x:row>
    <x:row r="937" ht="16" customHeight="1">
      <x:c r="A937" s="7" t="n">
        <x:v>934</x:v>
      </x:c>
      <x:c r="B937" s="8" t="n">
        <x:v>46203</x:v>
      </x:c>
      <x:c r="C937" s="7" t="str">
        <x:v>Split</x:v>
      </x:c>
      <x:c r="D937" s="7" t="str">
        <x:v>MVP</x:v>
      </x:c>
      <x:c r="E937" s="7" t="str">
        <x:v>Neon</x:v>
      </x:c>
      <x:c r="F937" s="7" t="n">
        <x:v>13</x:v>
      </x:c>
      <x:c r="G937" s="7" t="n">
        <x:v>5</x:v>
      </x:c>
      <x:c r="H937" s="7" t="str">
        <x:f>IF(F937&gt;G937,"Win",IF(F937&lt;G937,"Loss","Draw"))</x:f>
        <x:v>Win</x:v>
      </x:c>
      <x:c r="I937" s="7" t="n">
        <x:f>IF(H937="Win",1,0)</x:f>
        <x:v>1</x:v>
      </x:c>
      <x:c r="J937" s="7" t="n">
        <x:f>F937-G937</x:f>
        <x:v>8</x:v>
      </x:c>
      <x:c r="K937" s="7" t="n">
        <x:f>F937+G937</x:f>
        <x:v>18</x:v>
      </x:c>
      <x:c r="L937" s="7" t="n">
        <x:v>22</x:v>
      </x:c>
      <x:c r="M937" s="7" t="n">
        <x:v>12</x:v>
      </x:c>
      <x:c r="N937" s="7" t="n">
        <x:v>2</x:v>
      </x:c>
      <x:c r="O937" s="9" t="n">
        <x:f>IF(M937=0,"n.a.",L937/M937)</x:f>
        <x:v>1.8333333333333333</x:v>
      </x:c>
      <x:c r="P937" s="9" t="n">
        <x:f>IF(K937=0,"n.a.",L937/K937)</x:f>
        <x:v>1.2222222222222223</x:v>
      </x:c>
      <x:c r="Q937" s="9" t="n">
        <x:f>IF(K937=0,"n.a.",M937/K937)</x:f>
        <x:v>0.6666666666666666</x:v>
      </x:c>
      <x:c r="R937" s="9" t="n">
        <x:f>IF(K937=0,"n.a.",N937/K937)</x:f>
        <x:v>0.1111111111111111</x:v>
      </x:c>
      <x:c r="S937" s="7" t="n">
        <x:v>66</x:v>
      </x:c>
      <x:c r="T937" s="10" t="n">
        <x:v>0.27</x:v>
      </x:c>
      <x:c r="U937" s="7" t="n">
        <x:v>320</x:v>
      </x:c>
      <x:c r="V937" s="7" t="n">
        <x:v>837</x:v>
      </x:c>
    </x:row>
    <x:row r="938" ht="16" customHeight="1">
      <x:c r="A938" s="7" t="n">
        <x:v>935</x:v>
      </x:c>
      <x:c r="B938" s="8" t="n">
        <x:v>46203</x:v>
      </x:c>
      <x:c r="C938" s="7" t="str">
        <x:v>Sunset</x:v>
      </x:c>
      <x:c r="D938" s="7" t="str">
        <x:v>4th</x:v>
      </x:c>
      <x:c r="E938" s="7" t="str">
        <x:v>Neon</x:v>
      </x:c>
      <x:c r="F938" s="7" t="n">
        <x:v>13</x:v>
      </x:c>
      <x:c r="G938" s="7" t="n">
        <x:v>8</x:v>
      </x:c>
      <x:c r="H938" s="7" t="str">
        <x:f>IF(F938&gt;G938,"Win",IF(F938&lt;G938,"Loss","Draw"))</x:f>
        <x:v>Win</x:v>
      </x:c>
      <x:c r="I938" s="7" t="n">
        <x:f>IF(H938="Win",1,0)</x:f>
        <x:v>1</x:v>
      </x:c>
      <x:c r="J938" s="7" t="n">
        <x:f>F938-G938</x:f>
        <x:v>5</x:v>
      </x:c>
      <x:c r="K938" s="7" t="n">
        <x:f>F938+G938</x:f>
        <x:v>21</x:v>
      </x:c>
      <x:c r="L938" s="7" t="n">
        <x:v>17</x:v>
      </x:c>
      <x:c r="M938" s="7" t="n">
        <x:v>19</x:v>
      </x:c>
      <x:c r="N938" s="7" t="n">
        <x:v>2</x:v>
      </x:c>
      <x:c r="O938" s="9" t="n">
        <x:f>IF(M938=0,"n.a.",L938/M938)</x:f>
        <x:v>0.8947368421052632</x:v>
      </x:c>
      <x:c r="P938" s="9" t="n">
        <x:f>IF(K938=0,"n.a.",L938/K938)</x:f>
        <x:v>0.8095238095238095</x:v>
      </x:c>
      <x:c r="Q938" s="9" t="n">
        <x:f>IF(K938=0,"n.a.",M938/K938)</x:f>
        <x:v>0.9047619047619048</x:v>
      </x:c>
      <x:c r="R938" s="9" t="n">
        <x:f>IF(K938=0,"n.a.",N938/K938)</x:f>
        <x:v>0.09523809523809523</x:v>
      </x:c>
      <x:c r="S938" s="7" t="n">
        <x:v>-10</x:v>
      </x:c>
      <x:c r="T938" s="10" t="n">
        <x:v>0.45</x:v>
      </x:c>
      <x:c r="U938" s="7" t="n">
        <x:v>231</x:v>
      </x:c>
      <x:c r="V938" s="7" t="n">
        <x:v>573</x:v>
      </x:c>
    </x:row>
    <x:row r="939" ht="16" customHeight="1">
      <x:c r="A939" s="7" t="n">
        <x:v>936</x:v>
      </x:c>
      <x:c r="B939" s="8" t="n">
        <x:v>46203</x:v>
      </x:c>
      <x:c r="C939" s="7" t="str">
        <x:v>Haven</x:v>
      </x:c>
      <x:c r="D939" s="7" t="str">
        <x:v>2nd</x:v>
      </x:c>
      <x:c r="E939" s="7" t="str">
        <x:v>Neon</x:v>
      </x:c>
      <x:c r="F939" s="7" t="n">
        <x:v>13</x:v>
      </x:c>
      <x:c r="G939" s="7" t="n">
        <x:v>3</x:v>
      </x:c>
      <x:c r="H939" s="7" t="str">
        <x:f>IF(F939&gt;G939,"Win",IF(F939&lt;G939,"Loss","Draw"))</x:f>
        <x:v>Win</x:v>
      </x:c>
      <x:c r="I939" s="7" t="n">
        <x:f>IF(H939="Win",1,0)</x:f>
        <x:v>1</x:v>
      </x:c>
      <x:c r="J939" s="7" t="n">
        <x:f>F939-G939</x:f>
        <x:v>10</x:v>
      </x:c>
      <x:c r="K939" s="7" t="n">
        <x:f>F939+G939</x:f>
        <x:v>16</x:v>
      </x:c>
      <x:c r="L939" s="7" t="n">
        <x:v>16</x:v>
      </x:c>
      <x:c r="M939" s="7" t="n">
        <x:v>9</x:v>
      </x:c>
      <x:c r="N939" s="7" t="n">
        <x:v>4</x:v>
      </x:c>
      <x:c r="O939" s="9" t="n">
        <x:f>IF(M939=0,"n.a.",L939/M939)</x:f>
        <x:v>1.7777777777777777</x:v>
      </x:c>
      <x:c r="P939" s="9" t="n">
        <x:f>IF(K939=0,"n.a.",L939/K939)</x:f>
        <x:v>1</x:v>
      </x:c>
      <x:c r="Q939" s="9" t="n">
        <x:f>IF(K939=0,"n.a.",M939/K939)</x:f>
        <x:v>0.5625</x:v>
      </x:c>
      <x:c r="R939" s="9" t="n">
        <x:f>IF(K939=0,"n.a.",N939/K939)</x:f>
        <x:v>0.25</x:v>
      </x:c>
      <x:c r="S939" s="7" t="n">
        <x:v>71</x:v>
      </x:c>
      <x:c r="T939" s="10" t="n">
        <x:v>0.24</x:v>
      </x:c>
      <x:c r="U939" s="7" t="n">
        <x:v>262</x:v>
      </x:c>
      <x:c r="V939" s="7" t="n">
        <x:v>927</x:v>
      </x:c>
    </x:row>
    <x:row r="940" ht="16" customHeight="1">
      <x:c r="A940" s="7" t="n">
        <x:v>937</x:v>
      </x:c>
      <x:c r="B940" s="8" t="n">
        <x:v>46204</x:v>
      </x:c>
      <x:c r="C940" s="7" t="str">
        <x:v>Summit</x:v>
      </x:c>
      <x:c r="D940" s="7" t="str">
        <x:v>2nd</x:v>
      </x:c>
      <x:c r="E940" s="7" t="str">
        <x:v>Brimstone</x:v>
      </x:c>
      <x:c r="F940" s="7" t="n">
        <x:v>5</x:v>
      </x:c>
      <x:c r="G940" s="7" t="n">
        <x:v>13</x:v>
      </x:c>
      <x:c r="H940" s="7" t="str">
        <x:f>IF(F940&gt;G940,"Win",IF(F940&lt;G940,"Loss","Draw"))</x:f>
        <x:v>Loss</x:v>
      </x:c>
      <x:c r="I940" s="7" t="n">
        <x:f>IF(H940="Win",1,0)</x:f>
        <x:v>0</x:v>
      </x:c>
      <x:c r="J940" s="7" t="n">
        <x:f>F940-G940</x:f>
        <x:v>-8</x:v>
      </x:c>
      <x:c r="K940" s="7" t="n">
        <x:f>F940+G940</x:f>
        <x:v>18</x:v>
      </x:c>
      <x:c r="L940" s="7" t="n">
        <x:v>19</x:v>
      </x:c>
      <x:c r="M940" s="7" t="n">
        <x:v>15</x:v>
      </x:c>
      <x:c r="N940" s="7" t="n">
        <x:v>9</x:v>
      </x:c>
      <x:c r="O940" s="9" t="n">
        <x:f>IF(M940=0,"n.a.",L940/M940)</x:f>
        <x:v>1.2666666666666666</x:v>
      </x:c>
      <x:c r="P940" s="9" t="n">
        <x:f>IF(K940=0,"n.a.",L940/K940)</x:f>
        <x:v>1.0555555555555556</x:v>
      </x:c>
      <x:c r="Q940" s="9" t="n">
        <x:f>IF(K940=0,"n.a.",M940/K940)</x:f>
        <x:v>0.8333333333333334</x:v>
      </x:c>
      <x:c r="R940" s="9" t="n">
        <x:f>IF(K940=0,"n.a.",N940/K940)</x:f>
        <x:v>0.5</x:v>
      </x:c>
      <x:c r="S940" s="7" t="n">
        <x:v>17</x:v>
      </x:c>
      <x:c r="T940" s="10" t="n">
        <x:v>0.33</x:v>
      </x:c>
      <x:c r="U940" s="7" t="n">
        <x:v>300</x:v>
      </x:c>
      <x:c r="V940" s="7" t="n">
        <x:v>688</x:v>
      </x:c>
    </x:row>
    <x:row r="941" ht="16" customHeight="1">
      <x:c r="A941" s="7" t="n">
        <x:v>938</x:v>
      </x:c>
      <x:c r="B941" s="8" t="n">
        <x:v>46204</x:v>
      </x:c>
      <x:c r="C941" s="7" t="str">
        <x:v>Split</x:v>
      </x:c>
      <x:c r="D941" s="7" t="str">
        <x:v>6th</x:v>
      </x:c>
      <x:c r="E941" s="7" t="str">
        <x:v>Neon</x:v>
      </x:c>
      <x:c r="F941" s="7" t="n">
        <x:v>13</x:v>
      </x:c>
      <x:c r="G941" s="7" t="n">
        <x:v>6</x:v>
      </x:c>
      <x:c r="H941" s="7" t="str">
        <x:f>IF(F941&gt;G941,"Win",IF(F941&lt;G941,"Loss","Draw"))</x:f>
        <x:v>Win</x:v>
      </x:c>
      <x:c r="I941" s="7" t="n">
        <x:f>IF(H941="Win",1,0)</x:f>
        <x:v>1</x:v>
      </x:c>
      <x:c r="J941" s="7" t="n">
        <x:f>F941-G941</x:f>
        <x:v>7</x:v>
      </x:c>
      <x:c r="K941" s="7" t="n">
        <x:f>F941+G941</x:f>
        <x:v>19</x:v>
      </x:c>
      <x:c r="L941" s="7" t="n">
        <x:v>12</x:v>
      </x:c>
      <x:c r="M941" s="7" t="n">
        <x:v>16</x:v>
      </x:c>
      <x:c r="N941" s="7" t="n">
        <x:v>4</x:v>
      </x:c>
      <x:c r="O941" s="9" t="n">
        <x:f>IF(M941=0,"n.a.",L941/M941)</x:f>
        <x:v>0.75</x:v>
      </x:c>
      <x:c r="P941" s="9" t="n">
        <x:f>IF(K941=0,"n.a.",L941/K941)</x:f>
        <x:v>0.631578947368421</x:v>
      </x:c>
      <x:c r="Q941" s="9" t="n">
        <x:f>IF(K941=0,"n.a.",M941/K941)</x:f>
        <x:v>0.8421052631578947</x:v>
      </x:c>
      <x:c r="R941" s="9" t="n">
        <x:f>IF(K941=0,"n.a.",N941/K941)</x:f>
        <x:v>0.21052631578947367</x:v>
      </x:c>
      <x:c r="S941" s="7" t="n">
        <x:v>-40</x:v>
      </x:c>
      <x:c r="T941" s="10" t="n">
        <x:v>0.36</x:v>
      </x:c>
      <x:c r="U941" s="7" t="n">
        <x:v>190</x:v>
      </x:c>
      <x:c r="V941" s="7" t="n">
        <x:v>425</x:v>
      </x:c>
    </x:row>
    <x:row r="942" ht="16" customHeight="1">
      <x:c r="A942" s="7" t="n">
        <x:v>939</x:v>
      </x:c>
      <x:c r="B942" s="8" t="n">
        <x:v>46204</x:v>
      </x:c>
      <x:c r="C942" s="7" t="str">
        <x:v>Summit</x:v>
      </x:c>
      <x:c r="D942" s="7" t="str">
        <x:v>MVP</x:v>
      </x:c>
      <x:c r="E942" s="7" t="str">
        <x:v>Neon</x:v>
      </x:c>
      <x:c r="F942" s="7" t="n">
        <x:v>17</x:v>
      </x:c>
      <x:c r="G942" s="7" t="n">
        <x:v>15</x:v>
      </x:c>
      <x:c r="H942" s="7" t="str">
        <x:f>IF(F942&gt;G942,"Win",IF(F942&lt;G942,"Loss","Draw"))</x:f>
        <x:v>Win</x:v>
      </x:c>
      <x:c r="I942" s="7" t="n">
        <x:f>IF(H942="Win",1,0)</x:f>
        <x:v>1</x:v>
      </x:c>
      <x:c r="J942" s="7" t="n">
        <x:f>F942-G942</x:f>
        <x:v>2</x:v>
      </x:c>
      <x:c r="K942" s="7" t="n">
        <x:f>F942+G942</x:f>
        <x:v>32</x:v>
      </x:c>
      <x:c r="L942" s="7" t="n">
        <x:v>40</x:v>
      </x:c>
      <x:c r="M942" s="7" t="n">
        <x:v>28</x:v>
      </x:c>
      <x:c r="N942" s="7" t="n">
        <x:v>5</x:v>
      </x:c>
      <x:c r="O942" s="9" t="n">
        <x:f>IF(M942=0,"n.a.",L942/M942)</x:f>
        <x:v>1.4285714285714286</x:v>
      </x:c>
      <x:c r="P942" s="9" t="n">
        <x:f>IF(K942=0,"n.a.",L942/K942)</x:f>
        <x:v>1.25</x:v>
      </x:c>
      <x:c r="Q942" s="9" t="n">
        <x:f>IF(K942=0,"n.a.",M942/K942)</x:f>
        <x:v>0.875</x:v>
      </x:c>
      <x:c r="R942" s="9" t="n">
        <x:f>IF(K942=0,"n.a.",N942/K942)</x:f>
        <x:v>0.15625</x:v>
      </x:c>
      <x:c r="S942" s="7" t="n">
        <x:v>57</x:v>
      </x:c>
      <x:c r="T942" s="10" t="n">
        <x:v>0.34</x:v>
      </x:c>
      <x:c r="U942" s="7" t="n">
        <x:v>370</x:v>
      </x:c>
      <x:c r="V942" s="7" t="n">
        <x:v>776</x:v>
      </x:c>
    </x:row>
    <x:row r="943" ht="16" customHeight="1">
      <x:c r="A943" s="7" t="n">
        <x:v>940</x:v>
      </x:c>
      <x:c r="B943" s="8" t="n">
        <x:v>46204</x:v>
      </x:c>
      <x:c r="C943" s="7" t="str">
        <x:v>Sunset</x:v>
      </x:c>
      <x:c r="D943" s="7" t="str">
        <x:v>2nd</x:v>
      </x:c>
      <x:c r="E943" s="7" t="str">
        <x:v>Neon</x:v>
      </x:c>
      <x:c r="F943" s="7" t="n">
        <x:v>13</x:v>
      </x:c>
      <x:c r="G943" s="7" t="n">
        <x:v>9</x:v>
      </x:c>
      <x:c r="H943" s="7" t="str">
        <x:f>IF(F943&gt;G943,"Win",IF(F943&lt;G943,"Loss","Draw"))</x:f>
        <x:v>Win</x:v>
      </x:c>
      <x:c r="I943" s="7" t="n">
        <x:f>IF(H943="Win",1,0)</x:f>
        <x:v>1</x:v>
      </x:c>
      <x:c r="J943" s="7" t="n">
        <x:f>F943-G943</x:f>
        <x:v>4</x:v>
      </x:c>
      <x:c r="K943" s="7" t="n">
        <x:f>F943+G943</x:f>
        <x:v>22</x:v>
      </x:c>
      <x:c r="L943" s="7" t="n">
        <x:v>27</x:v>
      </x:c>
      <x:c r="M943" s="7" t="n">
        <x:v>16</x:v>
      </x:c>
      <x:c r="N943" s="7" t="n">
        <x:v>1</x:v>
      </x:c>
      <x:c r="O943" s="9" t="n">
        <x:f>IF(M943=0,"n.a.",L943/M943)</x:f>
        <x:v>1.6875</x:v>
      </x:c>
      <x:c r="P943" s="9" t="n">
        <x:f>IF(K943=0,"n.a.",L943/K943)</x:f>
        <x:v>1.2272727272727273</x:v>
      </x:c>
      <x:c r="Q943" s="9" t="n">
        <x:f>IF(K943=0,"n.a.",M943/K943)</x:f>
        <x:v>0.7272727272727273</x:v>
      </x:c>
      <x:c r="R943" s="9" t="n">
        <x:f>IF(K943=0,"n.a.",N943/K943)</x:f>
        <x:v>0.045454545454545456</x:v>
      </x:c>
      <x:c r="S943" s="7" t="n">
        <x:v>78</x:v>
      </x:c>
      <x:c r="T943" s="10" t="n">
        <x:v>0.32</x:v>
      </x:c>
      <x:c r="U943" s="7" t="n">
        <x:v>355</x:v>
      </x:c>
      <x:c r="V943" s="7" t="n">
        <x:v>860</x:v>
      </x:c>
    </x:row>
    <x:row r="944" ht="16" customHeight="1">
      <x:c r="A944" s="7" t="n">
        <x:v>941</x:v>
      </x:c>
      <x:c r="B944" s="8" t="n">
        <x:v>46204</x:v>
      </x:c>
      <x:c r="C944" s="7" t="str">
        <x:v>Lotus</x:v>
      </x:c>
      <x:c r="D944" s="7" t="str">
        <x:v>4th</x:v>
      </x:c>
      <x:c r="E944" s="7" t="str">
        <x:v>Chamber</x:v>
      </x:c>
      <x:c r="F944" s="7" t="n">
        <x:v>6</x:v>
      </x:c>
      <x:c r="G944" s="7" t="n">
        <x:v>13</x:v>
      </x:c>
      <x:c r="H944" s="7" t="str">
        <x:f>IF(F944&gt;G944,"Win",IF(F944&lt;G944,"Loss","Draw"))</x:f>
        <x:v>Loss</x:v>
      </x:c>
      <x:c r="I944" s="7" t="n">
        <x:f>IF(H944="Win",1,0)</x:f>
        <x:v>0</x:v>
      </x:c>
      <x:c r="J944" s="7" t="n">
        <x:f>F944-G944</x:f>
        <x:v>-7</x:v>
      </x:c>
      <x:c r="K944" s="7" t="n">
        <x:f>F944+G944</x:f>
        <x:v>19</x:v>
      </x:c>
      <x:c r="L944" s="7" t="n">
        <x:v>15</x:v>
      </x:c>
      <x:c r="M944" s="7" t="n">
        <x:v>16</x:v>
      </x:c>
      <x:c r="N944" s="7" t="n">
        <x:v>4</x:v>
      </x:c>
      <x:c r="O944" s="9" t="n">
        <x:f>IF(M944=0,"n.a.",L944/M944)</x:f>
        <x:v>0.9375</x:v>
      </x:c>
      <x:c r="P944" s="9" t="n">
        <x:f>IF(K944=0,"n.a.",L944/K944)</x:f>
        <x:v>0.7894736842105263</x:v>
      </x:c>
      <x:c r="Q944" s="9" t="n">
        <x:f>IF(K944=0,"n.a.",M944/K944)</x:f>
        <x:v>0.8421052631578947</x:v>
      </x:c>
      <x:c r="R944" s="9" t="n">
        <x:f>IF(K944=0,"n.a.",N944/K944)</x:f>
        <x:v>0.21052631578947367</x:v>
      </x:c>
      <x:c r="S944" s="7" t="n">
        <x:v>-7</x:v>
      </x:c>
      <x:c r="T944" s="10" t="n">
        <x:v>0.19</x:v>
      </x:c>
      <x:c r="U944" s="7" t="n">
        <x:v>242</x:v>
      </x:c>
      <x:c r="V944" s="7" t="n">
        <x:v>456</x:v>
      </x:c>
    </x:row>
    <x:row r="945" ht="16" customHeight="1">
      <x:c r="A945" s="7" t="n">
        <x:v>942</x:v>
      </x:c>
      <x:c r="B945" s="8" t="n">
        <x:v>46204</x:v>
      </x:c>
      <x:c r="C945" s="7" t="str">
        <x:v>Ascent</x:v>
      </x:c>
      <x:c r="D945" s="7" t="str">
        <x:v>4th</x:v>
      </x:c>
      <x:c r="E945" s="7" t="str">
        <x:v>Neon</x:v>
      </x:c>
      <x:c r="F945" s="7" t="n">
        <x:v>2</x:v>
      </x:c>
      <x:c r="G945" s="7" t="n">
        <x:v>13</x:v>
      </x:c>
      <x:c r="H945" s="7" t="str">
        <x:f>IF(F945&gt;G945,"Win",IF(F945&lt;G945,"Loss","Draw"))</x:f>
        <x:v>Loss</x:v>
      </x:c>
      <x:c r="I945" s="7" t="n">
        <x:f>IF(H945="Win",1,0)</x:f>
        <x:v>0</x:v>
      </x:c>
      <x:c r="J945" s="7" t="n">
        <x:f>F945-G945</x:f>
        <x:v>-11</x:v>
      </x:c>
      <x:c r="K945" s="7" t="n">
        <x:f>F945+G945</x:f>
        <x:v>15</x:v>
      </x:c>
      <x:c r="L945" s="7" t="n">
        <x:v>11</x:v>
      </x:c>
      <x:c r="M945" s="7" t="n">
        <x:v>14</x:v>
      </x:c>
      <x:c r="N945" s="7" t="n">
        <x:v>2</x:v>
      </x:c>
      <x:c r="O945" s="9" t="n">
        <x:f>IF(M945=0,"n.a.",L945/M945)</x:f>
        <x:v>0.7857142857142857</x:v>
      </x:c>
      <x:c r="P945" s="9" t="n">
        <x:f>IF(K945=0,"n.a.",L945/K945)</x:f>
        <x:v>0.7333333333333333</x:v>
      </x:c>
      <x:c r="Q945" s="9" t="n">
        <x:f>IF(K945=0,"n.a.",M945/K945)</x:f>
        <x:v>0.9333333333333333</x:v>
      </x:c>
      <x:c r="R945" s="9" t="n">
        <x:f>IF(K945=0,"n.a.",N945/K945)</x:f>
        <x:v>0.13333333333333333</x:v>
      </x:c>
      <x:c r="S945" s="7" t="n">
        <x:v>-62</x:v>
      </x:c>
      <x:c r="T945" s="10" t="n">
        <x:v>0.3</x:v>
      </x:c>
      <x:c r="U945" s="7" t="n">
        <x:v>205</x:v>
      </x:c>
      <x:c r="V945" s="7" t="n">
        <x:v>194</x:v>
      </x:c>
    </x:row>
    <x:row r="946" ht="16" customHeight="1">
      <x:c r="A946" s="7" t="n">
        <x:v>943</x:v>
      </x:c>
      <x:c r="B946" s="8" t="n">
        <x:v>46204</x:v>
      </x:c>
      <x:c r="C946" s="7" t="str">
        <x:v>Lotus</x:v>
      </x:c>
      <x:c r="D946" s="7" t="str">
        <x:v>3rd</x:v>
      </x:c>
      <x:c r="E946" s="7" t="str">
        <x:v>Brimstone</x:v>
      </x:c>
      <x:c r="F946" s="7" t="n">
        <x:v>10</x:v>
      </x:c>
      <x:c r="G946" s="7" t="n">
        <x:v>13</x:v>
      </x:c>
      <x:c r="H946" s="7" t="str">
        <x:f>IF(F946&gt;G946,"Win",IF(F946&lt;G946,"Loss","Draw"))</x:f>
        <x:v>Loss</x:v>
      </x:c>
      <x:c r="I946" s="7" t="n">
        <x:f>IF(H946="Win",1,0)</x:f>
        <x:v>0</x:v>
      </x:c>
      <x:c r="J946" s="7" t="n">
        <x:f>F946-G946</x:f>
        <x:v>-3</x:v>
      </x:c>
      <x:c r="K946" s="7" t="n">
        <x:f>F946+G946</x:f>
        <x:v>23</x:v>
      </x:c>
      <x:c r="L946" s="7" t="n">
        <x:v>19</x:v>
      </x:c>
      <x:c r="M946" s="7" t="n">
        <x:v>20</x:v>
      </x:c>
      <x:c r="N946" s="7" t="n">
        <x:v>7</x:v>
      </x:c>
      <x:c r="O946" s="9" t="n">
        <x:f>IF(M946=0,"n.a.",L946/M946)</x:f>
        <x:v>0.95</x:v>
      </x:c>
      <x:c r="P946" s="9" t="n">
        <x:f>IF(K946=0,"n.a.",L946/K946)</x:f>
        <x:v>0.8260869565217391</x:v>
      </x:c>
      <x:c r="Q946" s="9" t="n">
        <x:f>IF(K946=0,"n.a.",M946/K946)</x:f>
        <x:v>0.8695652173913043</x:v>
      </x:c>
      <x:c r="R946" s="9" t="n">
        <x:f>IF(K946=0,"n.a.",N946/K946)</x:f>
        <x:v>0.30434782608695654</x:v>
      </x:c>
      <x:c r="S946" s="7" t="n">
        <x:v>-6</x:v>
      </x:c>
      <x:c r="T946" s="10" t="n">
        <x:v>0.16</x:v>
      </x:c>
      <x:c r="U946" s="7" t="n">
        <x:v>242</x:v>
      </x:c>
      <x:c r="V946" s="7" t="n">
        <x:v>557</x:v>
      </x:c>
    </x:row>
    <x:row r="947" ht="16" customHeight="1">
      <x:c r="A947" s="7" t="n">
        <x:v>944</x:v>
      </x:c>
      <x:c r="B947" s="8" t="n">
        <x:v>46204</x:v>
      </x:c>
      <x:c r="C947" s="7" t="str">
        <x:v>Breeze</x:v>
      </x:c>
      <x:c r="D947" s="7" t="str">
        <x:v>3rd</x:v>
      </x:c>
      <x:c r="E947" s="7" t="str">
        <x:v>Chamber</x:v>
      </x:c>
      <x:c r="F947" s="7" t="n">
        <x:v>13</x:v>
      </x:c>
      <x:c r="G947" s="7" t="n">
        <x:v>9</x:v>
      </x:c>
      <x:c r="H947" s="7" t="str">
        <x:f>IF(F947&gt;G947,"Win",IF(F947&lt;G947,"Loss","Draw"))</x:f>
        <x:v>Win</x:v>
      </x:c>
      <x:c r="I947" s="7" t="n">
        <x:f>IF(H947="Win",1,0)</x:f>
        <x:v>1</x:v>
      </x:c>
      <x:c r="J947" s="7" t="n">
        <x:f>F947-G947</x:f>
        <x:v>4</x:v>
      </x:c>
      <x:c r="K947" s="7" t="n">
        <x:f>F947+G947</x:f>
        <x:v>22</x:v>
      </x:c>
      <x:c r="L947" s="7" t="n">
        <x:v>25</x:v>
      </x:c>
      <x:c r="M947" s="7" t="n">
        <x:v>19</x:v>
      </x:c>
      <x:c r="N947" s="7" t="n">
        <x:v>3</x:v>
      </x:c>
      <x:c r="O947" s="9" t="n">
        <x:f>IF(M947=0,"n.a.",L947/M947)</x:f>
        <x:v>1.3157894736842106</x:v>
      </x:c>
      <x:c r="P947" s="9" t="n">
        <x:f>IF(K947=0,"n.a.",L947/K947)</x:f>
        <x:v>1.1363636363636365</x:v>
      </x:c>
      <x:c r="Q947" s="9" t="n">
        <x:f>IF(K947=0,"n.a.",M947/K947)</x:f>
        <x:v>0.8636363636363636</x:v>
      </x:c>
      <x:c r="R947" s="9" t="n">
        <x:f>IF(K947=0,"n.a.",N947/K947)</x:f>
        <x:v>0.13636363636363635</x:v>
      </x:c>
      <x:c r="S947" s="7" t="n">
        <x:v>39</x:v>
      </x:c>
      <x:c r="T947" s="10" t="n">
        <x:v>0.32</x:v>
      </x:c>
      <x:c r="U947" s="7" t="n">
        <x:v>285</x:v>
      </x:c>
      <x:c r="V947" s="7" t="n">
        <x:v>874</x:v>
      </x:c>
    </x:row>
    <x:row r="948" ht="16" customHeight="1">
      <x:c r="A948" s="7" t="n">
        <x:v>945</x:v>
      </x:c>
      <x:c r="B948" s="8" t="n">
        <x:v>46204</x:v>
      </x:c>
      <x:c r="C948" s="7" t="str">
        <x:v>Ascent</x:v>
      </x:c>
      <x:c r="D948" s="7" t="str">
        <x:v>MVP</x:v>
      </x:c>
      <x:c r="E948" s="7" t="str">
        <x:v>Neon</x:v>
      </x:c>
      <x:c r="F948" s="7" t="n">
        <x:v>7</x:v>
      </x:c>
      <x:c r="G948" s="7" t="n">
        <x:v>13</x:v>
      </x:c>
      <x:c r="H948" s="7" t="str">
        <x:f>IF(F948&gt;G948,"Win",IF(F948&lt;G948,"Loss","Draw"))</x:f>
        <x:v>Loss</x:v>
      </x:c>
      <x:c r="I948" s="7" t="n">
        <x:f>IF(H948="Win",1,0)</x:f>
        <x:v>0</x:v>
      </x:c>
      <x:c r="J948" s="7" t="n">
        <x:f>F948-G948</x:f>
        <x:v>-6</x:v>
      </x:c>
      <x:c r="K948" s="7" t="n">
        <x:f>F948+G948</x:f>
        <x:v>20</x:v>
      </x:c>
      <x:c r="L948" s="7" t="n">
        <x:v>22</x:v>
      </x:c>
      <x:c r="M948" s="7" t="n">
        <x:v>16</x:v>
      </x:c>
      <x:c r="N948" s="7" t="n">
        <x:v>4</x:v>
      </x:c>
      <x:c r="O948" s="9" t="n">
        <x:f>IF(M948=0,"n.a.",L948/M948)</x:f>
        <x:v>1.375</x:v>
      </x:c>
      <x:c r="P948" s="9" t="n">
        <x:f>IF(K948=0,"n.a.",L948/K948)</x:f>
        <x:v>1.1</x:v>
      </x:c>
      <x:c r="Q948" s="9" t="n">
        <x:f>IF(K948=0,"n.a.",M948/K948)</x:f>
        <x:v>0.8</x:v>
      </x:c>
      <x:c r="R948" s="9" t="n">
        <x:f>IF(K948=0,"n.a.",N948/K948)</x:f>
        <x:v>0.2</x:v>
      </x:c>
      <x:c r="S948" s="7" t="n">
        <x:v>23</x:v>
      </x:c>
      <x:c r="T948" s="10" t="n">
        <x:v>0.16</x:v>
      </x:c>
      <x:c r="U948" s="7" t="n">
        <x:v>303</x:v>
      </x:c>
      <x:c r="V948" s="7" t="n">
        <x:v>560</x:v>
      </x:c>
    </x:row>
    <x:row r="949" ht="16" customHeight="1">
      <x:c r="A949" s="7" t="n">
        <x:v>946</x:v>
      </x:c>
      <x:c r="B949" s="8" t="n">
        <x:v>46204</x:v>
      </x:c>
      <x:c r="C949" s="7" t="str">
        <x:v>Haven</x:v>
      </x:c>
      <x:c r="D949" s="7" t="str">
        <x:v>6th</x:v>
      </x:c>
      <x:c r="E949" s="7" t="str">
        <x:v>Neon</x:v>
      </x:c>
      <x:c r="F949" s="7" t="n">
        <x:v>2</x:v>
      </x:c>
      <x:c r="G949" s="7" t="n">
        <x:v>13</x:v>
      </x:c>
      <x:c r="H949" s="7" t="str">
        <x:f>IF(F949&gt;G949,"Win",IF(F949&lt;G949,"Loss","Draw"))</x:f>
        <x:v>Loss</x:v>
      </x:c>
      <x:c r="I949" s="7" t="n">
        <x:f>IF(H949="Win",1,0)</x:f>
        <x:v>0</x:v>
      </x:c>
      <x:c r="J949" s="7" t="n">
        <x:f>F949-G949</x:f>
        <x:v>-11</x:v>
      </x:c>
      <x:c r="K949" s="7" t="n">
        <x:f>F949+G949</x:f>
        <x:v>15</x:v>
      </x:c>
      <x:c r="L949" s="7" t="n">
        <x:v>8</x:v>
      </x:c>
      <x:c r="M949" s="7" t="n">
        <x:v>14</x:v>
      </x:c>
      <x:c r="N949" s="7" t="n">
        <x:v>5</x:v>
      </x:c>
      <x:c r="O949" s="9" t="n">
        <x:f>IF(M949=0,"n.a.",L949/M949)</x:f>
        <x:v>0.5714285714285714</x:v>
      </x:c>
      <x:c r="P949" s="9" t="n">
        <x:f>IF(K949=0,"n.a.",L949/K949)</x:f>
        <x:v>0.5333333333333333</x:v>
      </x:c>
      <x:c r="Q949" s="9" t="n">
        <x:f>IF(K949=0,"n.a.",M949/K949)</x:f>
        <x:v>0.9333333333333333</x:v>
      </x:c>
      <x:c r="R949" s="9" t="n">
        <x:f>IF(K949=0,"n.a.",N949/K949)</x:f>
        <x:v>0.3333333333333333</x:v>
      </x:c>
      <x:c r="S949" s="7" t="n">
        <x:v>-87</x:v>
      </x:c>
      <x:c r="T949" s="10" t="n">
        <x:v>0.19</x:v>
      </x:c>
      <x:c r="U949" s="7" t="n">
        <x:v>172</x:v>
      </x:c>
      <x:c r="V949" s="7" t="n">
        <x:v>176</x:v>
      </x:c>
    </x:row>
    <x:row r="950" ht="16" customHeight="1">
      <x:c r="A950" s="7" t="n">
        <x:v>947</x:v>
      </x:c>
      <x:c r="B950" s="8" t="n">
        <x:v>46205</x:v>
      </x:c>
      <x:c r="C950" s="7" t="str">
        <x:v>Ascent</x:v>
      </x:c>
      <x:c r="D950" s="7" t="str">
        <x:v>MVP</x:v>
      </x:c>
      <x:c r="E950" s="7" t="str">
        <x:v>Neon</x:v>
      </x:c>
      <x:c r="F950" s="7" t="n">
        <x:v>7</x:v>
      </x:c>
      <x:c r="G950" s="7" t="n">
        <x:v>13</x:v>
      </x:c>
      <x:c r="H950" s="7" t="str">
        <x:f>IF(F950&gt;G950,"Win",IF(F950&lt;G950,"Loss","Draw"))</x:f>
        <x:v>Loss</x:v>
      </x:c>
      <x:c r="I950" s="7" t="n">
        <x:f>IF(H950="Win",1,0)</x:f>
        <x:v>0</x:v>
      </x:c>
      <x:c r="J950" s="7" t="n">
        <x:f>F950-G950</x:f>
        <x:v>-6</x:v>
      </x:c>
      <x:c r="K950" s="7" t="n">
        <x:f>F950+G950</x:f>
        <x:v>20</x:v>
      </x:c>
      <x:c r="L950" s="7" t="n">
        <x:v>24</x:v>
      </x:c>
      <x:c r="M950" s="7" t="n">
        <x:v>18</x:v>
      </x:c>
      <x:c r="N950" s="7" t="n">
        <x:v>5</x:v>
      </x:c>
      <x:c r="O950" s="9" t="n">
        <x:f>IF(M950=0,"n.a.",L950/M950)</x:f>
        <x:v>1.3333333333333333</x:v>
      </x:c>
      <x:c r="P950" s="9" t="n">
        <x:f>IF(K950=0,"n.a.",L950/K950)</x:f>
        <x:v>1.2</x:v>
      </x:c>
      <x:c r="Q950" s="9" t="n">
        <x:f>IF(K950=0,"n.a.",M950/K950)</x:f>
        <x:v>0.9</x:v>
      </x:c>
      <x:c r="R950" s="9" t="n">
        <x:f>IF(K950=0,"n.a.",N950/K950)</x:f>
        <x:v>0.25</x:v>
      </x:c>
      <x:c r="S950" s="7" t="n">
        <x:v>82</x:v>
      </x:c>
      <x:c r="T950" s="10" t="n">
        <x:v>0.3</x:v>
      </x:c>
      <x:c r="U950" s="7" t="n">
        <x:v>373</x:v>
      </x:c>
      <x:c r="V950" s="7" t="n">
        <x:v>769</x:v>
      </x:c>
    </x:row>
    <x:row r="951" ht="16" customHeight="1">
      <x:c r="A951" s="7" t="n">
        <x:v>948</x:v>
      </x:c>
      <x:c r="B951" s="8" t="n">
        <x:v>46205</x:v>
      </x:c>
      <x:c r="C951" s="7" t="str">
        <x:v>Haven</x:v>
      </x:c>
      <x:c r="D951" s="7" t="str">
        <x:v>MVP</x:v>
      </x:c>
      <x:c r="E951" s="7" t="str">
        <x:v>Neon</x:v>
      </x:c>
      <x:c r="F951" s="7" t="n">
        <x:v>13</x:v>
      </x:c>
      <x:c r="G951" s="7" t="n">
        <x:v>11</x:v>
      </x:c>
      <x:c r="H951" s="7" t="str">
        <x:f>IF(F951&gt;G951,"Win",IF(F951&lt;G951,"Loss","Draw"))</x:f>
        <x:v>Win</x:v>
      </x:c>
      <x:c r="I951" s="7" t="n">
        <x:f>IF(H951="Win",1,0)</x:f>
        <x:v>1</x:v>
      </x:c>
      <x:c r="J951" s="7" t="n">
        <x:f>F951-G951</x:f>
        <x:v>2</x:v>
      </x:c>
      <x:c r="K951" s="7" t="n">
        <x:f>F951+G951</x:f>
        <x:v>24</x:v>
      </x:c>
      <x:c r="L951" s="7" t="n">
        <x:v>25</x:v>
      </x:c>
      <x:c r="M951" s="7" t="n">
        <x:v>18</x:v>
      </x:c>
      <x:c r="N951" s="7" t="n">
        <x:v>3</x:v>
      </x:c>
      <x:c r="O951" s="9" t="n">
        <x:f>IF(M951=0,"n.a.",L951/M951)</x:f>
        <x:v>1.3888888888888888</x:v>
      </x:c>
      <x:c r="P951" s="9" t="n">
        <x:f>IF(K951=0,"n.a.",L951/K951)</x:f>
        <x:v>1.0416666666666667</x:v>
      </x:c>
      <x:c r="Q951" s="9" t="n">
        <x:f>IF(K951=0,"n.a.",M951/K951)</x:f>
        <x:v>0.75</x:v>
      </x:c>
      <x:c r="R951" s="9" t="n">
        <x:f>IF(K951=0,"n.a.",N951/K951)</x:f>
        <x:v>0.125</x:v>
      </x:c>
      <x:c r="S951" s="7" t="n">
        <x:v>42</x:v>
      </x:c>
      <x:c r="T951" s="10" t="n">
        <x:v>0.3</x:v>
      </x:c>
      <x:c r="U951" s="7" t="n">
        <x:v>297</x:v>
      </x:c>
      <x:c r="V951" s="7" t="n">
        <x:v>712</x:v>
      </x:c>
    </x:row>
    <x:row r="952" ht="16" customHeight="1">
      <x:c r="A952" s="7" t="n">
        <x:v>949</x:v>
      </x:c>
      <x:c r="B952" s="8" t="n">
        <x:v>46205</x:v>
      </x:c>
      <x:c r="C952" s="7" t="str">
        <x:v>Split</x:v>
      </x:c>
      <x:c r="D952" s="7" t="str">
        <x:v>MVP</x:v>
      </x:c>
      <x:c r="E952" s="7" t="str">
        <x:v>Neon</x:v>
      </x:c>
      <x:c r="F952" s="7" t="n">
        <x:v>6</x:v>
      </x:c>
      <x:c r="G952" s="7" t="n">
        <x:v>13</x:v>
      </x:c>
      <x:c r="H952" s="7" t="str">
        <x:f>IF(F952&gt;G952,"Win",IF(F952&lt;G952,"Loss","Draw"))</x:f>
        <x:v>Loss</x:v>
      </x:c>
      <x:c r="I952" s="7" t="n">
        <x:f>IF(H952="Win",1,0)</x:f>
        <x:v>0</x:v>
      </x:c>
      <x:c r="J952" s="7" t="n">
        <x:f>F952-G952</x:f>
        <x:v>-7</x:v>
      </x:c>
      <x:c r="K952" s="7" t="n">
        <x:f>F952+G952</x:f>
        <x:v>19</x:v>
      </x:c>
      <x:c r="L952" s="7" t="n">
        <x:v>29</x:v>
      </x:c>
      <x:c r="M952" s="7" t="n">
        <x:v>14</x:v>
      </x:c>
      <x:c r="N952" s="7" t="n">
        <x:v>1</x:v>
      </x:c>
      <x:c r="O952" s="9" t="n">
        <x:f>IF(M952=0,"n.a.",L952/M952)</x:f>
        <x:v>2.0714285714285716</x:v>
      </x:c>
      <x:c r="P952" s="9" t="n">
        <x:f>IF(K952=0,"n.a.",L952/K952)</x:f>
        <x:v>1.5263157894736843</x:v>
      </x:c>
      <x:c r="Q952" s="9" t="n">
        <x:f>IF(K952=0,"n.a.",M952/K952)</x:f>
        <x:v>0.7368421052631579</x:v>
      </x:c>
      <x:c r="R952" s="9" t="n">
        <x:f>IF(K952=0,"n.a.",N952/K952)</x:f>
        <x:v>0.05263157894736842</x:v>
      </x:c>
      <x:c r="S952" s="7" t="n">
        <x:v>92</x:v>
      </x:c>
      <x:c r="T952" s="10" t="n">
        <x:v>0.39</x:v>
      </x:c>
      <x:c r="U952" s="7" t="n">
        <x:v>396</x:v>
      </x:c>
      <x:c r="V952" s="7" t="n">
        <x:v>847</x:v>
      </x:c>
    </x:row>
    <x:row r="953" ht="16" customHeight="1">
      <x:c r="A953" s="7" t="n">
        <x:v>950</x:v>
      </x:c>
      <x:c r="B953" s="8" t="n">
        <x:v>46205</x:v>
      </x:c>
      <x:c r="C953" s="7" t="str">
        <x:v>Ascent</x:v>
      </x:c>
      <x:c r="D953" s="7" t="str">
        <x:v>7th</x:v>
      </x:c>
      <x:c r="E953" s="7" t="str">
        <x:v>Neon</x:v>
      </x:c>
      <x:c r="F953" s="7" t="n">
        <x:v>13</x:v>
      </x:c>
      <x:c r="G953" s="7" t="n">
        <x:v>5</x:v>
      </x:c>
      <x:c r="H953" s="7" t="str">
        <x:f>IF(F953&gt;G953,"Win",IF(F953&lt;G953,"Loss","Draw"))</x:f>
        <x:v>Win</x:v>
      </x:c>
      <x:c r="I953" s="7" t="n">
        <x:f>IF(H953="Win",1,0)</x:f>
        <x:v>1</x:v>
      </x:c>
      <x:c r="J953" s="7" t="n">
        <x:f>F953-G953</x:f>
        <x:v>8</x:v>
      </x:c>
      <x:c r="K953" s="7" t="n">
        <x:f>F953+G953</x:f>
        <x:v>18</x:v>
      </x:c>
      <x:c r="L953" s="7" t="n">
        <x:v>14</x:v>
      </x:c>
      <x:c r="M953" s="7" t="n">
        <x:v>13</x:v>
      </x:c>
      <x:c r="N953" s="7" t="n">
        <x:v>5</x:v>
      </x:c>
      <x:c r="O953" s="9" t="n">
        <x:f>IF(M953=0,"n.a.",L953/M953)</x:f>
        <x:v>1.0769230769230769</x:v>
      </x:c>
      <x:c r="P953" s="9" t="n">
        <x:f>IF(K953=0,"n.a.",L953/K953)</x:f>
        <x:v>0.7777777777777778</x:v>
      </x:c>
      <x:c r="Q953" s="9" t="n">
        <x:f>IF(K953=0,"n.a.",M953/K953)</x:f>
        <x:v>0.7222222222222222</x:v>
      </x:c>
      <x:c r="R953" s="9" t="n">
        <x:f>IF(K953=0,"n.a.",N953/K953)</x:f>
        <x:v>0.2777777777777778</x:v>
      </x:c>
      <x:c r="S953" s="7" t="n">
        <x:v>9</x:v>
      </x:c>
      <x:c r="T953" s="10" t="n">
        <x:v>0.52</x:v>
      </x:c>
      <x:c r="U953" s="7" t="n">
        <x:v>214</x:v>
      </x:c>
      <x:c r="V953" s="7" t="n">
        <x:v>734</x:v>
      </x:c>
    </x:row>
    <x:row r="954" ht="16" customHeight="1">
      <x:c r="A954" s="7" t="n">
        <x:v>951</x:v>
      </x:c>
      <x:c r="B954" s="8" t="n">
        <x:v>46205</x:v>
      </x:c>
      <x:c r="C954" s="7" t="str">
        <x:v>Split</x:v>
      </x:c>
      <x:c r="D954" s="7" t="str">
        <x:v>MVP</x:v>
      </x:c>
      <x:c r="E954" s="7" t="str">
        <x:v>Neon</x:v>
      </x:c>
      <x:c r="F954" s="7" t="n">
        <x:v>13</x:v>
      </x:c>
      <x:c r="G954" s="7" t="n">
        <x:v>10</x:v>
      </x:c>
      <x:c r="H954" s="7" t="str">
        <x:f>IF(F954&gt;G954,"Win",IF(F954&lt;G954,"Loss","Draw"))</x:f>
        <x:v>Win</x:v>
      </x:c>
      <x:c r="I954" s="7" t="n">
        <x:f>IF(H954="Win",1,0)</x:f>
        <x:v>1</x:v>
      </x:c>
      <x:c r="J954" s="7" t="n">
        <x:f>F954-G954</x:f>
        <x:v>3</x:v>
      </x:c>
      <x:c r="K954" s="7" t="n">
        <x:f>F954+G954</x:f>
        <x:v>23</x:v>
      </x:c>
      <x:c r="L954" s="7" t="n">
        <x:v>23</x:v>
      </x:c>
      <x:c r="M954" s="7" t="n">
        <x:v>20</x:v>
      </x:c>
      <x:c r="N954" s="7" t="n">
        <x:v>5</x:v>
      </x:c>
      <x:c r="O954" s="9" t="n">
        <x:f>IF(M954=0,"n.a.",L954/M954)</x:f>
        <x:v>1.15</x:v>
      </x:c>
      <x:c r="P954" s="9" t="n">
        <x:f>IF(K954=0,"n.a.",L954/K954)</x:f>
        <x:v>1</x:v>
      </x:c>
      <x:c r="Q954" s="9" t="n">
        <x:f>IF(K954=0,"n.a.",M954/K954)</x:f>
        <x:v>0.8695652173913043</x:v>
      </x:c>
      <x:c r="R954" s="9" t="n">
        <x:f>IF(K954=0,"n.a.",N954/K954)</x:f>
        <x:v>0.21739130434782608</x:v>
      </x:c>
      <x:c r="S954" s="7" t="n">
        <x:v>12</x:v>
      </x:c>
      <x:c r="T954" s="10" t="n">
        <x:v>0.23</x:v>
      </x:c>
      <x:c r="U954" s="7" t="n">
        <x:v>290</x:v>
      </x:c>
      <x:c r="V954" s="7" t="n">
        <x:v>746</x:v>
      </x:c>
    </x:row>
    <x:row r="955" ht="16" customHeight="1">
      <x:c r="A955" s="7" t="n">
        <x:v>952</x:v>
      </x:c>
      <x:c r="B955" s="8" t="n">
        <x:v>46205</x:v>
      </x:c>
      <x:c r="C955" s="7" t="str">
        <x:v>Lotus</x:v>
      </x:c>
      <x:c r="D955" s="7" t="str">
        <x:v>3rd</x:v>
      </x:c>
      <x:c r="E955" s="7" t="str">
        <x:v>Neon</x:v>
      </x:c>
      <x:c r="F955" s="7" t="n">
        <x:v>14</x:v>
      </x:c>
      <x:c r="G955" s="7" t="n">
        <x:v>14</x:v>
      </x:c>
      <x:c r="H955" s="7" t="str">
        <x:f>IF(F955&gt;G955,"Win",IF(F955&lt;G955,"Loss","Draw"))</x:f>
        <x:v>Draw</x:v>
      </x:c>
      <x:c r="I955" s="7" t="n">
        <x:f>IF(H955="Win",1,0)</x:f>
        <x:v>0</x:v>
      </x:c>
      <x:c r="J955" s="7" t="n">
        <x:f>F955-G955</x:f>
        <x:v>0</x:v>
      </x:c>
      <x:c r="K955" s="7" t="n">
        <x:f>F955+G955</x:f>
        <x:v>28</x:v>
      </x:c>
      <x:c r="L955" s="7" t="n">
        <x:v>25</x:v>
      </x:c>
      <x:c r="M955" s="7" t="n">
        <x:v>21</x:v>
      </x:c>
      <x:c r="N955" s="7" t="n">
        <x:v>8</x:v>
      </x:c>
      <x:c r="O955" s="9" t="n">
        <x:f>IF(M955=0,"n.a.",L955/M955)</x:f>
        <x:v>1.1904761904761905</x:v>
      </x:c>
      <x:c r="P955" s="9" t="n">
        <x:f>IF(K955=0,"n.a.",L955/K955)</x:f>
        <x:v>0.8928571428571429</x:v>
      </x:c>
      <x:c r="Q955" s="9" t="n">
        <x:f>IF(K955=0,"n.a.",M955/K955)</x:f>
        <x:v>0.75</x:v>
      </x:c>
      <x:c r="R955" s="9" t="n">
        <x:f>IF(K955=0,"n.a.",N955/K955)</x:f>
        <x:v>0.2857142857142857</x:v>
      </x:c>
      <x:c r="S955" s="7" t="n">
        <x:v>27</x:v>
      </x:c>
      <x:c r="T955" s="10" t="n">
        <x:v>0.2</x:v>
      </x:c>
      <x:c r="U955" s="7" t="n">
        <x:v>265</x:v>
      </x:c>
      <x:c r="V955" s="7" t="n">
        <x:v>735</x:v>
      </x:c>
    </x:row>
    <x:row r="956" ht="16" customHeight="1">
      <x:c r="A956" s="7" t="n">
        <x:v>953</x:v>
      </x:c>
      <x:c r="B956" s="8" t="n">
        <x:v>46205</x:v>
      </x:c>
      <x:c r="C956" s="7" t="str">
        <x:v>Breeze</x:v>
      </x:c>
      <x:c r="D956" s="7" t="str">
        <x:v>MVP</x:v>
      </x:c>
      <x:c r="E956" s="7" t="str">
        <x:v>Neon</x:v>
      </x:c>
      <x:c r="F956" s="7" t="n">
        <x:v>7</x:v>
      </x:c>
      <x:c r="G956" s="7" t="n">
        <x:v>1</x:v>
      </x:c>
      <x:c r="H956" s="7" t="str">
        <x:f>IF(F956&gt;G956,"Win",IF(F956&lt;G956,"Loss","Draw"))</x:f>
        <x:v>Win</x:v>
      </x:c>
      <x:c r="I956" s="7" t="n">
        <x:f>IF(H956="Win",1,0)</x:f>
        <x:v>1</x:v>
      </x:c>
      <x:c r="J956" s="7" t="n">
        <x:f>F956-G956</x:f>
        <x:v>6</x:v>
      </x:c>
      <x:c r="K956" s="7" t="n">
        <x:f>F956+G956</x:f>
        <x:v>8</x:v>
      </x:c>
      <x:c r="L956" s="7" t="n">
        <x:v>9</x:v>
      </x:c>
      <x:c r="M956" s="7" t="n">
        <x:v>5</x:v>
      </x:c>
      <x:c r="N956" s="7" t="n">
        <x:v>2</x:v>
      </x:c>
      <x:c r="O956" s="9" t="n">
        <x:f>IF(M956=0,"n.a.",L956/M956)</x:f>
        <x:v>1.8</x:v>
      </x:c>
      <x:c r="P956" s="9" t="n">
        <x:f>IF(K956=0,"n.a.",L956/K956)</x:f>
        <x:v>1.125</x:v>
      </x:c>
      <x:c r="Q956" s="9" t="n">
        <x:f>IF(K956=0,"n.a.",M956/K956)</x:f>
        <x:v>0.625</x:v>
      </x:c>
      <x:c r="R956" s="9" t="n">
        <x:f>IF(K956=0,"n.a.",N956/K956)</x:f>
        <x:v>0.25</x:v>
      </x:c>
      <x:c r="S956" s="7" t="n">
        <x:v>125</x:v>
      </x:c>
      <x:c r="T956" s="10" t="n">
        <x:v>0.4</x:v>
      </x:c>
      <x:c r="U956" s="7" t="n">
        <x:v>310</x:v>
      </x:c>
      <x:c r="V956" s="7" t="n">
        <x:v>971</x:v>
      </x:c>
    </x:row>
    <x:row r="957" ht="16" customHeight="1">
      <x:c r="A957" s="7" t="n">
        <x:v>954</x:v>
      </x:c>
      <x:c r="B957" s="8" t="n">
        <x:v>46206</x:v>
      </x:c>
      <x:c r="C957" s="7" t="str">
        <x:v>Sunset</x:v>
      </x:c>
      <x:c r="D957" s="7" t="str">
        <x:v>3rd</x:v>
      </x:c>
      <x:c r="E957" s="7" t="str">
        <x:v>Neon</x:v>
      </x:c>
      <x:c r="F957" s="7" t="n">
        <x:v>12</x:v>
      </x:c>
      <x:c r="G957" s="7" t="n">
        <x:v>14</x:v>
      </x:c>
      <x:c r="H957" s="7" t="str">
        <x:f>IF(F957&gt;G957,"Win",IF(F957&lt;G957,"Loss","Draw"))</x:f>
        <x:v>Loss</x:v>
      </x:c>
      <x:c r="I957" s="7" t="n">
        <x:f>IF(H957="Win",1,0)</x:f>
        <x:v>0</x:v>
      </x:c>
      <x:c r="J957" s="7" t="n">
        <x:f>F957-G957</x:f>
        <x:v>-2</x:v>
      </x:c>
      <x:c r="K957" s="7" t="n">
        <x:f>F957+G957</x:f>
        <x:v>26</x:v>
      </x:c>
      <x:c r="L957" s="7" t="n">
        <x:v>23</x:v>
      </x:c>
      <x:c r="M957" s="7" t="n">
        <x:v>21</x:v>
      </x:c>
      <x:c r="N957" s="7" t="n">
        <x:v>2</x:v>
      </x:c>
      <x:c r="O957" s="9" t="n">
        <x:f>IF(M957=0,"n.a.",L957/M957)</x:f>
        <x:v>1.0952380952380953</x:v>
      </x:c>
      <x:c r="P957" s="9" t="n">
        <x:f>IF(K957=0,"n.a.",L957/K957)</x:f>
        <x:v>0.8846153846153846</x:v>
      </x:c>
      <x:c r="Q957" s="9" t="n">
        <x:f>IF(K957=0,"n.a.",M957/K957)</x:f>
        <x:v>0.8076923076923077</x:v>
      </x:c>
      <x:c r="R957" s="9" t="n">
        <x:f>IF(K957=0,"n.a.",N957/K957)</x:f>
        <x:v>0.07692307692307693</x:v>
      </x:c>
      <x:c r="S957" s="7" t="n">
        <x:v>25</x:v>
      </x:c>
      <x:c r="T957" s="10" t="n">
        <x:v>0.24</x:v>
      </x:c>
      <x:c r="U957" s="7" t="n">
        <x:v>258</x:v>
      </x:c>
      <x:c r="V957" s="7" t="n">
        <x:v>526</x:v>
      </x:c>
    </x:row>
    <x:row r="958" ht="16" customHeight="1">
      <x:c r="A958" s="7" t="n">
        <x:v>955</x:v>
      </x:c>
      <x:c r="B958" s="8" t="n">
        <x:v>46206</x:v>
      </x:c>
      <x:c r="C958" s="7" t="str">
        <x:v>Breeze</x:v>
      </x:c>
      <x:c r="D958" s="7" t="str">
        <x:v>MVP</x:v>
      </x:c>
      <x:c r="E958" s="7" t="str">
        <x:v>Neon</x:v>
      </x:c>
      <x:c r="F958" s="7" t="n">
        <x:v>13</x:v>
      </x:c>
      <x:c r="G958" s="7" t="n">
        <x:v>6</x:v>
      </x:c>
      <x:c r="H958" s="7" t="str">
        <x:f>IF(F958&gt;G958,"Win",IF(F958&lt;G958,"Loss","Draw"))</x:f>
        <x:v>Win</x:v>
      </x:c>
      <x:c r="I958" s="7" t="n">
        <x:f>IF(H958="Win",1,0)</x:f>
        <x:v>1</x:v>
      </x:c>
      <x:c r="J958" s="7" t="n">
        <x:f>F958-G958</x:f>
        <x:v>7</x:v>
      </x:c>
      <x:c r="K958" s="7" t="n">
        <x:f>F958+G958</x:f>
        <x:v>19</x:v>
      </x:c>
      <x:c r="L958" s="7" t="n">
        <x:v>25</x:v>
      </x:c>
      <x:c r="M958" s="7" t="n">
        <x:v>10</x:v>
      </x:c>
      <x:c r="N958" s="7" t="n">
        <x:v>5</x:v>
      </x:c>
      <x:c r="O958" s="9" t="n">
        <x:f>IF(M958=0,"n.a.",L958/M958)</x:f>
        <x:v>2.5</x:v>
      </x:c>
      <x:c r="P958" s="9" t="n">
        <x:f>IF(K958=0,"n.a.",L958/K958)</x:f>
        <x:v>1.3157894736842106</x:v>
      </x:c>
      <x:c r="Q958" s="9" t="n">
        <x:f>IF(K958=0,"n.a.",M958/K958)</x:f>
        <x:v>0.5263157894736842</x:v>
      </x:c>
      <x:c r="R958" s="9" t="n">
        <x:f>IF(K958=0,"n.a.",N958/K958)</x:f>
        <x:v>0.2631578947368421</x:v>
      </x:c>
      <x:c r="S958" s="7" t="n">
        <x:v>126</x:v>
      </x:c>
      <x:c r="T958" s="10" t="n">
        <x:v>0.38</x:v>
      </x:c>
      <x:c r="U958" s="7" t="n">
        <x:v>347</x:v>
      </x:c>
      <x:c r="V958" s="7" t="n">
        <x:v>968</x:v>
      </x:c>
    </x:row>
    <x:row r="959" ht="16" customHeight="1">
      <x:c r="A959" s="7" t="n">
        <x:v>956</x:v>
      </x:c>
      <x:c r="B959" s="8" t="n">
        <x:v>46206</x:v>
      </x:c>
      <x:c r="C959" s="7" t="str">
        <x:v>Haven</x:v>
      </x:c>
      <x:c r="D959" s="7" t="str">
        <x:v>2nd</x:v>
      </x:c>
      <x:c r="E959" s="7" t="str">
        <x:v>Astra</x:v>
      </x:c>
      <x:c r="F959" s="7" t="n">
        <x:v>15</x:v>
      </x:c>
      <x:c r="G959" s="7" t="n">
        <x:v>13</x:v>
      </x:c>
      <x:c r="H959" s="7" t="str">
        <x:f>IF(F959&gt;G959,"Win",IF(F959&lt;G959,"Loss","Draw"))</x:f>
        <x:v>Win</x:v>
      </x:c>
      <x:c r="I959" s="7" t="n">
        <x:f>IF(H959="Win",1,0)</x:f>
        <x:v>1</x:v>
      </x:c>
      <x:c r="J959" s="7" t="n">
        <x:f>F959-G959</x:f>
        <x:v>2</x:v>
      </x:c>
      <x:c r="K959" s="7" t="n">
        <x:f>F959+G959</x:f>
        <x:v>28</x:v>
      </x:c>
      <x:c r="L959" s="7" t="n">
        <x:v>27</x:v>
      </x:c>
      <x:c r="M959" s="7" t="n">
        <x:v>20</x:v>
      </x:c>
      <x:c r="N959" s="7" t="n">
        <x:v>5</x:v>
      </x:c>
      <x:c r="O959" s="9" t="n">
        <x:f>IF(M959=0,"n.a.",L959/M959)</x:f>
        <x:v>1.35</x:v>
      </x:c>
      <x:c r="P959" s="9" t="n">
        <x:f>IF(K959=0,"n.a.",L959/K959)</x:f>
        <x:v>0.9642857142857143</x:v>
      </x:c>
      <x:c r="Q959" s="9" t="n">
        <x:f>IF(K959=0,"n.a.",M959/K959)</x:f>
        <x:v>0.7142857142857143</x:v>
      </x:c>
      <x:c r="R959" s="9" t="n">
        <x:f>IF(K959=0,"n.a.",N959/K959)</x:f>
        <x:v>0.17857142857142858</x:v>
      </x:c>
      <x:c r="S959" s="7" t="n">
        <x:v>31</x:v>
      </x:c>
      <x:c r="T959" s="10" t="n">
        <x:v>0.35</x:v>
      </x:c>
      <x:c r="U959" s="7" t="n">
        <x:v>270</x:v>
      </x:c>
      <x:c r="V959" s="7" t="n">
        <x:v>753</x:v>
      </x:c>
    </x:row>
    <x:row r="960" ht="16" customHeight="1">
      <x:c r="A960" s="7" t="n">
        <x:v>957</x:v>
      </x:c>
      <x:c r="B960" s="8" t="n">
        <x:v>46206</x:v>
      </x:c>
      <x:c r="C960" s="7" t="str">
        <x:v>Haven</x:v>
      </x:c>
      <x:c r="D960" s="7" t="str">
        <x:v>2nd</x:v>
      </x:c>
      <x:c r="E960" s="7" t="str">
        <x:v>Neon</x:v>
      </x:c>
      <x:c r="F960" s="7" t="n">
        <x:v>13</x:v>
      </x:c>
      <x:c r="G960" s="7" t="n">
        <x:v>7</x:v>
      </x:c>
      <x:c r="H960" s="7" t="str">
        <x:f>IF(F960&gt;G960,"Win",IF(F960&lt;G960,"Loss","Draw"))</x:f>
        <x:v>Win</x:v>
      </x:c>
      <x:c r="I960" s="7" t="n">
        <x:f>IF(H960="Win",1,0)</x:f>
        <x:v>1</x:v>
      </x:c>
      <x:c r="J960" s="7" t="n">
        <x:f>F960-G960</x:f>
        <x:v>6</x:v>
      </x:c>
      <x:c r="K960" s="7" t="n">
        <x:f>F960+G960</x:f>
        <x:v>20</x:v>
      </x:c>
      <x:c r="L960" s="7" t="n">
        <x:v>18</x:v>
      </x:c>
      <x:c r="M960" s="7" t="n">
        <x:v>16</x:v>
      </x:c>
      <x:c r="N960" s="7" t="n">
        <x:v>4</x:v>
      </x:c>
      <x:c r="O960" s="9" t="n">
        <x:f>IF(M960=0,"n.a.",L960/M960)</x:f>
        <x:v>1.125</x:v>
      </x:c>
      <x:c r="P960" s="9" t="n">
        <x:f>IF(K960=0,"n.a.",L960/K960)</x:f>
        <x:v>0.9</x:v>
      </x:c>
      <x:c r="Q960" s="9" t="n">
        <x:f>IF(K960=0,"n.a.",M960/K960)</x:f>
        <x:v>0.8</x:v>
      </x:c>
      <x:c r="R960" s="9" t="n">
        <x:f>IF(K960=0,"n.a.",N960/K960)</x:f>
        <x:v>0.2</x:v>
      </x:c>
      <x:c r="S960" s="7" t="n">
        <x:v>10</x:v>
      </x:c>
      <x:c r="T960" s="10" t="n">
        <x:v>0.33</x:v>
      </x:c>
      <x:c r="U960" s="7" t="n">
        <x:v>263</x:v>
      </x:c>
      <x:c r="V960" s="7" t="n">
        <x:v>589</x:v>
      </x:c>
    </x:row>
    <x:row r="961" ht="16" customHeight="1">
      <x:c r="A961" s="7" t="n">
        <x:v>958</x:v>
      </x:c>
      <x:c r="B961" s="8" t="n">
        <x:v>46206</x:v>
      </x:c>
      <x:c r="C961" s="7" t="str">
        <x:v>Lotus</x:v>
      </x:c>
      <x:c r="D961" s="7" t="str">
        <x:v>3rd</x:v>
      </x:c>
      <x:c r="E961" s="7" t="str">
        <x:v>Neon</x:v>
      </x:c>
      <x:c r="F961" s="7" t="n">
        <x:v>11</x:v>
      </x:c>
      <x:c r="G961" s="7" t="n">
        <x:v>13</x:v>
      </x:c>
      <x:c r="H961" s="7" t="str">
        <x:f>IF(F961&gt;G961,"Win",IF(F961&lt;G961,"Loss","Draw"))</x:f>
        <x:v>Loss</x:v>
      </x:c>
      <x:c r="I961" s="7" t="n">
        <x:f>IF(H961="Win",1,0)</x:f>
        <x:v>0</x:v>
      </x:c>
      <x:c r="J961" s="7" t="n">
        <x:f>F961-G961</x:f>
        <x:v>-2</x:v>
      </x:c>
      <x:c r="K961" s="7" t="n">
        <x:f>F961+G961</x:f>
        <x:v>24</x:v>
      </x:c>
      <x:c r="L961" s="7" t="n">
        <x:v>22</x:v>
      </x:c>
      <x:c r="M961" s="7" t="n">
        <x:v>17</x:v>
      </x:c>
      <x:c r="N961" s="7" t="n">
        <x:v>1</x:v>
      </x:c>
      <x:c r="O961" s="9" t="n">
        <x:f>IF(M961=0,"n.a.",L961/M961)</x:f>
        <x:v>1.2941176470588236</x:v>
      </x:c>
      <x:c r="P961" s="9" t="n">
        <x:f>IF(K961=0,"n.a.",L961/K961)</x:f>
        <x:v>0.9166666666666666</x:v>
      </x:c>
      <x:c r="Q961" s="9" t="n">
        <x:f>IF(K961=0,"n.a.",M961/K961)</x:f>
        <x:v>0.7083333333333334</x:v>
      </x:c>
      <x:c r="R961" s="9" t="n">
        <x:f>IF(K961=0,"n.a.",N961/K961)</x:f>
        <x:v>0.041666666666666664</x:v>
      </x:c>
      <x:c r="S961" s="7" t="n">
        <x:v>6</x:v>
      </x:c>
      <x:c r="T961" s="10" t="n">
        <x:v>0.25</x:v>
      </x:c>
      <x:c r="U961" s="7" t="n">
        <x:v>246</x:v>
      </x:c>
      <x:c r="V961" s="7" t="n">
        <x:v>567</x:v>
      </x:c>
    </x:row>
    <x:row r="962" ht="16" customHeight="1">
      <x:c r="A962" s="7" t="n">
        <x:v>959</x:v>
      </x:c>
      <x:c r="B962" s="8" t="n">
        <x:v>46207</x:v>
      </x:c>
      <x:c r="C962" s="7" t="str">
        <x:v>Breeze</x:v>
      </x:c>
      <x:c r="D962" s="7" t="str">
        <x:v>2nd</x:v>
      </x:c>
      <x:c r="E962" s="7" t="str">
        <x:v>Neon</x:v>
      </x:c>
      <x:c r="F962" s="7" t="n">
        <x:v>14</x:v>
      </x:c>
      <x:c r="G962" s="7" t="n">
        <x:v>14</x:v>
      </x:c>
      <x:c r="H962" s="7" t="str">
        <x:f>IF(F962&gt;G962,"Win",IF(F962&lt;G962,"Loss","Draw"))</x:f>
        <x:v>Draw</x:v>
      </x:c>
      <x:c r="I962" s="7" t="n">
        <x:f>IF(H962="Win",1,0)</x:f>
        <x:v>0</x:v>
      </x:c>
      <x:c r="J962" s="7" t="n">
        <x:f>F962-G962</x:f>
        <x:v>0</x:v>
      </x:c>
      <x:c r="K962" s="7" t="n">
        <x:f>F962+G962</x:f>
        <x:v>28</x:v>
      </x:c>
      <x:c r="L962" s="7" t="n">
        <x:v>28</x:v>
      </x:c>
      <x:c r="M962" s="7" t="n">
        <x:v>20</x:v>
      </x:c>
      <x:c r="N962" s="7" t="n">
        <x:v>4</x:v>
      </x:c>
      <x:c r="O962" s="9" t="n">
        <x:f>IF(M962=0,"n.a.",L962/M962)</x:f>
        <x:v>1.4</x:v>
      </x:c>
      <x:c r="P962" s="9" t="n">
        <x:f>IF(K962=0,"n.a.",L962/K962)</x:f>
        <x:v>1</x:v>
      </x:c>
      <x:c r="Q962" s="9" t="n">
        <x:f>IF(K962=0,"n.a.",M962/K962)</x:f>
        <x:v>0.7142857142857143</x:v>
      </x:c>
      <x:c r="R962" s="9" t="n">
        <x:f>IF(K962=0,"n.a.",N962/K962)</x:f>
        <x:v>0.14285714285714285</x:v>
      </x:c>
      <x:c r="S962" s="7" t="n">
        <x:v>36</x:v>
      </x:c>
      <x:c r="T962" s="10" t="n">
        <x:v>0.3</x:v>
      </x:c>
      <x:c r="U962" s="7" t="n">
        <x:v>271</x:v>
      </x:c>
      <x:c r="V962" s="7" t="n">
        <x:v>719</x:v>
      </x:c>
    </x:row>
    <x:row r="963" ht="16" customHeight="1">
      <x:c r="A963" s="7" t="n">
        <x:v>960</x:v>
      </x:c>
      <x:c r="B963" s="8" t="n">
        <x:v>46207</x:v>
      </x:c>
      <x:c r="C963" s="7" t="str">
        <x:v>Lotus</x:v>
      </x:c>
      <x:c r="D963" s="7" t="str">
        <x:v>MVP</x:v>
      </x:c>
      <x:c r="E963" s="7" t="str">
        <x:v>Neon</x:v>
      </x:c>
      <x:c r="F963" s="7" t="n">
        <x:v>13</x:v>
      </x:c>
      <x:c r="G963" s="7" t="n">
        <x:v>5</x:v>
      </x:c>
      <x:c r="H963" s="7" t="str">
        <x:f>IF(F963&gt;G963,"Win",IF(F963&lt;G963,"Loss","Draw"))</x:f>
        <x:v>Win</x:v>
      </x:c>
      <x:c r="I963" s="7" t="n">
        <x:f>IF(H963="Win",1,0)</x:f>
        <x:v>1</x:v>
      </x:c>
      <x:c r="J963" s="7" t="n">
        <x:f>F963-G963</x:f>
        <x:v>8</x:v>
      </x:c>
      <x:c r="K963" s="7" t="n">
        <x:f>F963+G963</x:f>
        <x:v>18</x:v>
      </x:c>
      <x:c r="L963" s="7" t="n">
        <x:v>34</x:v>
      </x:c>
      <x:c r="M963" s="7" t="n">
        <x:v>8</x:v>
      </x:c>
      <x:c r="N963" s="7" t="n">
        <x:v>4</x:v>
      </x:c>
      <x:c r="O963" s="9" t="n">
        <x:f>IF(M963=0,"n.a.",L963/M963)</x:f>
        <x:v>4.25</x:v>
      </x:c>
      <x:c r="P963" s="9" t="n">
        <x:f>IF(K963=0,"n.a.",L963/K963)</x:f>
        <x:v>1.8888888888888888</x:v>
      </x:c>
      <x:c r="Q963" s="9" t="n">
        <x:f>IF(K963=0,"n.a.",M963/K963)</x:f>
        <x:v>0.4444444444444444</x:v>
      </x:c>
      <x:c r="R963" s="9" t="n">
        <x:f>IF(K963=0,"n.a.",N963/K963)</x:f>
        <x:v>0.2222222222222222</x:v>
      </x:c>
      <x:c r="S963" s="7" t="n">
        <x:v>183</x:v>
      </x:c>
      <x:c r="T963" s="10" t="n">
        <x:v>0.34</x:v>
      </x:c>
      <x:c r="U963" s="7" t="n">
        <x:v>508</x:v>
      </x:c>
      <x:c r="V963" s="7" t="n">
        <x:v>993</x:v>
      </x:c>
    </x:row>
    <x:row r="964" ht="16" customHeight="1">
      <x:c r="A964" s="7" t="n">
        <x:v>961</x:v>
      </x:c>
      <x:c r="B964" s="8" t="n">
        <x:v>46207</x:v>
      </x:c>
      <x:c r="C964" s="7" t="str">
        <x:v>Split</x:v>
      </x:c>
      <x:c r="D964" s="7" t="str">
        <x:v>2nd</x:v>
      </x:c>
      <x:c r="E964" s="7" t="str">
        <x:v>Neon</x:v>
      </x:c>
      <x:c r="F964" s="7" t="n">
        <x:v>14</x:v>
      </x:c>
      <x:c r="G964" s="7" t="n">
        <x:v>14</x:v>
      </x:c>
      <x:c r="H964" s="7" t="str">
        <x:f>IF(F964&gt;G964,"Win",IF(F964&lt;G964,"Loss","Draw"))</x:f>
        <x:v>Draw</x:v>
      </x:c>
      <x:c r="I964" s="7" t="n">
        <x:f>IF(H964="Win",1,0)</x:f>
        <x:v>0</x:v>
      </x:c>
      <x:c r="J964" s="7" t="n">
        <x:f>F964-G964</x:f>
        <x:v>0</x:v>
      </x:c>
      <x:c r="K964" s="7" t="n">
        <x:f>F964+G964</x:f>
        <x:v>28</x:v>
      </x:c>
      <x:c r="L964" s="7" t="n">
        <x:v>34</x:v>
      </x:c>
      <x:c r="M964" s="7" t="n">
        <x:v>24</x:v>
      </x:c>
      <x:c r="N964" s="7" t="n">
        <x:v>4</x:v>
      </x:c>
      <x:c r="O964" s="9" t="n">
        <x:f>IF(M964=0,"n.a.",L964/M964)</x:f>
        <x:v>1.4166666666666667</x:v>
      </x:c>
      <x:c r="P964" s="9" t="n">
        <x:f>IF(K964=0,"n.a.",L964/K964)</x:f>
        <x:v>1.2142857142857142</x:v>
      </x:c>
      <x:c r="Q964" s="9" t="n">
        <x:f>IF(K964=0,"n.a.",M964/K964)</x:f>
        <x:v>0.8571428571428571</x:v>
      </x:c>
      <x:c r="R964" s="9" t="n">
        <x:f>IF(K964=0,"n.a.",N964/K964)</x:f>
        <x:v>0.14285714285714285</x:v>
      </x:c>
      <x:c r="S964" s="7" t="n">
        <x:v>50</x:v>
      </x:c>
      <x:c r="T964" s="10" t="n">
        <x:v>0.17</x:v>
      </x:c>
      <x:c r="U964" s="7" t="n">
        <x:v>349</x:v>
      </x:c>
      <x:c r="V964" s="7" t="n">
        <x:v>719</x:v>
      </x:c>
    </x:row>
    <x:row r="965" ht="16" customHeight="1">
      <x:c r="A965" s="7" t="n">
        <x:v>962</x:v>
      </x:c>
      <x:c r="B965" s="8" t="n">
        <x:v>46207</x:v>
      </x:c>
      <x:c r="C965" s="7" t="str">
        <x:v>Summit</x:v>
      </x:c>
      <x:c r="D965" s="7" t="str">
        <x:v>9th</x:v>
      </x:c>
      <x:c r="E965" s="7" t="str">
        <x:v>Neon</x:v>
      </x:c>
      <x:c r="F965" s="7" t="n">
        <x:v>15</x:v>
      </x:c>
      <x:c r="G965" s="7" t="n">
        <x:v>13</x:v>
      </x:c>
      <x:c r="H965" s="7" t="str">
        <x:f>IF(F965&gt;G965,"Win",IF(F965&lt;G965,"Loss","Draw"))</x:f>
        <x:v>Win</x:v>
      </x:c>
      <x:c r="I965" s="7" t="n">
        <x:f>IF(H965="Win",1,0)</x:f>
        <x:v>1</x:v>
      </x:c>
      <x:c r="J965" s="7" t="n">
        <x:f>F965-G965</x:f>
        <x:v>2</x:v>
      </x:c>
      <x:c r="K965" s="7" t="n">
        <x:f>F965+G965</x:f>
        <x:v>28</x:v>
      </x:c>
      <x:c r="L965" s="7" t="n">
        <x:v>17</x:v>
      </x:c>
      <x:c r="M965" s="7" t="n">
        <x:v>23</x:v>
      </x:c>
      <x:c r="N965" s="7" t="n">
        <x:v>4</x:v>
      </x:c>
      <x:c r="O965" s="9" t="n">
        <x:f>IF(M965=0,"n.a.",L965/M965)</x:f>
        <x:v>0.7391304347826086</x:v>
      </x:c>
      <x:c r="P965" s="9" t="n">
        <x:f>IF(K965=0,"n.a.",L965/K965)</x:f>
        <x:v>0.6071428571428571</x:v>
      </x:c>
      <x:c r="Q965" s="9" t="n">
        <x:f>IF(K965=0,"n.a.",M965/K965)</x:f>
        <x:v>0.8214285714285714</x:v>
      </x:c>
      <x:c r="R965" s="9" t="n">
        <x:f>IF(K965=0,"n.a.",N965/K965)</x:f>
        <x:v>0.14285714285714285</x:v>
      </x:c>
      <x:c r="S965" s="7" t="n">
        <x:v>-30</x:v>
      </x:c>
      <x:c r="T965" s="10" t="n">
        <x:v>0.25</x:v>
      </x:c>
      <x:c r="U965" s="7" t="n">
        <x:v>162</x:v>
      </x:c>
      <x:c r="V965" s="7" t="n">
        <x:v>342</x:v>
      </x:c>
    </x:row>
    <x:row r="966" ht="16" customHeight="1">
      <x:c r="A966" s="7" t="n">
        <x:v>963</x:v>
      </x:c>
      <x:c r="B966" s="8" t="n">
        <x:v>46207</x:v>
      </x:c>
      <x:c r="C966" s="7" t="str">
        <x:v>Ascent</x:v>
      </x:c>
      <x:c r="D966" s="7" t="str">
        <x:v>6th</x:v>
      </x:c>
      <x:c r="E966" s="7" t="str">
        <x:v>Sage</x:v>
      </x:c>
      <x:c r="F966" s="7" t="n">
        <x:v>9</x:v>
      </x:c>
      <x:c r="G966" s="7" t="n">
        <x:v>13</x:v>
      </x:c>
      <x:c r="H966" s="7" t="str">
        <x:f>IF(F966&gt;G966,"Win",IF(F966&lt;G966,"Loss","Draw"))</x:f>
        <x:v>Loss</x:v>
      </x:c>
      <x:c r="I966" s="7" t="n">
        <x:f>IF(H966="Win",1,0)</x:f>
        <x:v>0</x:v>
      </x:c>
      <x:c r="J966" s="7" t="n">
        <x:f>F966-G966</x:f>
        <x:v>-4</x:v>
      </x:c>
      <x:c r="K966" s="7" t="n">
        <x:f>F966+G966</x:f>
        <x:v>22</x:v>
      </x:c>
      <x:c r="L966" s="7" t="n">
        <x:v>15</x:v>
      </x:c>
      <x:c r="M966" s="7" t="n">
        <x:v>19</x:v>
      </x:c>
      <x:c r="N966" s="7" t="n">
        <x:v>3</x:v>
      </x:c>
      <x:c r="O966" s="9" t="n">
        <x:f>IF(M966=0,"n.a.",L966/M966)</x:f>
        <x:v>0.7894736842105263</x:v>
      </x:c>
      <x:c r="P966" s="9" t="n">
        <x:f>IF(K966=0,"n.a.",L966/K966)</x:f>
        <x:v>0.6818181818181818</x:v>
      </x:c>
      <x:c r="Q966" s="9" t="n">
        <x:f>IF(K966=0,"n.a.",M966/K966)</x:f>
        <x:v>0.8636363636363636</x:v>
      </x:c>
      <x:c r="R966" s="9" t="n">
        <x:f>IF(K966=0,"n.a.",N966/K966)</x:f>
        <x:v>0.13636363636363635</x:v>
      </x:c>
      <x:c r="S966" s="7" t="n">
        <x:v>-30</x:v>
      </x:c>
      <x:c r="T966" s="10" t="n">
        <x:v>0.3</x:v>
      </x:c>
      <x:c r="U966" s="7" t="n">
        <x:v>198</x:v>
      </x:c>
      <x:c r="V966" s="7" t="n">
        <x:v>372</x:v>
      </x:c>
    </x:row>
    <x:row r="967" ht="16" customHeight="1">
      <x:c r="A967" s="7" t="n">
        <x:v>964</x:v>
      </x:c>
      <x:c r="B967" s="8" t="n">
        <x:v>46208</x:v>
      </x:c>
      <x:c r="C967" s="7" t="str">
        <x:v>Ascent</x:v>
      </x:c>
      <x:c r="D967" s="7" t="str">
        <x:v>6th</x:v>
      </x:c>
      <x:c r="E967" s="7" t="str">
        <x:v>Neon</x:v>
      </x:c>
      <x:c r="F967" s="7" t="n">
        <x:v>8</x:v>
      </x:c>
      <x:c r="G967" s="7" t="n">
        <x:v>13</x:v>
      </x:c>
      <x:c r="H967" s="7" t="str">
        <x:f>IF(F967&gt;G967,"Win",IF(F967&lt;G967,"Loss","Draw"))</x:f>
        <x:v>Loss</x:v>
      </x:c>
      <x:c r="I967" s="7" t="n">
        <x:f>IF(H967="Win",1,0)</x:f>
        <x:v>0</x:v>
      </x:c>
      <x:c r="J967" s="7" t="n">
        <x:f>F967-G967</x:f>
        <x:v>-5</x:v>
      </x:c>
      <x:c r="K967" s="7" t="n">
        <x:f>F967+G967</x:f>
        <x:v>21</x:v>
      </x:c>
      <x:c r="L967" s="7" t="n">
        <x:v>14</x:v>
      </x:c>
      <x:c r="M967" s="7" t="n">
        <x:v>17</x:v>
      </x:c>
      <x:c r="N967" s="7" t="n">
        <x:v>3</x:v>
      </x:c>
      <x:c r="O967" s="9" t="n">
        <x:f>IF(M967=0,"n.a.",L967/M967)</x:f>
        <x:v>0.8235294117647058</x:v>
      </x:c>
      <x:c r="P967" s="9" t="n">
        <x:f>IF(K967=0,"n.a.",L967/K967)</x:f>
        <x:v>0.6666666666666666</x:v>
      </x:c>
      <x:c r="Q967" s="9" t="n">
        <x:f>IF(K967=0,"n.a.",M967/K967)</x:f>
        <x:v>0.8095238095238095</x:v>
      </x:c>
      <x:c r="R967" s="9" t="n">
        <x:f>IF(K967=0,"n.a.",N967/K967)</x:f>
        <x:v>0.14285714285714285</x:v>
      </x:c>
      <x:c r="S967" s="7" t="n">
        <x:v>-18</x:v>
      </x:c>
      <x:c r="T967" s="10" t="n">
        <x:v>0.2</x:v>
      </x:c>
      <x:c r="U967" s="7" t="n">
        <x:v>194</x:v>
      </x:c>
      <x:c r="V967" s="7" t="n">
        <x:v>361</x:v>
      </x:c>
    </x:row>
    <x:row r="968" ht="16" customHeight="1">
      <x:c r="A968" s="7" t="n">
        <x:v>965</x:v>
      </x:c>
      <x:c r="B968" s="8" t="n">
        <x:v>46209</x:v>
      </x:c>
      <x:c r="C968" s="7" t="str">
        <x:v>Sunset</x:v>
      </x:c>
      <x:c r="D968" s="7" t="str">
        <x:v>5th</x:v>
      </x:c>
      <x:c r="E968" s="7" t="str">
        <x:v>Reyna</x:v>
      </x:c>
      <x:c r="F968" s="7" t="n">
        <x:v>8</x:v>
      </x:c>
      <x:c r="G968" s="7" t="n">
        <x:v>13</x:v>
      </x:c>
      <x:c r="H968" s="7" t="str">
        <x:f>IF(F968&gt;G968,"Win",IF(F968&lt;G968,"Loss","Draw"))</x:f>
        <x:v>Loss</x:v>
      </x:c>
      <x:c r="I968" s="7" t="n">
        <x:f>IF(H968="Win",1,0)</x:f>
        <x:v>0</x:v>
      </x:c>
      <x:c r="J968" s="7" t="n">
        <x:f>F968-G968</x:f>
        <x:v>-5</x:v>
      </x:c>
      <x:c r="K968" s="7" t="n">
        <x:f>F968+G968</x:f>
        <x:v>21</x:v>
      </x:c>
      <x:c r="L968" s="7" t="n">
        <x:v>17</x:v>
      </x:c>
      <x:c r="M968" s="7" t="n">
        <x:v>20</x:v>
      </x:c>
      <x:c r="N968" s="7" t="n">
        <x:v>1</x:v>
      </x:c>
      <x:c r="O968" s="9" t="n">
        <x:f>IF(M968=0,"n.a.",L968/M968)</x:f>
        <x:v>0.85</x:v>
      </x:c>
      <x:c r="P968" s="9" t="n">
        <x:f>IF(K968=0,"n.a.",L968/K968)</x:f>
        <x:v>0.8095238095238095</x:v>
      </x:c>
      <x:c r="Q968" s="9" t="n">
        <x:f>IF(K968=0,"n.a.",M968/K968)</x:f>
        <x:v>0.9523809523809523</x:v>
      </x:c>
      <x:c r="R968" s="9" t="n">
        <x:f>IF(K968=0,"n.a.",N968/K968)</x:f>
        <x:v>0.047619047619047616</x:v>
      </x:c>
      <x:c r="S968" s="7" t="n">
        <x:v>-16</x:v>
      </x:c>
      <x:c r="T968" s="10" t="n">
        <x:v>0.45</x:v>
      </x:c>
      <x:c r="U968" s="7" t="n">
        <x:v>232</x:v>
      </x:c>
      <x:c r="V968" s="7" t="n">
        <x:v>511</x:v>
      </x:c>
    </x:row>
    <x:row r="969" ht="16" customHeight="1">
      <x:c r="A969" s="7" t="n">
        <x:v>966</x:v>
      </x:c>
      <x:c r="B969" s="8" t="n">
        <x:v>46209</x:v>
      </x:c>
      <x:c r="C969" s="7" t="str">
        <x:v>Summit</x:v>
      </x:c>
      <x:c r="D969" s="7" t="str">
        <x:v>4th</x:v>
      </x:c>
      <x:c r="E969" s="7" t="str">
        <x:v>Neon</x:v>
      </x:c>
      <x:c r="F969" s="7" t="n">
        <x:v>10</x:v>
      </x:c>
      <x:c r="G969" s="7" t="n">
        <x:v>13</x:v>
      </x:c>
      <x:c r="H969" s="7" t="str">
        <x:f>IF(F969&gt;G969,"Win",IF(F969&lt;G969,"Loss","Draw"))</x:f>
        <x:v>Loss</x:v>
      </x:c>
      <x:c r="I969" s="7" t="n">
        <x:f>IF(H969="Win",1,0)</x:f>
        <x:v>0</x:v>
      </x:c>
      <x:c r="J969" s="7" t="n">
        <x:f>F969-G969</x:f>
        <x:v>-3</x:v>
      </x:c>
      <x:c r="K969" s="7" t="n">
        <x:f>F969+G969</x:f>
        <x:v>23</x:v>
      </x:c>
      <x:c r="L969" s="7" t="n">
        <x:v>21</x:v>
      </x:c>
      <x:c r="M969" s="7" t="n">
        <x:v>19</x:v>
      </x:c>
      <x:c r="N969" s="7" t="n">
        <x:v>0</x:v>
      </x:c>
      <x:c r="O969" s="9" t="n">
        <x:f>IF(M969=0,"n.a.",L969/M969)</x:f>
        <x:v>1.105263157894737</x:v>
      </x:c>
      <x:c r="P969" s="9" t="n">
        <x:f>IF(K969=0,"n.a.",L969/K969)</x:f>
        <x:v>0.9130434782608695</x:v>
      </x:c>
      <x:c r="Q969" s="9" t="n">
        <x:f>IF(K969=0,"n.a.",M969/K969)</x:f>
        <x:v>0.8260869565217391</x:v>
      </x:c>
      <x:c r="R969" s="9" t="n">
        <x:f>IF(K969=0,"n.a.",N969/K969)</x:f>
        <x:v>0</x:v>
      </x:c>
      <x:c r="S969" s="7" t="n">
        <x:v>-23</x:v>
      </x:c>
      <x:c r="T969" s="10" t="n">
        <x:v>0.21</x:v>
      </x:c>
      <x:c r="U969" s="7" t="n">
        <x:v>234</x:v>
      </x:c>
      <x:c r="V969" s="7" t="n">
        <x:v>511</x:v>
      </x:c>
    </x:row>
    <x:row r="970" ht="16" customHeight="1">
      <x:c r="A970" s="7" t="n">
        <x:v>967</x:v>
      </x:c>
      <x:c r="B970" s="8" t="n">
        <x:v>46209</x:v>
      </x:c>
      <x:c r="C970" s="7" t="str">
        <x:v>Ascent</x:v>
      </x:c>
      <x:c r="D970" s="7" t="str">
        <x:v>3rd</x:v>
      </x:c>
      <x:c r="E970" s="7" t="str">
        <x:v>Neon</x:v>
      </x:c>
      <x:c r="F970" s="7" t="n">
        <x:v>9</x:v>
      </x:c>
      <x:c r="G970" s="7" t="n">
        <x:v>13</x:v>
      </x:c>
      <x:c r="H970" s="7" t="str">
        <x:f>IF(F970&gt;G970,"Win",IF(F970&lt;G970,"Loss","Draw"))</x:f>
        <x:v>Loss</x:v>
      </x:c>
      <x:c r="I970" s="7" t="n">
        <x:f>IF(H970="Win",1,0)</x:f>
        <x:v>0</x:v>
      </x:c>
      <x:c r="J970" s="7" t="n">
        <x:f>F970-G970</x:f>
        <x:v>-4</x:v>
      </x:c>
      <x:c r="K970" s="7" t="n">
        <x:f>F970+G970</x:f>
        <x:v>22</x:v>
      </x:c>
      <x:c r="L970" s="7" t="n">
        <x:v>19</x:v>
      </x:c>
      <x:c r="M970" s="7" t="n">
        <x:v>18</x:v>
      </x:c>
      <x:c r="N970" s="7" t="n">
        <x:v>4</x:v>
      </x:c>
      <x:c r="O970" s="9" t="n">
        <x:f>IF(M970=0,"n.a.",L970/M970)</x:f>
        <x:v>1.0555555555555556</x:v>
      </x:c>
      <x:c r="P970" s="9" t="n">
        <x:f>IF(K970=0,"n.a.",L970/K970)</x:f>
        <x:v>0.8636363636363636</x:v>
      </x:c>
      <x:c r="Q970" s="9" t="n">
        <x:f>IF(K970=0,"n.a.",M970/K970)</x:f>
        <x:v>0.8181818181818182</x:v>
      </x:c>
      <x:c r="R970" s="9" t="n">
        <x:f>IF(K970=0,"n.a.",N970/K970)</x:f>
        <x:v>0.18181818181818182</x:v>
      </x:c>
      <x:c r="S970" s="7" t="n">
        <x:v>18</x:v>
      </x:c>
      <x:c r="T970" s="10" t="n">
        <x:v>0.3</x:v>
      </x:c>
      <x:c r="U970" s="7" t="n">
        <x:v>267</x:v>
      </x:c>
      <x:c r="V970" s="7" t="n">
        <x:v>653</x:v>
      </x:c>
    </x:row>
    <x:row r="971" ht="16" customHeight="1">
      <x:c r="A971" s="7" t="n">
        <x:v>968</x:v>
      </x:c>
      <x:c r="B971" s="8" t="n">
        <x:v>46209</x:v>
      </x:c>
      <x:c r="C971" s="7" t="str">
        <x:v>Lotus</x:v>
      </x:c>
      <x:c r="D971" s="7" t="str">
        <x:v>9th</x:v>
      </x:c>
      <x:c r="E971" s="7" t="str">
        <x:v>Neon</x:v>
      </x:c>
      <x:c r="F971" s="7" t="n">
        <x:v>13</x:v>
      </x:c>
      <x:c r="G971" s="7" t="n">
        <x:v>6</x:v>
      </x:c>
      <x:c r="H971" s="7" t="str">
        <x:f>IF(F971&gt;G971,"Win",IF(F971&lt;G971,"Loss","Draw"))</x:f>
        <x:v>Win</x:v>
      </x:c>
      <x:c r="I971" s="7" t="n">
        <x:f>IF(H971="Win",1,0)</x:f>
        <x:v>1</x:v>
      </x:c>
      <x:c r="J971" s="7" t="n">
        <x:f>F971-G971</x:f>
        <x:v>7</x:v>
      </x:c>
      <x:c r="K971" s="7" t="n">
        <x:f>F971+G971</x:f>
        <x:v>19</x:v>
      </x:c>
      <x:c r="L971" s="7" t="n">
        <x:v>10</x:v>
      </x:c>
      <x:c r="M971" s="7" t="n">
        <x:v>13</x:v>
      </x:c>
      <x:c r="N971" s="7" t="n">
        <x:v>0</x:v>
      </x:c>
      <x:c r="O971" s="9" t="n">
        <x:f>IF(M971=0,"n.a.",L971/M971)</x:f>
        <x:v>0.7692307692307693</x:v>
      </x:c>
      <x:c r="P971" s="9" t="n">
        <x:f>IF(K971=0,"n.a.",L971/K971)</x:f>
        <x:v>0.5263157894736842</x:v>
      </x:c>
      <x:c r="Q971" s="9" t="n">
        <x:f>IF(K971=0,"n.a.",M971/K971)</x:f>
        <x:v>0.6842105263157895</x:v>
      </x:c>
      <x:c r="R971" s="9" t="n">
        <x:f>IF(K971=0,"n.a.",N971/K971)</x:f>
        <x:v>0</x:v>
      </x:c>
      <x:c r="S971" s="7" t="n">
        <x:v>-44</x:v>
      </x:c>
      <x:c r="T971" s="10" t="n">
        <x:v>0.38</x:v>
      </x:c>
      <x:c r="U971" s="7" t="n">
        <x:v>129</x:v>
      </x:c>
      <x:c r="V971" s="7" t="n">
        <x:v>363</x:v>
      </x:c>
    </x:row>
    <x:row r="972" ht="16" customHeight="1">
      <x:c r="A972" s="7" t="n">
        <x:v>969</x:v>
      </x:c>
      <x:c r="B972" s="8" t="n">
        <x:v>46210</x:v>
      </x:c>
      <x:c r="C972" s="7" t="str">
        <x:v>Split</x:v>
      </x:c>
      <x:c r="D972" s="7" t="str">
        <x:v>8th</x:v>
      </x:c>
      <x:c r="E972" s="7" t="str">
        <x:v>Neon</x:v>
      </x:c>
      <x:c r="F972" s="7" t="n">
        <x:v>14</x:v>
      </x:c>
      <x:c r="G972" s="7" t="n">
        <x:v>12</x:v>
      </x:c>
      <x:c r="H972" s="7" t="str">
        <x:f>IF(F972&gt;G972,"Win",IF(F972&lt;G972,"Loss","Draw"))</x:f>
        <x:v>Win</x:v>
      </x:c>
      <x:c r="I972" s="7" t="n">
        <x:f>IF(H972="Win",1,0)</x:f>
        <x:v>1</x:v>
      </x:c>
      <x:c r="J972" s="7" t="n">
        <x:f>F972-G972</x:f>
        <x:v>2</x:v>
      </x:c>
      <x:c r="K972" s="7" t="n">
        <x:f>F972+G972</x:f>
        <x:v>26</x:v>
      </x:c>
      <x:c r="L972" s="7" t="n">
        <x:v>15</x:v>
      </x:c>
      <x:c r="M972" s="7" t="n">
        <x:v>13</x:v>
      </x:c>
      <x:c r="N972" s="7" t="n">
        <x:v>4</x:v>
      </x:c>
      <x:c r="O972" s="9" t="n">
        <x:f>IF(M972=0,"n.a.",L972/M972)</x:f>
        <x:v>1.1538461538461537</x:v>
      </x:c>
      <x:c r="P972" s="9" t="n">
        <x:f>IF(K972=0,"n.a.",L972/K972)</x:f>
        <x:v>0.5769230769230769</x:v>
      </x:c>
      <x:c r="Q972" s="9" t="n">
        <x:f>IF(K972=0,"n.a.",M972/K972)</x:f>
        <x:v>0.5</x:v>
      </x:c>
      <x:c r="R972" s="9" t="n">
        <x:f>IF(K972=0,"n.a.",N972/K972)</x:f>
        <x:v>0.15384615384615385</x:v>
      </x:c>
      <x:c r="S972" s="7" t="n">
        <x:v>22</x:v>
      </x:c>
      <x:c r="T972" s="10" t="n">
        <x:v>0.25</x:v>
      </x:c>
      <x:c r="U972" s="7" t="n">
        <x:v>164</x:v>
      </x:c>
      <x:c r="V972" s="7" t="n">
        <x:v>418</x:v>
      </x:c>
    </x:row>
    <x:row r="973" ht="16" customHeight="1">
      <x:c r="A973" s="7" t="n">
        <x:v>970</x:v>
      </x:c>
      <x:c r="B973" s="8" t="n">
        <x:v>46210</x:v>
      </x:c>
      <x:c r="C973" s="7" t="str">
        <x:v>Ascent</x:v>
      </x:c>
      <x:c r="D973" s="7" t="str">
        <x:v>3rd</x:v>
      </x:c>
      <x:c r="E973" s="7" t="str">
        <x:v>Neon</x:v>
      </x:c>
      <x:c r="F973" s="7" t="n">
        <x:v>13</x:v>
      </x:c>
      <x:c r="G973" s="7" t="n">
        <x:v>11</x:v>
      </x:c>
      <x:c r="H973" s="7" t="str">
        <x:f>IF(F973&gt;G973,"Win",IF(F973&lt;G973,"Loss","Draw"))</x:f>
        <x:v>Win</x:v>
      </x:c>
      <x:c r="I973" s="7" t="n">
        <x:f>IF(H973="Win",1,0)</x:f>
        <x:v>1</x:v>
      </x:c>
      <x:c r="J973" s="7" t="n">
        <x:f>F973-G973</x:f>
        <x:v>2</x:v>
      </x:c>
      <x:c r="K973" s="7" t="n">
        <x:f>F973+G973</x:f>
        <x:v>24</x:v>
      </x:c>
      <x:c r="L973" s="7" t="n">
        <x:v>18</x:v>
      </x:c>
      <x:c r="M973" s="7" t="n">
        <x:v>20</x:v>
      </x:c>
      <x:c r="N973" s="7" t="n">
        <x:v>6</x:v>
      </x:c>
      <x:c r="O973" s="9" t="n">
        <x:f>IF(M973=0,"n.a.",L973/M973)</x:f>
        <x:v>0.9</x:v>
      </x:c>
      <x:c r="P973" s="9" t="n">
        <x:f>IF(K973=0,"n.a.",L973/K973)</x:f>
        <x:v>0.75</x:v>
      </x:c>
      <x:c r="Q973" s="9" t="n">
        <x:f>IF(K973=0,"n.a.",M973/K973)</x:f>
        <x:v>0.8333333333333334</x:v>
      </x:c>
      <x:c r="R973" s="9" t="n">
        <x:f>IF(K973=0,"n.a.",N973/K973)</x:f>
        <x:v>0.25</x:v>
      </x:c>
      <x:c r="S973" s="7" t="n">
        <x:v>18</x:v>
      </x:c>
      <x:c r="T973" s="10" t="n">
        <x:v>0.32</x:v>
      </x:c>
      <x:c r="U973" s="7" t="n">
        <x:v>238</x:v>
      </x:c>
      <x:c r="V973" s="7" t="n">
        <x:v>657</x:v>
      </x:c>
    </x:row>
    <x:row r="974" ht="16" customHeight="1">
      <x:c r="A974" s="7" t="n">
        <x:v>971</x:v>
      </x:c>
      <x:c r="B974" s="8" t="n">
        <x:v>46210</x:v>
      </x:c>
      <x:c r="C974" s="7" t="str">
        <x:v>Summit</x:v>
      </x:c>
      <x:c r="D974" s="7" t="str">
        <x:v>MVP</x:v>
      </x:c>
      <x:c r="E974" s="7" t="str">
        <x:v>Neon</x:v>
      </x:c>
      <x:c r="F974" s="7" t="n">
        <x:v>13</x:v>
      </x:c>
      <x:c r="G974" s="7" t="n">
        <x:v>5</x:v>
      </x:c>
      <x:c r="H974" s="7" t="str">
        <x:f>IF(F974&gt;G974,"Win",IF(F974&lt;G974,"Loss","Draw"))</x:f>
        <x:v>Win</x:v>
      </x:c>
      <x:c r="I974" s="7" t="n">
        <x:f>IF(H974="Win",1,0)</x:f>
        <x:v>1</x:v>
      </x:c>
      <x:c r="J974" s="7" t="n">
        <x:f>F974-G974</x:f>
        <x:v>8</x:v>
      </x:c>
      <x:c r="K974" s="7" t="n">
        <x:f>F974+G974</x:f>
        <x:v>18</x:v>
      </x:c>
      <x:c r="L974" s="7" t="n">
        <x:v>20</x:v>
      </x:c>
      <x:c r="M974" s="7" t="n">
        <x:v>13</x:v>
      </x:c>
      <x:c r="N974" s="7" t="n">
        <x:v>2</x:v>
      </x:c>
      <x:c r="O974" s="9" t="n">
        <x:f>IF(M974=0,"n.a.",L974/M974)</x:f>
        <x:v>1.5384615384615385</x:v>
      </x:c>
      <x:c r="P974" s="9" t="n">
        <x:f>IF(K974=0,"n.a.",L974/K974)</x:f>
        <x:v>1.1111111111111112</x:v>
      </x:c>
      <x:c r="Q974" s="9" t="n">
        <x:f>IF(K974=0,"n.a.",M974/K974)</x:f>
        <x:v>0.7222222222222222</x:v>
      </x:c>
      <x:c r="R974" s="9" t="n">
        <x:f>IF(K974=0,"n.a.",N974/K974)</x:f>
        <x:v>0.1111111111111111</x:v>
      </x:c>
      <x:c r="S974" s="7" t="n">
        <x:v>30</x:v>
      </x:c>
      <x:c r="T974" s="10" t="n">
        <x:v>0.41</x:v>
      </x:c>
      <x:c r="U974" s="7" t="n">
        <x:v>308</x:v>
      </x:c>
      <x:c r="V974" s="7" t="n">
        <x:v>842</x:v>
      </x:c>
    </x:row>
    <x:row r="975" ht="16" customHeight="1">
      <x:c r="A975" s="7" t="n">
        <x:v>972</x:v>
      </x:c>
      <x:c r="B975" s="8" t="n">
        <x:v>46210</x:v>
      </x:c>
      <x:c r="C975" s="7" t="str">
        <x:v>Split</x:v>
      </x:c>
      <x:c r="D975" s="7" t="str">
        <x:v>9th</x:v>
      </x:c>
      <x:c r="E975" s="7" t="str">
        <x:v>Neon</x:v>
      </x:c>
      <x:c r="F975" s="7" t="n">
        <x:v>8</x:v>
      </x:c>
      <x:c r="G975" s="7" t="n">
        <x:v>13</x:v>
      </x:c>
      <x:c r="H975" s="7" t="str">
        <x:f>IF(F975&gt;G975,"Win",IF(F975&lt;G975,"Loss","Draw"))</x:f>
        <x:v>Loss</x:v>
      </x:c>
      <x:c r="I975" s="7" t="n">
        <x:f>IF(H975="Win",1,0)</x:f>
        <x:v>0</x:v>
      </x:c>
      <x:c r="J975" s="7" t="n">
        <x:f>F975-G975</x:f>
        <x:v>-5</x:v>
      </x:c>
      <x:c r="K975" s="7" t="n">
        <x:f>F975+G975</x:f>
        <x:v>21</x:v>
      </x:c>
      <x:c r="L975" s="7" t="n">
        <x:v>10</x:v>
      </x:c>
      <x:c r="M975" s="7" t="n">
        <x:v>21</x:v>
      </x:c>
      <x:c r="N975" s="7" t="n">
        <x:v>2</x:v>
      </x:c>
      <x:c r="O975" s="9" t="n">
        <x:f>IF(M975=0,"n.a.",L975/M975)</x:f>
        <x:v>0.47619047619047616</x:v>
      </x:c>
      <x:c r="P975" s="9" t="n">
        <x:f>IF(K975=0,"n.a.",L975/K975)</x:f>
        <x:v>0.47619047619047616</x:v>
      </x:c>
      <x:c r="Q975" s="9" t="n">
        <x:f>IF(K975=0,"n.a.",M975/K975)</x:f>
        <x:v>1</x:v>
      </x:c>
      <x:c r="R975" s="9" t="n">
        <x:f>IF(K975=0,"n.a.",N975/K975)</x:f>
        <x:v>0.09523809523809523</x:v>
      </x:c>
      <x:c r="S975" s="7" t="n">
        <x:v>-75</x:v>
      </x:c>
      <x:c r="T975" s="10" t="n">
        <x:v>0.33</x:v>
      </x:c>
      <x:c r="U975" s="7" t="n">
        <x:v>160</x:v>
      </x:c>
      <x:c r="V975" s="7" t="n">
        <x:v>219</x:v>
      </x:c>
    </x:row>
    <x:row r="976" ht="16" customHeight="1">
      <x:c r="A976" s="7" t="n">
        <x:v>973</x:v>
      </x:c>
      <x:c r="B976" s="8" t="n">
        <x:v>46210</x:v>
      </x:c>
      <x:c r="C976" s="7" t="str">
        <x:v>Ascent</x:v>
      </x:c>
      <x:c r="D976" s="7" t="str">
        <x:v>MVP</x:v>
      </x:c>
      <x:c r="E976" s="7" t="str">
        <x:v>Neon</x:v>
      </x:c>
      <x:c r="F976" s="7" t="n">
        <x:v>13</x:v>
      </x:c>
      <x:c r="G976" s="7" t="n">
        <x:v>6</x:v>
      </x:c>
      <x:c r="H976" s="7" t="str">
        <x:f>IF(F976&gt;G976,"Win",IF(F976&lt;G976,"Loss","Draw"))</x:f>
        <x:v>Win</x:v>
      </x:c>
      <x:c r="I976" s="7" t="n">
        <x:f>IF(H976="Win",1,0)</x:f>
        <x:v>1</x:v>
      </x:c>
      <x:c r="J976" s="7" t="n">
        <x:f>F976-G976</x:f>
        <x:v>7</x:v>
      </x:c>
      <x:c r="K976" s="7" t="n">
        <x:f>F976+G976</x:f>
        <x:v>19</x:v>
      </x:c>
      <x:c r="L976" s="7" t="n">
        <x:v>21</x:v>
      </x:c>
      <x:c r="M976" s="7" t="n">
        <x:v>12</x:v>
      </x:c>
      <x:c r="N976" s="7" t="n">
        <x:v>5</x:v>
      </x:c>
      <x:c r="O976" s="9" t="n">
        <x:f>IF(M976=0,"n.a.",L976/M976)</x:f>
        <x:v>1.75</x:v>
      </x:c>
      <x:c r="P976" s="9" t="n">
        <x:f>IF(K976=0,"n.a.",L976/K976)</x:f>
        <x:v>1.105263157894737</x:v>
      </x:c>
      <x:c r="Q976" s="9" t="n">
        <x:f>IF(K976=0,"n.a.",M976/K976)</x:f>
        <x:v>0.631578947368421</x:v>
      </x:c>
      <x:c r="R976" s="9" t="n">
        <x:f>IF(K976=0,"n.a.",N976/K976)</x:f>
        <x:v>0.2631578947368421</x:v>
      </x:c>
      <x:c r="S976" s="7" t="n">
        <x:v>97</x:v>
      </x:c>
      <x:c r="T976" s="10" t="n">
        <x:v>0.29</x:v>
      </x:c>
      <x:c r="U976" s="7" t="n">
        <x:v>328</x:v>
      </x:c>
      <x:c r="V976" s="7" t="n">
        <x:v>921</x:v>
      </x:c>
    </x:row>
    <x:row r="977" ht="16" customHeight="1">
      <x:c r="A977" s="7" t="n">
        <x:v>974</x:v>
      </x:c>
      <x:c r="B977" s="8" t="n">
        <x:v>46210</x:v>
      </x:c>
      <x:c r="C977" s="7" t="str">
        <x:v>Breeze</x:v>
      </x:c>
      <x:c r="D977" s="7" t="str">
        <x:v>MVP</x:v>
      </x:c>
      <x:c r="E977" s="7" t="str">
        <x:v>Neon</x:v>
      </x:c>
      <x:c r="F977" s="7" t="n">
        <x:v>13</x:v>
      </x:c>
      <x:c r="G977" s="7" t="n">
        <x:v>10</x:v>
      </x:c>
      <x:c r="H977" s="7" t="str">
        <x:f>IF(F977&gt;G977,"Win",IF(F977&lt;G977,"Loss","Draw"))</x:f>
        <x:v>Win</x:v>
      </x:c>
      <x:c r="I977" s="7" t="n">
        <x:f>IF(H977="Win",1,0)</x:f>
        <x:v>1</x:v>
      </x:c>
      <x:c r="J977" s="7" t="n">
        <x:f>F977-G977</x:f>
        <x:v>3</x:v>
      </x:c>
      <x:c r="K977" s="7" t="n">
        <x:f>F977+G977</x:f>
        <x:v>23</x:v>
      </x:c>
      <x:c r="L977" s="7" t="n">
        <x:v>25</x:v>
      </x:c>
      <x:c r="M977" s="7" t="n">
        <x:v>16</x:v>
      </x:c>
      <x:c r="N977" s="7" t="n">
        <x:v>2</x:v>
      </x:c>
      <x:c r="O977" s="9" t="n">
        <x:f>IF(M977=0,"n.a.",L977/M977)</x:f>
        <x:v>1.5625</x:v>
      </x:c>
      <x:c r="P977" s="9" t="n">
        <x:f>IF(K977=0,"n.a.",L977/K977)</x:f>
        <x:v>1.0869565217391304</x:v>
      </x:c>
      <x:c r="Q977" s="9" t="n">
        <x:f>IF(K977=0,"n.a.",M977/K977)</x:f>
        <x:v>0.6956521739130435</x:v>
      </x:c>
      <x:c r="R977" s="9" t="n">
        <x:f>IF(K977=0,"n.a.",N977/K977)</x:f>
        <x:v>0.08695652173913043</x:v>
      </x:c>
      <x:c r="S977" s="7" t="n">
        <x:v>61</x:v>
      </x:c>
      <x:c r="T977" s="10" t="n">
        <x:v>0.29</x:v>
      </x:c>
      <x:c r="U977" s="7" t="n">
        <x:v>295</x:v>
      </x:c>
      <x:c r="V977" s="7" t="n">
        <x:v>705</x:v>
      </x:c>
    </x:row>
    <x:row r="978" ht="16" customHeight="1">
      <x:c r="A978" s="7" t="n">
        <x:v>975</x:v>
      </x:c>
      <x:c r="B978" s="8" t="n">
        <x:v>46210</x:v>
      </x:c>
      <x:c r="C978" s="7" t="str">
        <x:v>Sunset</x:v>
      </x:c>
      <x:c r="D978" s="7" t="str">
        <x:v>5th</x:v>
      </x:c>
      <x:c r="E978" s="7" t="str">
        <x:v>Neon</x:v>
      </x:c>
      <x:c r="F978" s="7" t="n">
        <x:v>13</x:v>
      </x:c>
      <x:c r="G978" s="7" t="n">
        <x:v>8</x:v>
      </x:c>
      <x:c r="H978" s="7" t="str">
        <x:f>IF(F978&gt;G978,"Win",IF(F978&lt;G978,"Loss","Draw"))</x:f>
        <x:v>Win</x:v>
      </x:c>
      <x:c r="I978" s="7" t="n">
        <x:f>IF(H978="Win",1,0)</x:f>
        <x:v>1</x:v>
      </x:c>
      <x:c r="J978" s="7" t="n">
        <x:f>F978-G978</x:f>
        <x:v>5</x:v>
      </x:c>
      <x:c r="K978" s="7" t="n">
        <x:f>F978+G978</x:f>
        <x:v>21</x:v>
      </x:c>
      <x:c r="L978" s="7" t="n">
        <x:v>18</x:v>
      </x:c>
      <x:c r="M978" s="7" t="n">
        <x:v>17</x:v>
      </x:c>
      <x:c r="N978" s="7" t="n">
        <x:v>2</x:v>
      </x:c>
      <x:c r="O978" s="9" t="n">
        <x:f>IF(M978=0,"n.a.",L978/M978)</x:f>
        <x:v>1.0588235294117647</x:v>
      </x:c>
      <x:c r="P978" s="9" t="n">
        <x:f>IF(K978=0,"n.a.",L978/K978)</x:f>
        <x:v>0.8571428571428571</x:v>
      </x:c>
      <x:c r="Q978" s="9" t="n">
        <x:f>IF(K978=0,"n.a.",M978/K978)</x:f>
        <x:v>0.8095238095238095</x:v>
      </x:c>
      <x:c r="R978" s="9" t="n">
        <x:f>IF(K978=0,"n.a.",N978/K978)</x:f>
        <x:v>0.09523809523809523</x:v>
      </x:c>
      <x:c r="S978" s="7" t="n">
        <x:v>-2</x:v>
      </x:c>
      <x:c r="T978" s="10" t="n">
        <x:v>0.26</x:v>
      </x:c>
      <x:c r="U978" s="7" t="n">
        <x:v>232</x:v>
      </x:c>
      <x:c r="V978" s="7" t="n">
        <x:v>691</x:v>
      </x:c>
    </x:row>
    <x:row r="979" ht="16" customHeight="1">
      <x:c r="A979" s="7" t="n">
        <x:v>976</x:v>
      </x:c>
      <x:c r="B979" s="8" t="n">
        <x:v>46217</x:v>
      </x:c>
      <x:c r="C979" s="7" t="str">
        <x:v>Haven</x:v>
      </x:c>
      <x:c r="D979" s="7" t="str">
        <x:v>3rd</x:v>
      </x:c>
      <x:c r="E979" s="7" t="str">
        <x:v>Neon</x:v>
      </x:c>
      <x:c r="F979" s="7" t="n">
        <x:v>13</x:v>
      </x:c>
      <x:c r="G979" s="7" t="n">
        <x:v>11</x:v>
      </x:c>
      <x:c r="H979" s="7" t="str">
        <x:f>IF(F979&gt;G979,"Win",IF(F979&lt;G979,"Loss","Draw"))</x:f>
        <x:v>Win</x:v>
      </x:c>
      <x:c r="I979" s="7" t="n">
        <x:f>IF(H979="Win",1,0)</x:f>
        <x:v>1</x:v>
      </x:c>
      <x:c r="J979" s="7" t="n">
        <x:f>F979-G979</x:f>
        <x:v>2</x:v>
      </x:c>
      <x:c r="K979" s="7" t="n">
        <x:f>F979+G979</x:f>
        <x:v>24</x:v>
      </x:c>
      <x:c r="L979" s="7" t="n">
        <x:v>21</x:v>
      </x:c>
      <x:c r="M979" s="7" t="n">
        <x:v>21</x:v>
      </x:c>
      <x:c r="N979" s="7" t="n">
        <x:v>4</x:v>
      </x:c>
      <x:c r="O979" s="9" t="n">
        <x:f>IF(M979=0,"n.a.",L979/M979)</x:f>
        <x:v>1</x:v>
      </x:c>
      <x:c r="P979" s="9" t="n">
        <x:f>IF(K979=0,"n.a.",L979/K979)</x:f>
        <x:v>0.875</x:v>
      </x:c>
      <x:c r="Q979" s="9" t="n">
        <x:f>IF(K979=0,"n.a.",M979/K979)</x:f>
        <x:v>0.875</x:v>
      </x:c>
      <x:c r="R979" s="9" t="n">
        <x:f>IF(K979=0,"n.a.",N979/K979)</x:f>
        <x:v>0.16666666666666666</x:v>
      </x:c>
      <x:c r="S979" s="7" t="n">
        <x:v>21</x:v>
      </x:c>
      <x:c r="T979" s="10" t="n">
        <x:v>0.45</x:v>
      </x:c>
      <x:c r="U979" s="7" t="n">
        <x:v>252</x:v>
      </x:c>
      <x:c r="V979" s="7" t="n">
        <x:v>716</x:v>
      </x:c>
    </x:row>
    <x:row r="980" ht="16" customHeight="1">
      <x:c r="A980" s="7" t="n">
        <x:v>977</x:v>
      </x:c>
      <x:c r="B980" s="8" t="n">
        <x:v>46217</x:v>
      </x:c>
      <x:c r="C980" s="7" t="str">
        <x:v>Lotus</x:v>
      </x:c>
      <x:c r="D980" s="7" t="str">
        <x:v>5th</x:v>
      </x:c>
      <x:c r="E980" s="7" t="str">
        <x:v>Neon</x:v>
      </x:c>
      <x:c r="F980" s="7" t="n">
        <x:v>13</x:v>
      </x:c>
      <x:c r="G980" s="7" t="n">
        <x:v>11</x:v>
      </x:c>
      <x:c r="H980" s="7" t="str">
        <x:f>IF(F980&gt;G980,"Win",IF(F980&lt;G980,"Loss","Draw"))</x:f>
        <x:v>Win</x:v>
      </x:c>
      <x:c r="I980" s="7" t="n">
        <x:f>IF(H980="Win",1,0)</x:f>
        <x:v>1</x:v>
      </x:c>
      <x:c r="J980" s="7" t="n">
        <x:f>F980-G980</x:f>
        <x:v>2</x:v>
      </x:c>
      <x:c r="K980" s="7" t="n">
        <x:f>F980+G980</x:f>
        <x:v>24</x:v>
      </x:c>
      <x:c r="L980" s="7" t="n">
        <x:v>20</x:v>
      </x:c>
      <x:c r="M980" s="7" t="n">
        <x:v>16</x:v>
      </x:c>
      <x:c r="N980" s="7" t="n">
        <x:v>5</x:v>
      </x:c>
      <x:c r="O980" s="9" t="n">
        <x:f>IF(M980=0,"n.a.",L980/M980)</x:f>
        <x:v>1.25</x:v>
      </x:c>
      <x:c r="P980" s="9" t="n">
        <x:f>IF(K980=0,"n.a.",L980/K980)</x:f>
        <x:v>0.8333333333333334</x:v>
      </x:c>
      <x:c r="Q980" s="9" t="n">
        <x:f>IF(K980=0,"n.a.",M980/K980)</x:f>
        <x:v>0.6666666666666666</x:v>
      </x:c>
      <x:c r="R980" s="9" t="n">
        <x:f>IF(K980=0,"n.a.",N980/K980)</x:f>
        <x:v>0.20833333333333334</x:v>
      </x:c>
      <x:c r="S980" s="7" t="n">
        <x:v>6</x:v>
      </x:c>
      <x:c r="T980" s="10" t="n">
        <x:v>0.16</x:v>
      </x:c>
      <x:c r="U980" s="7" t="n">
        <x:v>232</x:v>
      </x:c>
      <x:c r="V980" s="7" t="n">
        <x:v>733</x:v>
      </x:c>
    </x:row>
    <x:row r="981" ht="16" customHeight="1">
      <x:c r="A981" s="7" t="n">
        <x:v>978</x:v>
      </x:c>
      <x:c r="B981" s="8" t="n">
        <x:v>46218</x:v>
      </x:c>
      <x:c r="C981" s="7" t="str">
        <x:v>Lotus</x:v>
      </x:c>
      <x:c r="D981" s="7" t="str">
        <x:v>6th</x:v>
      </x:c>
      <x:c r="E981" s="7" t="str">
        <x:v>Neon</x:v>
      </x:c>
      <x:c r="F981" s="7" t="n">
        <x:v>13</x:v>
      </x:c>
      <x:c r="G981" s="7" t="n">
        <x:v>9</x:v>
      </x:c>
      <x:c r="H981" s="7" t="str">
        <x:f>IF(F981&gt;G981,"Win",IF(F981&lt;G981,"Loss","Draw"))</x:f>
        <x:v>Win</x:v>
      </x:c>
      <x:c r="I981" s="7" t="n">
        <x:f>IF(H981="Win",1,0)</x:f>
        <x:v>1</x:v>
      </x:c>
      <x:c r="J981" s="7" t="n">
        <x:f>F981-G981</x:f>
        <x:v>4</x:v>
      </x:c>
      <x:c r="K981" s="7" t="n">
        <x:f>F981+G981</x:f>
        <x:v>22</x:v>
      </x:c>
      <x:c r="L981" s="7" t="n">
        <x:v>17</x:v>
      </x:c>
      <x:c r="M981" s="7" t="n">
        <x:v>19</x:v>
      </x:c>
      <x:c r="N981" s="7" t="n">
        <x:v>3</x:v>
      </x:c>
      <x:c r="O981" s="9" t="n">
        <x:f>IF(M981=0,"n.a.",L981/M981)</x:f>
        <x:v>0.8947368421052632</x:v>
      </x:c>
      <x:c r="P981" s="9" t="n">
        <x:f>IF(K981=0,"n.a.",L981/K981)</x:f>
        <x:v>0.7727272727272727</x:v>
      </x:c>
      <x:c r="Q981" s="9" t="n">
        <x:f>IF(K981=0,"n.a.",M981/K981)</x:f>
        <x:v>0.8636363636363636</x:v>
      </x:c>
      <x:c r="R981" s="9" t="n">
        <x:f>IF(K981=0,"n.a.",N981/K981)</x:f>
        <x:v>0.13636363636363635</x:v>
      </x:c>
      <x:c r="S981" s="7" t="n">
        <x:v>-35</x:v>
      </x:c>
      <x:c r="T981" s="10" t="n">
        <x:v>0.34</x:v>
      </x:c>
      <x:c r="U981" s="7" t="n">
        <x:v>211</x:v>
      </x:c>
      <x:c r="V981" s="7" t="n">
        <x:v>442</x:v>
      </x:c>
    </x:row>
    <x:row r="982" ht="16" customHeight="1">
      <x:c r="A982" s="7" t="n">
        <x:v>979</x:v>
      </x:c>
      <x:c r="B982" s="8" t="n">
        <x:v>46218</x:v>
      </x:c>
      <x:c r="C982" s="7" t="str">
        <x:v>Haven</x:v>
      </x:c>
      <x:c r="D982" s="7" t="str">
        <x:v>MVP</x:v>
      </x:c>
      <x:c r="E982" s="7" t="str">
        <x:v>Chamber</x:v>
      </x:c>
      <x:c r="F982" s="7" t="n">
        <x:v>13</x:v>
      </x:c>
      <x:c r="G982" s="7" t="n">
        <x:v>10</x:v>
      </x:c>
      <x:c r="H982" s="7" t="str">
        <x:f>IF(F982&gt;G982,"Win",IF(F982&lt;G982,"Loss","Draw"))</x:f>
        <x:v>Win</x:v>
      </x:c>
      <x:c r="I982" s="7" t="n">
        <x:f>IF(H982="Win",1,0)</x:f>
        <x:v>1</x:v>
      </x:c>
      <x:c r="J982" s="7" t="n">
        <x:f>F982-G982</x:f>
        <x:v>3</x:v>
      </x:c>
      <x:c r="K982" s="7" t="n">
        <x:f>F982+G982</x:f>
        <x:v>23</x:v>
      </x:c>
      <x:c r="L982" s="7" t="n">
        <x:v>23</x:v>
      </x:c>
      <x:c r="M982" s="7" t="n">
        <x:v>17</x:v>
      </x:c>
      <x:c r="N982" s="7" t="n">
        <x:v>1</x:v>
      </x:c>
      <x:c r="O982" s="9" t="n">
        <x:f>IF(M982=0,"n.a.",L982/M982)</x:f>
        <x:v>1.3529411764705883</x:v>
      </x:c>
      <x:c r="P982" s="9" t="n">
        <x:f>IF(K982=0,"n.a.",L982/K982)</x:f>
        <x:v>1</x:v>
      </x:c>
      <x:c r="Q982" s="9" t="n">
        <x:f>IF(K982=0,"n.a.",M982/K982)</x:f>
        <x:v>0.7391304347826086</x:v>
      </x:c>
      <x:c r="R982" s="9" t="n">
        <x:f>IF(K982=0,"n.a.",N982/K982)</x:f>
        <x:v>0.043478260869565216</x:v>
      </x:c>
      <x:c r="S982" s="7" t="n">
        <x:v>62</x:v>
      </x:c>
      <x:c r="T982" s="10" t="n">
        <x:v>0.31</x:v>
      </x:c>
      <x:c r="U982" s="7" t="n">
        <x:v>301</x:v>
      </x:c>
      <x:c r="V982" s="7" t="n">
        <x:v>823</x:v>
      </x:c>
    </x:row>
    <x:row r="983" ht="16" customHeight="1">
      <x:c r="A983" s="7" t="n">
        <x:v>980</x:v>
      </x:c>
      <x:c r="B983" s="8" t="n">
        <x:v>46218</x:v>
      </x:c>
      <x:c r="C983" s="7" t="str">
        <x:v>Sunset</x:v>
      </x:c>
      <x:c r="D983" s="7" t="str">
        <x:v>3rd</x:v>
      </x:c>
      <x:c r="E983" s="7" t="str">
        <x:v>Neon</x:v>
      </x:c>
      <x:c r="F983" s="7" t="n">
        <x:v>13</x:v>
      </x:c>
      <x:c r="G983" s="7" t="n">
        <x:v>11</x:v>
      </x:c>
      <x:c r="H983" s="7" t="str">
        <x:f>IF(F983&gt;G983,"Win",IF(F983&lt;G983,"Loss","Draw"))</x:f>
        <x:v>Win</x:v>
      </x:c>
      <x:c r="I983" s="7" t="n">
        <x:f>IF(H983="Win",1,0)</x:f>
        <x:v>1</x:v>
      </x:c>
      <x:c r="J983" s="7" t="n">
        <x:f>F983-G983</x:f>
        <x:v>2</x:v>
      </x:c>
      <x:c r="K983" s="7" t="n">
        <x:f>F983+G983</x:f>
        <x:v>24</x:v>
      </x:c>
      <x:c r="L983" s="7" t="n">
        <x:v>25</x:v>
      </x:c>
      <x:c r="M983" s="7" t="n">
        <x:v>19</x:v>
      </x:c>
      <x:c r="N983" s="7" t="n">
        <x:v>0</x:v>
      </x:c>
      <x:c r="O983" s="9" t="n">
        <x:f>IF(M983=0,"n.a.",L983/M983)</x:f>
        <x:v>1.3157894736842106</x:v>
      </x:c>
      <x:c r="P983" s="9" t="n">
        <x:f>IF(K983=0,"n.a.",L983/K983)</x:f>
        <x:v>1.0416666666666667</x:v>
      </x:c>
      <x:c r="Q983" s="9" t="n">
        <x:f>IF(K983=0,"n.a.",M983/K983)</x:f>
        <x:v>0.7916666666666666</x:v>
      </x:c>
      <x:c r="R983" s="9" t="n">
        <x:f>IF(K983=0,"n.a.",N983/K983)</x:f>
        <x:v>0</x:v>
      </x:c>
      <x:c r="S983" s="7" t="n">
        <x:v>15</x:v>
      </x:c>
      <x:c r="T983" s="10" t="n">
        <x:v>0.52</x:v>
      </x:c>
      <x:c r="U983" s="7" t="n">
        <x:v>272</x:v>
      </x:c>
      <x:c r="V983" s="7" t="n">
        <x:v>646</x:v>
      </x:c>
    </x:row>
    <x:row r="984" ht="16" customHeight="1">
      <x:c r="A984" s="7" t="n">
        <x:v>981</x:v>
      </x:c>
      <x:c r="B984" s="8" t="n">
        <x:v>46218</x:v>
      </x:c>
      <x:c r="C984" s="7" t="str">
        <x:v>Summit</x:v>
      </x:c>
      <x:c r="D984" s="7" t="str">
        <x:v>6th</x:v>
      </x:c>
      <x:c r="E984" s="7" t="str">
        <x:v>Astra</x:v>
      </x:c>
      <x:c r="F984" s="7" t="n">
        <x:v>3</x:v>
      </x:c>
      <x:c r="G984" s="7" t="n">
        <x:v>13</x:v>
      </x:c>
      <x:c r="H984" s="7" t="str">
        <x:f>IF(F984&gt;G984,"Win",IF(F984&lt;G984,"Loss","Draw"))</x:f>
        <x:v>Loss</x:v>
      </x:c>
      <x:c r="I984" s="7" t="n">
        <x:f>IF(H984="Win",1,0)</x:f>
        <x:v>0</x:v>
      </x:c>
      <x:c r="J984" s="7" t="n">
        <x:f>F984-G984</x:f>
        <x:v>-10</x:v>
      </x:c>
      <x:c r="K984" s="7" t="n">
        <x:f>F984+G984</x:f>
        <x:v>16</x:v>
      </x:c>
      <x:c r="L984" s="7" t="n">
        <x:v>9</x:v>
      </x:c>
      <x:c r="M984" s="7" t="n">
        <x:v>16</x:v>
      </x:c>
      <x:c r="N984" s="7" t="n">
        <x:v>3</x:v>
      </x:c>
      <x:c r="O984" s="9" t="n">
        <x:f>IF(M984=0,"n.a.",L984/M984)</x:f>
        <x:v>0.5625</x:v>
      </x:c>
      <x:c r="P984" s="9" t="n">
        <x:f>IF(K984=0,"n.a.",L984/K984)</x:f>
        <x:v>0.5625</x:v>
      </x:c>
      <x:c r="Q984" s="9" t="n">
        <x:f>IF(K984=0,"n.a.",M984/K984)</x:f>
        <x:v>1</x:v>
      </x:c>
      <x:c r="R984" s="9" t="n">
        <x:f>IF(K984=0,"n.a.",N984/K984)</x:f>
        <x:v>0.1875</x:v>
      </x:c>
      <x:c r="S984" s="7" t="n">
        <x:v>-56</x:v>
      </x:c>
      <x:c r="T984" s="10" t="n">
        <x:v>0.52</x:v>
      </x:c>
      <x:c r="U984" s="7" t="n">
        <x:v>176</x:v>
      </x:c>
      <x:c r="V984" s="7" t="n">
        <x:v>219</x:v>
      </x:c>
    </x:row>
    <x:row r="985" ht="16" customHeight="1">
      <x:c r="A985" s="7" t="n">
        <x:v>982</x:v>
      </x:c>
      <x:c r="B985" s="8" t="n">
        <x:v>46219</x:v>
      </x:c>
      <x:c r="C985" s="7" t="str">
        <x:v>Split</x:v>
      </x:c>
      <x:c r="D985" s="7" t="str">
        <x:v>3rd</x:v>
      </x:c>
      <x:c r="E985" s="7" t="str">
        <x:v>Fade</x:v>
      </x:c>
      <x:c r="F985" s="7" t="n">
        <x:v>13</x:v>
      </x:c>
      <x:c r="G985" s="7" t="n">
        <x:v>11</x:v>
      </x:c>
      <x:c r="H985" s="7" t="str">
        <x:f>IF(F985&gt;G985,"Win",IF(F985&lt;G985,"Loss","Draw"))</x:f>
        <x:v>Win</x:v>
      </x:c>
      <x:c r="I985" s="7" t="n">
        <x:f>IF(H985="Win",1,0)</x:f>
        <x:v>1</x:v>
      </x:c>
      <x:c r="J985" s="7" t="n">
        <x:f>F985-G985</x:f>
        <x:v>2</x:v>
      </x:c>
      <x:c r="K985" s="7" t="n">
        <x:f>F985+G985</x:f>
        <x:v>24</x:v>
      </x:c>
      <x:c r="L985" s="7" t="n">
        <x:v>20</x:v>
      </x:c>
      <x:c r="M985" s="7" t="n">
        <x:v>16</x:v>
      </x:c>
      <x:c r="N985" s="7" t="n">
        <x:v>13</x:v>
      </x:c>
      <x:c r="O985" s="9" t="n">
        <x:f>IF(M985=0,"n.a.",L985/M985)</x:f>
        <x:v>1.25</x:v>
      </x:c>
      <x:c r="P985" s="9" t="n">
        <x:f>IF(K985=0,"n.a.",L985/K985)</x:f>
        <x:v>0.8333333333333334</x:v>
      </x:c>
      <x:c r="Q985" s="9" t="n">
        <x:f>IF(K985=0,"n.a.",M985/K985)</x:f>
        <x:v>0.6666666666666666</x:v>
      </x:c>
      <x:c r="R985" s="9" t="n">
        <x:f>IF(K985=0,"n.a.",N985/K985)</x:f>
        <x:v>0.5416666666666666</x:v>
      </x:c>
      <x:c r="S985" s="7" t="n">
        <x:v>12</x:v>
      </x:c>
      <x:c r="T985" s="10" t="n">
        <x:v>0.28</x:v>
      </x:c>
      <x:c r="U985" s="7" t="n">
        <x:v>242</x:v>
      </x:c>
      <x:c r="V985" s="7" t="n">
        <x:v>784</x:v>
      </x:c>
    </x:row>
    <x:row r="986" ht="16" customHeight="1">
      <x:c r="A986" s="7" t="n">
        <x:v>983</x:v>
      </x:c>
      <x:c r="B986" s="8" t="n">
        <x:v>46219</x:v>
      </x:c>
      <x:c r="C986" s="7" t="str">
        <x:v>Ascent</x:v>
      </x:c>
      <x:c r="D986" s="7" t="str">
        <x:v>4th</x:v>
      </x:c>
      <x:c r="E986" s="7" t="str">
        <x:v>Neon</x:v>
      </x:c>
      <x:c r="F986" s="7" t="n">
        <x:v>6</x:v>
      </x:c>
      <x:c r="G986" s="7" t="n">
        <x:v>13</x:v>
      </x:c>
      <x:c r="H986" s="7" t="str">
        <x:f>IF(F986&gt;G986,"Win",IF(F986&lt;G986,"Loss","Draw"))</x:f>
        <x:v>Loss</x:v>
      </x:c>
      <x:c r="I986" s="7" t="n">
        <x:f>IF(H986="Win",1,0)</x:f>
        <x:v>0</x:v>
      </x:c>
      <x:c r="J986" s="7" t="n">
        <x:f>F986-G986</x:f>
        <x:v>-7</x:v>
      </x:c>
      <x:c r="K986" s="7" t="n">
        <x:f>F986+G986</x:f>
        <x:v>19</x:v>
      </x:c>
      <x:c r="L986" s="7" t="n">
        <x:v>14</x:v>
      </x:c>
      <x:c r="M986" s="7" t="n">
        <x:v>15</x:v>
      </x:c>
      <x:c r="N986" s="7" t="n">
        <x:v>4</x:v>
      </x:c>
      <x:c r="O986" s="9" t="n">
        <x:f>IF(M986=0,"n.a.",L986/M986)</x:f>
        <x:v>0.9333333333333333</x:v>
      </x:c>
      <x:c r="P986" s="9" t="n">
        <x:f>IF(K986=0,"n.a.",L986/K986)</x:f>
        <x:v>0.7368421052631579</x:v>
      </x:c>
      <x:c r="Q986" s="9" t="n">
        <x:f>IF(K986=0,"n.a.",M986/K986)</x:f>
        <x:v>0.7894736842105263</x:v>
      </x:c>
      <x:c r="R986" s="9" t="n">
        <x:f>IF(K986=0,"n.a.",N986/K986)</x:f>
        <x:v>0.21052631578947367</x:v>
      </x:c>
      <x:c r="S986" s="7" t="n">
        <x:v>10</x:v>
      </x:c>
      <x:c r="T986" s="10" t="n">
        <x:v>0.23</x:v>
      </x:c>
      <x:c r="U986" s="7" t="n">
        <x:v>219</x:v>
      </x:c>
      <x:c r="V986" s="7" t="n">
        <x:v>490</x:v>
      </x:c>
    </x:row>
    <x:row r="987" ht="16" customHeight="1">
      <x:c r="A987" s="7" t="n">
        <x:v>984</x:v>
      </x:c>
      <x:c r="B987" s="8" t="n">
        <x:v>46219</x:v>
      </x:c>
      <x:c r="C987" s="7" t="str">
        <x:v>Haven</x:v>
      </x:c>
      <x:c r="D987" s="7" t="str">
        <x:v>6th</x:v>
      </x:c>
      <x:c r="E987" s="7" t="str">
        <x:v>Neon</x:v>
      </x:c>
      <x:c r="F987" s="7" t="n">
        <x:v>3</x:v>
      </x:c>
      <x:c r="G987" s="7" t="n">
        <x:v>13</x:v>
      </x:c>
      <x:c r="H987" s="7" t="str">
        <x:f>IF(F987&gt;G987,"Win",IF(F987&lt;G987,"Loss","Draw"))</x:f>
        <x:v>Loss</x:v>
      </x:c>
      <x:c r="I987" s="7" t="n">
        <x:f>IF(H987="Win",1,0)</x:f>
        <x:v>0</x:v>
      </x:c>
      <x:c r="J987" s="7" t="n">
        <x:f>F987-G987</x:f>
        <x:v>-10</x:v>
      </x:c>
      <x:c r="K987" s="7" t="n">
        <x:f>F987+G987</x:f>
        <x:v>16</x:v>
      </x:c>
      <x:c r="L987" s="7" t="n">
        <x:v>11</x:v>
      </x:c>
      <x:c r="M987" s="7" t="n">
        <x:v>15</x:v>
      </x:c>
      <x:c r="N987" s="7" t="n">
        <x:v>2</x:v>
      </x:c>
      <x:c r="O987" s="9" t="n">
        <x:f>IF(M987=0,"n.a.",L987/M987)</x:f>
        <x:v>0.7333333333333333</x:v>
      </x:c>
      <x:c r="P987" s="9" t="n">
        <x:f>IF(K987=0,"n.a.",L987/K987)</x:f>
        <x:v>0.6875</x:v>
      </x:c>
      <x:c r="Q987" s="9" t="n">
        <x:f>IF(K987=0,"n.a.",M987/K987)</x:f>
        <x:v>0.9375</x:v>
      </x:c>
      <x:c r="R987" s="9" t="n">
        <x:f>IF(K987=0,"n.a.",N987/K987)</x:f>
        <x:v>0.125</x:v>
      </x:c>
      <x:c r="S987" s="7" t="n">
        <x:v>-26</x:v>
      </x:c>
      <x:c r="T987" s="10" t="n">
        <x:v>0.58</x:v>
      </x:c>
      <x:c r="U987" s="7" t="n">
        <x:v>202</x:v>
      </x:c>
      <x:c r="V987" s="7" t="n">
        <x:v>434</x:v>
      </x:c>
    </x:row>
    <x:row r="988" ht="16" customHeight="1">
      <x:c r="A988" s="7" t="n">
        <x:v>985</x:v>
      </x:c>
      <x:c r="B988" s="8" t="n">
        <x:v>46219</x:v>
      </x:c>
      <x:c r="C988" s="7" t="str">
        <x:v>Ascent</x:v>
      </x:c>
      <x:c r="D988" s="7" t="str">
        <x:v>MVP</x:v>
      </x:c>
      <x:c r="E988" s="7" t="str">
        <x:v>Neon</x:v>
      </x:c>
      <x:c r="F988" s="7" t="n">
        <x:v>13</x:v>
      </x:c>
      <x:c r="G988" s="7" t="n">
        <x:v>8</x:v>
      </x:c>
      <x:c r="H988" s="7" t="str">
        <x:f>IF(F988&gt;G988,"Win",IF(F988&lt;G988,"Loss","Draw"))</x:f>
        <x:v>Win</x:v>
      </x:c>
      <x:c r="I988" s="7" t="n">
        <x:f>IF(H988="Win",1,0)</x:f>
        <x:v>1</x:v>
      </x:c>
      <x:c r="J988" s="7" t="n">
        <x:f>F988-G988</x:f>
        <x:v>5</x:v>
      </x:c>
      <x:c r="K988" s="7" t="n">
        <x:f>F988+G988</x:f>
        <x:v>21</x:v>
      </x:c>
      <x:c r="L988" s="7" t="n">
        <x:v>25</x:v>
      </x:c>
      <x:c r="M988" s="7" t="n">
        <x:v>14</x:v>
      </x:c>
      <x:c r="N988" s="7" t="n">
        <x:v>3</x:v>
      </x:c>
      <x:c r="O988" s="9" t="n">
        <x:f>IF(M988=0,"n.a.",L988/M988)</x:f>
        <x:v>1.7857142857142858</x:v>
      </x:c>
      <x:c r="P988" s="9" t="n">
        <x:f>IF(K988=0,"n.a.",L988/K988)</x:f>
        <x:v>1.1904761904761905</x:v>
      </x:c>
      <x:c r="Q988" s="9" t="n">
        <x:f>IF(K988=0,"n.a.",M988/K988)</x:f>
        <x:v>0.6666666666666666</x:v>
      </x:c>
      <x:c r="R988" s="9" t="n">
        <x:f>IF(K988=0,"n.a.",N988/K988)</x:f>
        <x:v>0.14285714285714285</x:v>
      </x:c>
      <x:c r="S988" s="7" t="n">
        <x:v>74</x:v>
      </x:c>
      <x:c r="T988" s="10" t="n">
        <x:v>0.42</x:v>
      </x:c>
      <x:c r="U988" s="7" t="n">
        <x:v>328</x:v>
      </x:c>
      <x:c r="V988" s="7" t="n">
        <x:v>886</x:v>
      </x:c>
    </x:row>
    <x:row r="989" ht="16" customHeight="1">
      <x:c r="A989" s="7" t="n">
        <x:v>986</x:v>
      </x:c>
      <x:c r="B989" s="8" t="n">
        <x:v>46219</x:v>
      </x:c>
      <x:c r="C989" s="7" t="str">
        <x:v>Lotus</x:v>
      </x:c>
      <x:c r="D989" s="7" t="str">
        <x:v>MVP</x:v>
      </x:c>
      <x:c r="E989" s="7" t="str">
        <x:v>Neon</x:v>
      </x:c>
      <x:c r="F989" s="7" t="n">
        <x:v>13</x:v>
      </x:c>
      <x:c r="G989" s="7" t="n">
        <x:v>10</x:v>
      </x:c>
      <x:c r="H989" s="7" t="str">
        <x:f>IF(F989&gt;G989,"Win",IF(F989&lt;G989,"Loss","Draw"))</x:f>
        <x:v>Win</x:v>
      </x:c>
      <x:c r="I989" s="7" t="n">
        <x:f>IF(H989="Win",1,0)</x:f>
        <x:v>1</x:v>
      </x:c>
      <x:c r="J989" s="7" t="n">
        <x:f>F989-G989</x:f>
        <x:v>3</x:v>
      </x:c>
      <x:c r="K989" s="7" t="n">
        <x:f>F989+G989</x:f>
        <x:v>23</x:v>
      </x:c>
      <x:c r="L989" s="7" t="n">
        <x:v>24</x:v>
      </x:c>
      <x:c r="M989" s="7" t="n">
        <x:v>15</x:v>
      </x:c>
      <x:c r="N989" s="7" t="n">
        <x:v>6</x:v>
      </x:c>
      <x:c r="O989" s="9" t="n">
        <x:f>IF(M989=0,"n.a.",L989/M989)</x:f>
        <x:v>1.6</x:v>
      </x:c>
      <x:c r="P989" s="9" t="n">
        <x:f>IF(K989=0,"n.a.",L989/K989)</x:f>
        <x:v>1.0434782608695652</x:v>
      </x:c>
      <x:c r="Q989" s="9" t="n">
        <x:f>IF(K989=0,"n.a.",M989/K989)</x:f>
        <x:v>0.6521739130434783</x:v>
      </x:c>
      <x:c r="R989" s="9" t="n">
        <x:f>IF(K989=0,"n.a.",N989/K989)</x:f>
        <x:v>0.2608695652173913</x:v>
      </x:c>
      <x:c r="S989" s="7" t="n">
        <x:v>49</x:v>
      </x:c>
      <x:c r="T989" s="10" t="n">
        <x:v>0.27</x:v>
      </x:c>
      <x:c r="U989" s="7" t="n">
        <x:v>286</x:v>
      </x:c>
      <x:c r="V989" s="7" t="n">
        <x:v>798</x:v>
      </x:c>
    </x:row>
    <x:row r="990" ht="16" customHeight="1">
      <x:c r="A990" s="7" t="n">
        <x:v>987</x:v>
      </x:c>
      <x:c r="B990" s="8" t="n">
        <x:v>46219</x:v>
      </x:c>
      <x:c r="C990" s="7" t="str">
        <x:v>Split</x:v>
      </x:c>
      <x:c r="D990" s="7" t="str">
        <x:v>2nd</x:v>
      </x:c>
      <x:c r="E990" s="7" t="str">
        <x:v>Neon</x:v>
      </x:c>
      <x:c r="F990" s="7" t="n">
        <x:v>12</x:v>
      </x:c>
      <x:c r="G990" s="7" t="n">
        <x:v>14</x:v>
      </x:c>
      <x:c r="H990" s="7" t="str">
        <x:f>IF(F990&gt;G990,"Win",IF(F990&lt;G990,"Loss","Draw"))</x:f>
        <x:v>Loss</x:v>
      </x:c>
      <x:c r="I990" s="7" t="n">
        <x:f>IF(H990="Win",1,0)</x:f>
        <x:v>0</x:v>
      </x:c>
      <x:c r="J990" s="7" t="n">
        <x:f>F990-G990</x:f>
        <x:v>-2</x:v>
      </x:c>
      <x:c r="K990" s="7" t="n">
        <x:f>F990+G990</x:f>
        <x:v>26</x:v>
      </x:c>
      <x:c r="L990" s="7" t="n">
        <x:v>24</x:v>
      </x:c>
      <x:c r="M990" s="7" t="n">
        <x:v>20</x:v>
      </x:c>
      <x:c r="N990" s="7" t="n">
        <x:v>4</x:v>
      </x:c>
      <x:c r="O990" s="9" t="n">
        <x:f>IF(M990=0,"n.a.",L990/M990)</x:f>
        <x:v>1.2</x:v>
      </x:c>
      <x:c r="P990" s="9" t="n">
        <x:f>IF(K990=0,"n.a.",L990/K990)</x:f>
        <x:v>0.9230769230769231</x:v>
      </x:c>
      <x:c r="Q990" s="9" t="n">
        <x:f>IF(K990=0,"n.a.",M990/K990)</x:f>
        <x:v>0.7692307692307693</x:v>
      </x:c>
      <x:c r="R990" s="9" t="n">
        <x:f>IF(K990=0,"n.a.",N990/K990)</x:f>
        <x:v>0.15384615384615385</x:v>
      </x:c>
      <x:c r="S990" s="7" t="n">
        <x:v>33</x:v>
      </x:c>
      <x:c r="T990" s="10" t="n">
        <x:v>0.33</x:v>
      </x:c>
      <x:c r="U990" s="7" t="n">
        <x:v>270</x:v>
      </x:c>
      <x:c r="V990" s="7" t="n">
        <x:v>570</x:v>
      </x:c>
    </x:row>
    <x:row r="991" ht="16" customHeight="1">
      <x:c r="A991" s="7" t="n">
        <x:v>988</x:v>
      </x:c>
      <x:c r="B991" s="8" t="n">
        <x:v>46219</x:v>
      </x:c>
      <x:c r="C991" s="7" t="str">
        <x:v>Sunset</x:v>
      </x:c>
      <x:c r="D991" s="7" t="str">
        <x:v>MVP</x:v>
      </x:c>
      <x:c r="E991" s="7" t="str">
        <x:v>Neon</x:v>
      </x:c>
      <x:c r="F991" s="7" t="n">
        <x:v>5</x:v>
      </x:c>
      <x:c r="G991" s="7" t="n">
        <x:v>13</x:v>
      </x:c>
      <x:c r="H991" s="7" t="str">
        <x:f>IF(F991&gt;G991,"Win",IF(F991&lt;G991,"Loss","Draw"))</x:f>
        <x:v>Loss</x:v>
      </x:c>
      <x:c r="I991" s="7" t="n">
        <x:f>IF(H991="Win",1,0)</x:f>
        <x:v>0</x:v>
      </x:c>
      <x:c r="J991" s="7" t="n">
        <x:f>F991-G991</x:f>
        <x:v>-8</x:v>
      </x:c>
      <x:c r="K991" s="7" t="n">
        <x:f>F991+G991</x:f>
        <x:v>18</x:v>
      </x:c>
      <x:c r="L991" s="7" t="n">
        <x:v>26</x:v>
      </x:c>
      <x:c r="M991" s="7" t="n">
        <x:v>14</x:v>
      </x:c>
      <x:c r="N991" s="7" t="n">
        <x:v>4</x:v>
      </x:c>
      <x:c r="O991" s="9" t="n">
        <x:f>IF(M991=0,"n.a.",L991/M991)</x:f>
        <x:v>1.8571428571428572</x:v>
      </x:c>
      <x:c r="P991" s="9" t="n">
        <x:f>IF(K991=0,"n.a.",L991/K991)</x:f>
        <x:v>1.4444444444444444</x:v>
      </x:c>
      <x:c r="Q991" s="9" t="n">
        <x:f>IF(K991=0,"n.a.",M991/K991)</x:f>
        <x:v>0.7777777777777778</x:v>
      </x:c>
      <x:c r="R991" s="9" t="n">
        <x:f>IF(K991=0,"n.a.",N991/K991)</x:f>
        <x:v>0.2222222222222222</x:v>
      </x:c>
      <x:c r="S991" s="7" t="n">
        <x:v>50</x:v>
      </x:c>
      <x:c r="T991" s="10" t="n">
        <x:v>0.4</x:v>
      </x:c>
      <x:c r="U991" s="7" t="n">
        <x:v>375</x:v>
      </x:c>
      <x:c r="V991" s="7" t="n">
        <x:v>800</x:v>
      </x:c>
    </x:row>
    <x:row r="992" ht="16" customHeight="1">
      <x:c r="A992" s="7" t="n">
        <x:v>989</x:v>
      </x:c>
      <x:c r="B992" s="8" t="n">
        <x:v>46220</x:v>
      </x:c>
      <x:c r="C992" s="7" t="str">
        <x:v>Split</x:v>
      </x:c>
      <x:c r="D992" s="7" t="str">
        <x:v>10th</x:v>
      </x:c>
      <x:c r="E992" s="7" t="str">
        <x:v>Neon</x:v>
      </x:c>
      <x:c r="F992" s="7" t="n">
        <x:v>11</x:v>
      </x:c>
      <x:c r="G992" s="7" t="n">
        <x:v>13</x:v>
      </x:c>
      <x:c r="H992" s="7" t="str">
        <x:f>IF(F992&gt;G992,"Win",IF(F992&lt;G992,"Loss","Draw"))</x:f>
        <x:v>Loss</x:v>
      </x:c>
      <x:c r="I992" s="7" t="n">
        <x:f>IF(H992="Win",1,0)</x:f>
        <x:v>0</x:v>
      </x:c>
      <x:c r="J992" s="7" t="n">
        <x:f>F992-G992</x:f>
        <x:v>-2</x:v>
      </x:c>
      <x:c r="K992" s="7" t="n">
        <x:f>F992+G992</x:f>
        <x:v>24</x:v>
      </x:c>
      <x:c r="L992" s="7" t="n">
        <x:v>14</x:v>
      </x:c>
      <x:c r="M992" s="7" t="n">
        <x:v>22</x:v>
      </x:c>
      <x:c r="N992" s="7" t="n">
        <x:v>4</x:v>
      </x:c>
      <x:c r="O992" s="9" t="n">
        <x:f>IF(M992=0,"n.a.",L992/M992)</x:f>
        <x:v>0.6363636363636364</x:v>
      </x:c>
      <x:c r="P992" s="9" t="n">
        <x:f>IF(K992=0,"n.a.",L992/K992)</x:f>
        <x:v>0.5833333333333334</x:v>
      </x:c>
      <x:c r="Q992" s="9" t="n">
        <x:f>IF(K992=0,"n.a.",M992/K992)</x:f>
        <x:v>0.9166666666666666</x:v>
      </x:c>
      <x:c r="R992" s="9" t="n">
        <x:f>IF(K992=0,"n.a.",N992/K992)</x:f>
        <x:v>0.16666666666666666</x:v>
      </x:c>
      <x:c r="S992" s="7" t="n">
        <x:v>-62</x:v>
      </x:c>
      <x:c r="T992" s="10" t="n">
        <x:v>0.27</x:v>
      </x:c>
      <x:c r="U992" s="7" t="n">
        <x:v>170</x:v>
      </x:c>
      <x:c r="V992" s="7" t="n">
        <x:v>498</x:v>
      </x:c>
    </x:row>
    <x:row r="993" ht="16" customHeight="1">
      <x:c r="A993" s="7" t="n">
        <x:v>990</x:v>
      </x:c>
      <x:c r="B993" s="8" t="n">
        <x:v>46220</x:v>
      </x:c>
      <x:c r="C993" s="7" t="str">
        <x:v>Breeze</x:v>
      </x:c>
      <x:c r="D993" s="7" t="str">
        <x:v>4th</x:v>
      </x:c>
      <x:c r="E993" s="7" t="str">
        <x:v>Neon</x:v>
      </x:c>
      <x:c r="F993" s="7" t="n">
        <x:v>15</x:v>
      </x:c>
      <x:c r="G993" s="7" t="n">
        <x:v>13</x:v>
      </x:c>
      <x:c r="H993" s="7" t="str">
        <x:f>IF(F993&gt;G993,"Win",IF(F993&lt;G993,"Loss","Draw"))</x:f>
        <x:v>Win</x:v>
      </x:c>
      <x:c r="I993" s="7" t="n">
        <x:f>IF(H993="Win",1,0)</x:f>
        <x:v>1</x:v>
      </x:c>
      <x:c r="J993" s="7" t="n">
        <x:f>F993-G993</x:f>
        <x:v>2</x:v>
      </x:c>
      <x:c r="K993" s="7" t="n">
        <x:f>F993+G993</x:f>
        <x:v>28</x:v>
      </x:c>
      <x:c r="L993" s="7" t="n">
        <x:v>24</x:v>
      </x:c>
      <x:c r="M993" s="7" t="n">
        <x:v>20</x:v>
      </x:c>
      <x:c r="N993" s="7" t="n">
        <x:v>2</x:v>
      </x:c>
      <x:c r="O993" s="9" t="n">
        <x:f>IF(M993=0,"n.a.",L993/M993)</x:f>
        <x:v>1.2</x:v>
      </x:c>
      <x:c r="P993" s="9" t="n">
        <x:f>IF(K993=0,"n.a.",L993/K993)</x:f>
        <x:v>0.8571428571428571</x:v>
      </x:c>
      <x:c r="Q993" s="9" t="n">
        <x:f>IF(K993=0,"n.a.",M993/K993)</x:f>
        <x:v>0.7142857142857143</x:v>
      </x:c>
      <x:c r="R993" s="9" t="n">
        <x:f>IF(K993=0,"n.a.",N993/K993)</x:f>
        <x:v>0.07142857142857142</x:v>
      </x:c>
      <x:c r="S993" s="7" t="n">
        <x:v>1</x:v>
      </x:c>
      <x:c r="T993" s="10" t="n">
        <x:v>0.21</x:v>
      </x:c>
      <x:c r="U993" s="7" t="n">
        <x:v>243</x:v>
      </x:c>
      <x:c r="V993" s="7" t="n">
        <x:v>593</x:v>
      </x:c>
    </x:row>
    <x:row r="994" ht="16" customHeight="1">
      <x:c r="A994" s="7" t="n">
        <x:v>991</x:v>
      </x:c>
      <x:c r="B994" s="8" t="n">
        <x:v>46220</x:v>
      </x:c>
      <x:c r="C994" s="7" t="str">
        <x:v>Ascent</x:v>
      </x:c>
      <x:c r="D994" s="7" t="str">
        <x:v>5th</x:v>
      </x:c>
      <x:c r="E994" s="7" t="str">
        <x:v>Neon</x:v>
      </x:c>
      <x:c r="F994" s="7" t="n">
        <x:v>14</x:v>
      </x:c>
      <x:c r="G994" s="7" t="n">
        <x:v>14</x:v>
      </x:c>
      <x:c r="H994" s="7" t="str">
        <x:f>IF(F994&gt;G994,"Win",IF(F994&lt;G994,"Loss","Draw"))</x:f>
        <x:v>Draw</x:v>
      </x:c>
      <x:c r="I994" s="7" t="n">
        <x:f>IF(H994="Win",1,0)</x:f>
        <x:v>0</x:v>
      </x:c>
      <x:c r="J994" s="7" t="n">
        <x:f>F994-G994</x:f>
        <x:v>0</x:v>
      </x:c>
      <x:c r="K994" s="7" t="n">
        <x:f>F994+G994</x:f>
        <x:v>28</x:v>
      </x:c>
      <x:c r="L994" s="7" t="n">
        <x:v>23</x:v>
      </x:c>
      <x:c r="M994" s="7" t="n">
        <x:v>23</x:v>
      </x:c>
      <x:c r="N994" s="7" t="n">
        <x:v>5</x:v>
      </x:c>
      <x:c r="O994" s="9" t="n">
        <x:f>IF(M994=0,"n.a.",L994/M994)</x:f>
        <x:v>1</x:v>
      </x:c>
      <x:c r="P994" s="9" t="n">
        <x:f>IF(K994=0,"n.a.",L994/K994)</x:f>
        <x:v>0.8214285714285714</x:v>
      </x:c>
      <x:c r="Q994" s="9" t="n">
        <x:f>IF(K994=0,"n.a.",M994/K994)</x:f>
        <x:v>0.8214285714285714</x:v>
      </x:c>
      <x:c r="R994" s="9" t="n">
        <x:f>IF(K994=0,"n.a.",N994/K994)</x:f>
        <x:v>0.17857142857142858</x:v>
      </x:c>
      <x:c r="S994" s="7" t="n">
        <x:v>-3</x:v>
      </x:c>
      <x:c r="T994" s="10" t="n">
        <x:v>0.24</x:v>
      </x:c>
      <x:c r="U994" s="7" t="n">
        <x:v>230</x:v>
      </x:c>
      <x:c r="V994" s="7" t="n">
        <x:v>536</x:v>
      </x:c>
    </x:row>
    <x:row r="995" ht="16" customHeight="1">
      <x:c r="A995" s="7" t="n">
        <x:v>992</x:v>
      </x:c>
      <x:c r="B995" s="8" t="n">
        <x:v>46220</x:v>
      </x:c>
      <x:c r="C995" s="7" t="str">
        <x:v>Split</x:v>
      </x:c>
      <x:c r="D995" s="7" t="str">
        <x:v>2nd</x:v>
      </x:c>
      <x:c r="E995" s="7" t="str">
        <x:v>Neon</x:v>
      </x:c>
      <x:c r="F995" s="7" t="n">
        <x:v>13</x:v>
      </x:c>
      <x:c r="G995" s="7" t="n">
        <x:v>2</x:v>
      </x:c>
      <x:c r="H995" s="7" t="str">
        <x:f>IF(F995&gt;G995,"Win",IF(F995&lt;G995,"Loss","Draw"))</x:f>
        <x:v>Win</x:v>
      </x:c>
      <x:c r="I995" s="7" t="n">
        <x:f>IF(H995="Win",1,0)</x:f>
        <x:v>1</x:v>
      </x:c>
      <x:c r="J995" s="7" t="n">
        <x:f>F995-G995</x:f>
        <x:v>11</x:v>
      </x:c>
      <x:c r="K995" s="7" t="n">
        <x:f>F995+G995</x:f>
        <x:v>15</x:v>
      </x:c>
      <x:c r="L995" s="7" t="n">
        <x:v>14</x:v>
      </x:c>
      <x:c r="M995" s="7" t="n">
        <x:v>12</x:v>
      </x:c>
      <x:c r="N995" s="7" t="n">
        <x:v>3</x:v>
      </x:c>
      <x:c r="O995" s="9" t="n">
        <x:f>IF(M995=0,"n.a.",L995/M995)</x:f>
        <x:v>1.1666666666666667</x:v>
      </x:c>
      <x:c r="P995" s="9" t="n">
        <x:f>IF(K995=0,"n.a.",L995/K995)</x:f>
        <x:v>0.9333333333333333</x:v>
      </x:c>
      <x:c r="Q995" s="9" t="n">
        <x:f>IF(K995=0,"n.a.",M995/K995)</x:f>
        <x:v>0.8</x:v>
      </x:c>
      <x:c r="R995" s="9" t="n">
        <x:f>IF(K995=0,"n.a.",N995/K995)</x:f>
        <x:v>0.2</x:v>
      </x:c>
      <x:c r="S995" s="7" t="n">
        <x:v>24</x:v>
      </x:c>
      <x:c r="T995" s="10" t="n">
        <x:v>0.27</x:v>
      </x:c>
      <x:c r="U995" s="7" t="n">
        <x:v>261</x:v>
      </x:c>
      <x:c r="V995" s="7" t="n">
        <x:v>810</x:v>
      </x:c>
    </x:row>
    <x:row r="996" ht="16" customHeight="1">
      <x:c r="A996" s="7" t="n">
        <x:v>993</x:v>
      </x:c>
      <x:c r="B996" s="8" t="n">
        <x:v>46220</x:v>
      </x:c>
      <x:c r="C996" s="7" t="str">
        <x:v>Lotus</x:v>
      </x:c>
      <x:c r="D996" s="7" t="str">
        <x:v>10th</x:v>
      </x:c>
      <x:c r="E996" s="7" t="str">
        <x:v>Neon</x:v>
      </x:c>
      <x:c r="F996" s="7" t="n">
        <x:v>11</x:v>
      </x:c>
      <x:c r="G996" s="7" t="n">
        <x:v>13</x:v>
      </x:c>
      <x:c r="H996" s="7" t="str">
        <x:f>IF(F996&gt;G996,"Win",IF(F996&lt;G996,"Loss","Draw"))</x:f>
        <x:v>Loss</x:v>
      </x:c>
      <x:c r="I996" s="7" t="n">
        <x:f>IF(H996="Win",1,0)</x:f>
        <x:v>0</x:v>
      </x:c>
      <x:c r="J996" s="7" t="n">
        <x:f>F996-G996</x:f>
        <x:v>-2</x:v>
      </x:c>
      <x:c r="K996" s="7" t="n">
        <x:f>F996+G996</x:f>
        <x:v>24</x:v>
      </x:c>
      <x:c r="L996" s="7" t="n">
        <x:v>13</x:v>
      </x:c>
      <x:c r="M996" s="7" t="n">
        <x:v>18</x:v>
      </x:c>
      <x:c r="N996" s="7" t="n">
        <x:v>1</x:v>
      </x:c>
      <x:c r="O996" s="9" t="n">
        <x:f>IF(M996=0,"n.a.",L996/M996)</x:f>
        <x:v>0.7222222222222222</x:v>
      </x:c>
      <x:c r="P996" s="9" t="n">
        <x:f>IF(K996=0,"n.a.",L996/K996)</x:f>
        <x:v>0.5416666666666666</x:v>
      </x:c>
      <x:c r="Q996" s="9" t="n">
        <x:f>IF(K996=0,"n.a.",M996/K996)</x:f>
        <x:v>0.75</x:v>
      </x:c>
      <x:c r="R996" s="9" t="n">
        <x:f>IF(K996=0,"n.a.",N996/K996)</x:f>
        <x:v>0.041666666666666664</x:v>
      </x:c>
      <x:c r="S996" s="7" t="n">
        <x:v>-67</x:v>
      </x:c>
      <x:c r="T996" s="10" t="n">
        <x:v>0.48</x:v>
      </x:c>
      <x:c r="U996" s="7" t="n">
        <x:v>144</x:v>
      </x:c>
      <x:c r="V996" s="7" t="n">
        <x:v>239</x:v>
      </x:c>
    </x:row>
    <x:row r="997" ht="16" customHeight="1">
      <x:c r="A997" s="7" t="n">
        <x:v>994</x:v>
      </x:c>
      <x:c r="B997" s="8" t="n">
        <x:v>46220</x:v>
      </x:c>
      <x:c r="C997" s="7" t="str">
        <x:v>Breeze</x:v>
      </x:c>
      <x:c r="D997" s="7" t="str">
        <x:v>2nd</x:v>
      </x:c>
      <x:c r="E997" s="7" t="str">
        <x:v>Clove</x:v>
      </x:c>
      <x:c r="F997" s="7" t="n">
        <x:v>13</x:v>
      </x:c>
      <x:c r="G997" s="7" t="n">
        <x:v>6</x:v>
      </x:c>
      <x:c r="H997" s="7" t="str">
        <x:f>IF(F997&gt;G997,"Win",IF(F997&lt;G997,"Loss","Draw"))</x:f>
        <x:v>Win</x:v>
      </x:c>
      <x:c r="I997" s="7" t="n">
        <x:f>IF(H997="Win",1,0)</x:f>
        <x:v>1</x:v>
      </x:c>
      <x:c r="J997" s="7" t="n">
        <x:f>F997-G997</x:f>
        <x:v>7</x:v>
      </x:c>
      <x:c r="K997" s="7" t="n">
        <x:f>F997+G997</x:f>
        <x:v>19</x:v>
      </x:c>
      <x:c r="L997" s="7" t="n">
        <x:v>18</x:v>
      </x:c>
      <x:c r="M997" s="7" t="n">
        <x:v>14</x:v>
      </x:c>
      <x:c r="N997" s="7" t="n">
        <x:v>6</x:v>
      </x:c>
      <x:c r="O997" s="9" t="n">
        <x:f>IF(M997=0,"n.a.",L997/M997)</x:f>
        <x:v>1.2857142857142858</x:v>
      </x:c>
      <x:c r="P997" s="9" t="n">
        <x:f>IF(K997=0,"n.a.",L997/K997)</x:f>
        <x:v>0.9473684210526315</x:v>
      </x:c>
      <x:c r="Q997" s="9" t="n">
        <x:f>IF(K997=0,"n.a.",M997/K997)</x:f>
        <x:v>0.7368421052631579</x:v>
      </x:c>
      <x:c r="R997" s="9" t="n">
        <x:f>IF(K997=0,"n.a.",N997/K997)</x:f>
        <x:v>0.3157894736842105</x:v>
      </x:c>
      <x:c r="S997" s="7" t="n">
        <x:v>26</x:v>
      </x:c>
      <x:c r="T997" s="10" t="n">
        <x:v>0.28</x:v>
      </x:c>
      <x:c r="U997" s="7" t="n">
        <x:v>257</x:v>
      </x:c>
      <x:c r="V997" s="7" t="n">
        <x:v>750</x:v>
      </x:c>
    </x:row>
    <x:row r="998" ht="16" customHeight="1">
      <x:c r="A998" s="7" t="n">
        <x:v>995</x:v>
      </x:c>
      <x:c r="B998" s="8" t="n">
        <x:v>46220</x:v>
      </x:c>
      <x:c r="C998" s="7" t="str">
        <x:v>Lotus</x:v>
      </x:c>
      <x:c r="D998" s="7" t="str">
        <x:v>3rd</x:v>
      </x:c>
      <x:c r="E998" s="7" t="str">
        <x:v>Neon</x:v>
      </x:c>
      <x:c r="F998" s="7" t="n">
        <x:v>3</x:v>
      </x:c>
      <x:c r="G998" s="7" t="n">
        <x:v>11</x:v>
      </x:c>
      <x:c r="H998" s="7" t="str">
        <x:f>IF(F998&gt;G998,"Win",IF(F998&lt;G998,"Loss","Draw"))</x:f>
        <x:v>Loss</x:v>
      </x:c>
      <x:c r="I998" s="7" t="n">
        <x:f>IF(H998="Win",1,0)</x:f>
        <x:v>0</x:v>
      </x:c>
      <x:c r="J998" s="7" t="n">
        <x:f>F998-G998</x:f>
        <x:v>-8</x:v>
      </x:c>
      <x:c r="K998" s="7" t="n">
        <x:f>F998+G998</x:f>
        <x:v>14</x:v>
      </x:c>
      <x:c r="L998" s="7" t="n">
        <x:v>13</x:v>
      </x:c>
      <x:c r="M998" s="7" t="n">
        <x:v>11</x:v>
      </x:c>
      <x:c r="N998" s="7" t="n">
        <x:v>3</x:v>
      </x:c>
      <x:c r="O998" s="9" t="n">
        <x:f>IF(M998=0,"n.a.",L998/M998)</x:f>
        <x:v>1.1818181818181819</x:v>
      </x:c>
      <x:c r="P998" s="9" t="n">
        <x:f>IF(K998=0,"n.a.",L998/K998)</x:f>
        <x:v>0.9285714285714286</x:v>
      </x:c>
      <x:c r="Q998" s="9" t="n">
        <x:f>IF(K998=0,"n.a.",M998/K998)</x:f>
        <x:v>0.7857142857142857</x:v>
      </x:c>
      <x:c r="R998" s="9" t="n">
        <x:f>IF(K998=0,"n.a.",N998/K998)</x:f>
        <x:v>0.21428571428571427</x:v>
      </x:c>
      <x:c r="S998" s="7" t="n">
        <x:v>32</x:v>
      </x:c>
      <x:c r="T998" s="10" t="n">
        <x:v>0.24</x:v>
      </x:c>
      <x:c r="U998" s="7" t="n">
        <x:v>287</x:v>
      </x:c>
      <x:c r="V998" s="7" t="n">
        <x:v>561</x:v>
      </x:c>
    </x:row>
    <x:row r="999" ht="16" customHeight="1">
      <x:c r="A999" s="7" t="n">
        <x:v>996</x:v>
      </x:c>
      <x:c r="B999" s="8" t="n">
        <x:v>46220</x:v>
      </x:c>
      <x:c r="C999" s="7" t="str">
        <x:v>Sunset</x:v>
      </x:c>
      <x:c r="D999" s="7" t="str">
        <x:v>7th</x:v>
      </x:c>
      <x:c r="E999" s="7" t="str">
        <x:v>Neon</x:v>
      </x:c>
      <x:c r="F999" s="7" t="n">
        <x:v>4</x:v>
      </x:c>
      <x:c r="G999" s="7" t="n">
        <x:v>13</x:v>
      </x:c>
      <x:c r="H999" s="7" t="str">
        <x:f>IF(F999&gt;G999,"Win",IF(F999&lt;G999,"Loss","Draw"))</x:f>
        <x:v>Loss</x:v>
      </x:c>
      <x:c r="I999" s="7" t="n">
        <x:f>IF(H999="Win",1,0)</x:f>
        <x:v>0</x:v>
      </x:c>
      <x:c r="J999" s="7" t="n">
        <x:f>F999-G999</x:f>
        <x:v>-9</x:v>
      </x:c>
      <x:c r="K999" s="7" t="n">
        <x:f>F999+G999</x:f>
        <x:v>17</x:v>
      </x:c>
      <x:c r="L999" s="7" t="n">
        <x:v>11</x:v>
      </x:c>
      <x:c r="M999" s="7" t="n">
        <x:v>15</x:v>
      </x:c>
      <x:c r="N999" s="7" t="n">
        <x:v>5</x:v>
      </x:c>
      <x:c r="O999" s="9" t="n">
        <x:f>IF(M999=0,"n.a.",L999/M999)</x:f>
        <x:v>0.7333333333333333</x:v>
      </x:c>
      <x:c r="P999" s="9" t="n">
        <x:f>IF(K999=0,"n.a.",L999/K999)</x:f>
        <x:v>0.6470588235294118</x:v>
      </x:c>
      <x:c r="Q999" s="9" t="n">
        <x:f>IF(K999=0,"n.a.",M999/K999)</x:f>
        <x:v>0.8823529411764706</x:v>
      </x:c>
      <x:c r="R999" s="9" t="n">
        <x:f>IF(K999=0,"n.a.",N999/K999)</x:f>
        <x:v>0.29411764705882354</x:v>
      </x:c>
      <x:c r="S999" s="7" t="n">
        <x:v>-25</x:v>
      </x:c>
      <x:c r="T999" s="10" t="n">
        <x:v>0.27</x:v>
      </x:c>
      <x:c r="U999" s="7" t="n">
        <x:v>204</x:v>
      </x:c>
      <x:c r="V999" s="7" t="n">
        <x:v>353</x:v>
      </x:c>
    </x:row>
    <x:row r="1000" ht="16" customHeight="1">
      <x:c r="A1000" s="7" t="n">
        <x:v>997</x:v>
      </x:c>
      <x:c r="B1000" s="8" t="n">
        <x:v>46221</x:v>
      </x:c>
      <x:c r="C1000" s="7" t="str">
        <x:v>Sunset</x:v>
      </x:c>
      <x:c r="D1000" s="7" t="str">
        <x:v>10th</x:v>
      </x:c>
      <x:c r="E1000" s="7" t="str">
        <x:v>Neon</x:v>
      </x:c>
      <x:c r="F1000" s="7" t="n">
        <x:v>6</x:v>
      </x:c>
      <x:c r="G1000" s="7" t="n">
        <x:v>13</x:v>
      </x:c>
      <x:c r="H1000" s="7" t="str">
        <x:f>IF(F1000&gt;G1000,"Win",IF(F1000&lt;G1000,"Loss","Draw"))</x:f>
        <x:v>Loss</x:v>
      </x:c>
      <x:c r="I1000" s="7" t="n">
        <x:f>IF(H1000="Win",1,0)</x:f>
        <x:v>0</x:v>
      </x:c>
      <x:c r="J1000" s="7" t="n">
        <x:f>F1000-G1000</x:f>
        <x:v>-7</x:v>
      </x:c>
      <x:c r="K1000" s="7" t="n">
        <x:f>F1000+G1000</x:f>
        <x:v>19</x:v>
      </x:c>
      <x:c r="L1000" s="7" t="n">
        <x:v>9</x:v>
      </x:c>
      <x:c r="M1000" s="7" t="n">
        <x:v>17</x:v>
      </x:c>
      <x:c r="N1000" s="7" t="n">
        <x:v>1</x:v>
      </x:c>
      <x:c r="O1000" s="9" t="n">
        <x:f>IF(M1000=0,"n.a.",L1000/M1000)</x:f>
        <x:v>0.5294117647058824</x:v>
      </x:c>
      <x:c r="P1000" s="9" t="n">
        <x:f>IF(K1000=0,"n.a.",L1000/K1000)</x:f>
        <x:v>0.47368421052631576</x:v>
      </x:c>
      <x:c r="Q1000" s="9" t="n">
        <x:f>IF(K1000=0,"n.a.",M1000/K1000)</x:f>
        <x:v>0.8947368421052632</x:v>
      </x:c>
      <x:c r="R1000" s="9" t="n">
        <x:f>IF(K1000=0,"n.a.",N1000/K1000)</x:f>
        <x:v>0.05263157894736842</x:v>
      </x:c>
      <x:c r="S1000" s="7" t="n">
        <x:v>-113</x:v>
      </x:c>
      <x:c r="T1000" s="10" t="n">
        <x:v>0.18</x:v>
      </x:c>
      <x:c r="U1000" s="7" t="n">
        <x:v>128</x:v>
      </x:c>
      <x:c r="V1000" s="7" t="n">
        <x:v>100</x:v>
      </x:c>
    </x:row>
    <x:row r="1001" ht="16" customHeight="1">
      <x:c r="A1001" s="7" t="n">
        <x:v>998</x:v>
      </x:c>
      <x:c r="B1001" s="8" t="n">
        <x:v>46221</x:v>
      </x:c>
      <x:c r="C1001" s="7" t="str">
        <x:v>Haven</x:v>
      </x:c>
      <x:c r="D1001" s="7" t="str">
        <x:v>5th</x:v>
      </x:c>
      <x:c r="E1001" s="7" t="str">
        <x:v>Neon</x:v>
      </x:c>
      <x:c r="F1001" s="7" t="n">
        <x:v>7</x:v>
      </x:c>
      <x:c r="G1001" s="7" t="n">
        <x:v>13</x:v>
      </x:c>
      <x:c r="H1001" s="7" t="str">
        <x:f>IF(F1001&gt;G1001,"Win",IF(F1001&lt;G1001,"Loss","Draw"))</x:f>
        <x:v>Loss</x:v>
      </x:c>
      <x:c r="I1001" s="7" t="n">
        <x:f>IF(H1001="Win",1,0)</x:f>
        <x:v>0</x:v>
      </x:c>
      <x:c r="J1001" s="7" t="n">
        <x:f>F1001-G1001</x:f>
        <x:v>-6</x:v>
      </x:c>
      <x:c r="K1001" s="7" t="n">
        <x:f>F1001+G1001</x:f>
        <x:v>20</x:v>
      </x:c>
      <x:c r="L1001" s="7" t="n">
        <x:v>16</x:v>
      </x:c>
      <x:c r="M1001" s="7" t="n">
        <x:v>18</x:v>
      </x:c>
      <x:c r="N1001" s="7" t="n">
        <x:v>3</x:v>
      </x:c>
      <x:c r="O1001" s="9" t="n">
        <x:f>IF(M1001=0,"n.a.",L1001/M1001)</x:f>
        <x:v>0.8888888888888888</x:v>
      </x:c>
      <x:c r="P1001" s="9" t="n">
        <x:f>IF(K1001=0,"n.a.",L1001/K1001)</x:f>
        <x:v>0.8</x:v>
      </x:c>
      <x:c r="Q1001" s="9" t="n">
        <x:f>IF(K1001=0,"n.a.",M1001/K1001)</x:f>
        <x:v>0.9</x:v>
      </x:c>
      <x:c r="R1001" s="9" t="n">
        <x:f>IF(K1001=0,"n.a.",N1001/K1001)</x:f>
        <x:v>0.15</x:v>
      </x:c>
      <x:c r="S1001" s="7" t="n">
        <x:v>-42</x:v>
      </x:c>
      <x:c r="T1001" s="10" t="n">
        <x:v>0.34</x:v>
      </x:c>
      <x:c r="U1001" s="7" t="n">
        <x:v>220</x:v>
      </x:c>
      <x:c r="V1001" s="7" t="n">
        <x:v>550</x:v>
      </x:c>
    </x:row>
    <x:row r="1002" ht="16" customHeight="1">
      <x:c r="A1002" s="7" t="n">
        <x:v>999</x:v>
      </x:c>
      <x:c r="B1002" s="8" t="n">
        <x:v>46221</x:v>
      </x:c>
      <x:c r="C1002" s="7" t="str">
        <x:v>Ascent</x:v>
      </x:c>
      <x:c r="D1002" s="7" t="str">
        <x:v>3rd</x:v>
      </x:c>
      <x:c r="E1002" s="7" t="str">
        <x:v>Neon</x:v>
      </x:c>
      <x:c r="F1002" s="7" t="n">
        <x:v>13</x:v>
      </x:c>
      <x:c r="G1002" s="7" t="n">
        <x:v>4</x:v>
      </x:c>
      <x:c r="H1002" s="7" t="str">
        <x:f>IF(F1002&gt;G1002,"Win",IF(F1002&lt;G1002,"Loss","Draw"))</x:f>
        <x:v>Win</x:v>
      </x:c>
      <x:c r="I1002" s="7" t="n">
        <x:f>IF(H1002="Win",1,0)</x:f>
        <x:v>1</x:v>
      </x:c>
      <x:c r="J1002" s="7" t="n">
        <x:f>F1002-G1002</x:f>
        <x:v>9</x:v>
      </x:c>
      <x:c r="K1002" s="7" t="n">
        <x:f>F1002+G1002</x:f>
        <x:v>17</x:v>
      </x:c>
      <x:c r="L1002" s="7" t="n">
        <x:v>16</x:v>
      </x:c>
      <x:c r="M1002" s="7" t="n">
        <x:v>13</x:v>
      </x:c>
      <x:c r="N1002" s="7" t="n">
        <x:v>4</x:v>
      </x:c>
      <x:c r="O1002" s="9" t="n">
        <x:f>IF(M1002=0,"n.a.",L1002/M1002)</x:f>
        <x:v>1.2307692307692308</x:v>
      </x:c>
      <x:c r="P1002" s="9" t="n">
        <x:f>IF(K1002=0,"n.a.",L1002/K1002)</x:f>
        <x:v>0.9411764705882353</x:v>
      </x:c>
      <x:c r="Q1002" s="9" t="n">
        <x:f>IF(K1002=0,"n.a.",M1002/K1002)</x:f>
        <x:v>0.7647058823529411</x:v>
      </x:c>
      <x:c r="R1002" s="9" t="n">
        <x:f>IF(K1002=0,"n.a.",N1002/K1002)</x:f>
        <x:v>0.23529411764705882</x:v>
      </x:c>
      <x:c r="S1002" s="7" t="n">
        <x:v>51</x:v>
      </x:c>
      <x:c r="T1002" s="10" t="n">
        <x:v>0.25</x:v>
      </x:c>
      <x:c r="U1002" s="7" t="n">
        <x:v>282</x:v>
      </x:c>
      <x:c r="V1002" s="7" t="n">
        <x:v>783</x:v>
      </x:c>
    </x:row>
    <x:row r="1003" ht="16" customHeight="1">
      <x:c r="A1003" s="7" t="n">
        <x:v>1000</x:v>
      </x:c>
      <x:c r="B1003" s="8" t="n">
        <x:v>46222</x:v>
      </x:c>
      <x:c r="C1003" s="7" t="str">
        <x:v>Lotus</x:v>
      </x:c>
      <x:c r="D1003" s="7" t="str">
        <x:v>10th</x:v>
      </x:c>
      <x:c r="E1003" s="7" t="str">
        <x:v>Neon</x:v>
      </x:c>
      <x:c r="F1003" s="7" t="n">
        <x:v>13</x:v>
      </x:c>
      <x:c r="G1003" s="7" t="n">
        <x:v>11</x:v>
      </x:c>
      <x:c r="H1003" s="7" t="str">
        <x:f>IF(F1003&gt;G1003,"Win",IF(F1003&lt;G1003,"Loss","Draw"))</x:f>
        <x:v>Win</x:v>
      </x:c>
      <x:c r="I1003" s="7" t="n">
        <x:f>IF(H1003="Win",1,0)</x:f>
        <x:v>1</x:v>
      </x:c>
      <x:c r="J1003" s="7" t="n">
        <x:f>F1003-G1003</x:f>
        <x:v>2</x:v>
      </x:c>
      <x:c r="K1003" s="7" t="n">
        <x:f>F1003+G1003</x:f>
        <x:v>24</x:v>
      </x:c>
      <x:c r="L1003" s="7" t="n">
        <x:v>6</x:v>
      </x:c>
      <x:c r="M1003" s="7" t="n">
        <x:v>20</x:v>
      </x:c>
      <x:c r="N1003" s="7" t="n">
        <x:v>4</x:v>
      </x:c>
      <x:c r="O1003" s="9" t="n">
        <x:f>IF(M1003=0,"n.a.",L1003/M1003)</x:f>
        <x:v>0.3</x:v>
      </x:c>
      <x:c r="P1003" s="9" t="n">
        <x:f>IF(K1003=0,"n.a.",L1003/K1003)</x:f>
        <x:v>0.25</x:v>
      </x:c>
      <x:c r="Q1003" s="9" t="n">
        <x:f>IF(K1003=0,"n.a.",M1003/K1003)</x:f>
        <x:v>0.8333333333333334</x:v>
      </x:c>
      <x:c r="R1003" s="9" t="n">
        <x:f>IF(K1003=0,"n.a.",N1003/K1003)</x:f>
        <x:v>0.16666666666666666</x:v>
      </x:c>
      <x:c r="S1003" s="7" t="n">
        <x:v>-78</x:v>
      </x:c>
      <x:c r="T1003" s="10" t="n">
        <x:v>0.25</x:v>
      </x:c>
      <x:c r="U1003" s="7" t="n">
        <x:v>107</x:v>
      </x:c>
      <x:c r="V1003" s="7" t="n">
        <x:v>163</x:v>
      </x:c>
    </x:row>
    <x:row r="1004" ht="16" customHeight="1">
      <x:c r="A1004" s="7" t="n">
        <x:v>1001</x:v>
      </x:c>
      <x:c r="B1004" s="8" t="n">
        <x:v>46222</x:v>
      </x:c>
      <x:c r="C1004" s="7" t="str">
        <x:v>Lotus</x:v>
      </x:c>
      <x:c r="D1004" s="7" t="str">
        <x:v>7th</x:v>
      </x:c>
      <x:c r="E1004" s="7" t="str">
        <x:v>Chamber</x:v>
      </x:c>
      <x:c r="F1004" s="7" t="n">
        <x:v>3</x:v>
      </x:c>
      <x:c r="G1004" s="7" t="n">
        <x:v>13</x:v>
      </x:c>
      <x:c r="H1004" s="7" t="str">
        <x:f>IF(F1004&gt;G1004,"Win",IF(F1004&lt;G1004,"Loss","Draw"))</x:f>
        <x:v>Loss</x:v>
      </x:c>
      <x:c r="I1004" s="7" t="n">
        <x:f>IF(H1004="Win",1,0)</x:f>
        <x:v>0</x:v>
      </x:c>
      <x:c r="J1004" s="7" t="n">
        <x:f>F1004-G1004</x:f>
        <x:v>-10</x:v>
      </x:c>
      <x:c r="K1004" s="7" t="n">
        <x:f>F1004+G1004</x:f>
        <x:v>16</x:v>
      </x:c>
      <x:c r="L1004" s="7" t="n">
        <x:v>9</x:v>
      </x:c>
      <x:c r="M1004" s="7" t="n">
        <x:v>14</x:v>
      </x:c>
      <x:c r="N1004" s="7" t="n">
        <x:v>2</x:v>
      </x:c>
      <x:c r="O1004" s="9" t="n">
        <x:f>IF(M1004=0,"n.a.",L1004/M1004)</x:f>
        <x:v>0.6428571428571429</x:v>
      </x:c>
      <x:c r="P1004" s="9" t="n">
        <x:f>IF(K1004=0,"n.a.",L1004/K1004)</x:f>
        <x:v>0.5625</x:v>
      </x:c>
      <x:c r="Q1004" s="9" t="n">
        <x:f>IF(K1004=0,"n.a.",M1004/K1004)</x:f>
        <x:v>0.875</x:v>
      </x:c>
      <x:c r="R1004" s="9" t="n">
        <x:f>IF(K1004=0,"n.a.",N1004/K1004)</x:f>
        <x:v>0.125</x:v>
      </x:c>
      <x:c r="S1004" s="7" t="n">
        <x:v>-14</x:v>
      </x:c>
      <x:c r="T1004" s="10" t="n">
        <x:v>0.42</x:v>
      </x:c>
      <x:c r="U1004" s="7" t="n">
        <x:v>170</x:v>
      </x:c>
      <x:c r="V1004" s="7" t="n">
        <x:v>345</x:v>
      </x:c>
    </x:row>
    <x:row r="1005" ht="16" customHeight="1">
      <x:c r="A1005" s="7" t="n">
        <x:v>1002</x:v>
      </x:c>
      <x:c r="B1005" s="8" t="n">
        <x:v>46222</x:v>
      </x:c>
      <x:c r="C1005" s="7" t="str">
        <x:v>Ascent</x:v>
      </x:c>
      <x:c r="D1005" s="7" t="str">
        <x:v>MVP</x:v>
      </x:c>
      <x:c r="E1005" s="7" t="str">
        <x:v>Chamber</x:v>
      </x:c>
      <x:c r="F1005" s="7" t="n">
        <x:v>13</x:v>
      </x:c>
      <x:c r="G1005" s="7" t="n">
        <x:v>5</x:v>
      </x:c>
      <x:c r="H1005" s="7" t="str">
        <x:f>IF(F1005&gt;G1005,"Win",IF(F1005&lt;G1005,"Loss","Draw"))</x:f>
        <x:v>Win</x:v>
      </x:c>
      <x:c r="I1005" s="7" t="n">
        <x:f>IF(H1005="Win",1,0)</x:f>
        <x:v>1</x:v>
      </x:c>
      <x:c r="J1005" s="7" t="n">
        <x:f>F1005-G1005</x:f>
        <x:v>8</x:v>
      </x:c>
      <x:c r="K1005" s="7" t="n">
        <x:f>F1005+G1005</x:f>
        <x:v>18</x:v>
      </x:c>
      <x:c r="L1005" s="7" t="n">
        <x:v>24</x:v>
      </x:c>
      <x:c r="M1005" s="7" t="n">
        <x:v>13</x:v>
      </x:c>
      <x:c r="N1005" s="7" t="n">
        <x:v>5</x:v>
      </x:c>
      <x:c r="O1005" s="9" t="n">
        <x:f>IF(M1005=0,"n.a.",L1005/M1005)</x:f>
        <x:v>1.8461538461538463</x:v>
      </x:c>
      <x:c r="P1005" s="9" t="n">
        <x:f>IF(K1005=0,"n.a.",L1005/K1005)</x:f>
        <x:v>1.3333333333333333</x:v>
      </x:c>
      <x:c r="Q1005" s="9" t="n">
        <x:f>IF(K1005=0,"n.a.",M1005/K1005)</x:f>
        <x:v>0.7222222222222222</x:v>
      </x:c>
      <x:c r="R1005" s="9" t="n">
        <x:f>IF(K1005=0,"n.a.",N1005/K1005)</x:f>
        <x:v>0.2777777777777778</x:v>
      </x:c>
      <x:c r="S1005" s="7" t="n">
        <x:v>113</x:v>
      </x:c>
      <x:c r="T1005" s="10" t="n">
        <x:v>0.32</x:v>
      </x:c>
      <x:c r="U1005" s="7" t="n">
        <x:v>383</x:v>
      </x:c>
      <x:c r="V1005" s="7" t="n">
        <x:v>959</x:v>
      </x:c>
    </x:row>
    <x:row r="1006" ht="16" customHeight="1">
      <x:c r="A1006" s="7" t="n">
        <x:v>1003</x:v>
      </x:c>
      <x:c r="B1006" s="8" t="n">
        <x:v>46222</x:v>
      </x:c>
      <x:c r="C1006" s="7" t="str">
        <x:v>Summit</x:v>
      </x:c>
      <x:c r="D1006" s="7" t="str">
        <x:v>MVP</x:v>
      </x:c>
      <x:c r="E1006" s="7" t="str">
        <x:v>Chamber</x:v>
      </x:c>
      <x:c r="F1006" s="7" t="n">
        <x:v>13</x:v>
      </x:c>
      <x:c r="G1006" s="7" t="n">
        <x:v>11</x:v>
      </x:c>
      <x:c r="H1006" s="7" t="str">
        <x:f>IF(F1006&gt;G1006,"Win",IF(F1006&lt;G1006,"Loss","Draw"))</x:f>
        <x:v>Win</x:v>
      </x:c>
      <x:c r="I1006" s="7" t="n">
        <x:f>IF(H1006="Win",1,0)</x:f>
        <x:v>1</x:v>
      </x:c>
      <x:c r="J1006" s="7" t="n">
        <x:f>F1006-G1006</x:f>
        <x:v>2</x:v>
      </x:c>
      <x:c r="K1006" s="7" t="n">
        <x:f>F1006+G1006</x:f>
        <x:v>24</x:v>
      </x:c>
      <x:c r="L1006" s="7" t="n">
        <x:v>26</x:v>
      </x:c>
      <x:c r="M1006" s="7" t="n">
        <x:v>19</x:v>
      </x:c>
      <x:c r="N1006" s="7" t="n">
        <x:v>8</x:v>
      </x:c>
      <x:c r="O1006" s="9" t="n">
        <x:f>IF(M1006=0,"n.a.",L1006/M1006)</x:f>
        <x:v>1.368421052631579</x:v>
      </x:c>
      <x:c r="P1006" s="9" t="n">
        <x:f>IF(K1006=0,"n.a.",L1006/K1006)</x:f>
        <x:v>1.0833333333333333</x:v>
      </x:c>
      <x:c r="Q1006" s="9" t="n">
        <x:f>IF(K1006=0,"n.a.",M1006/K1006)</x:f>
        <x:v>0.7916666666666666</x:v>
      </x:c>
      <x:c r="R1006" s="9" t="n">
        <x:f>IF(K1006=0,"n.a.",N1006/K1006)</x:f>
        <x:v>0.3333333333333333</x:v>
      </x:c>
      <x:c r="S1006" s="7" t="n">
        <x:v>32</x:v>
      </x:c>
      <x:c r="T1006" s="10" t="n">
        <x:v>0.32</x:v>
      </x:c>
      <x:c r="U1006" s="7" t="n">
        <x:v>310</x:v>
      </x:c>
      <x:c r="V1006" s="7" t="n">
        <x:v>859</x:v>
      </x:c>
    </x:row>
    <x:row r="1007" ht="16" customHeight="1">
      <x:c r="A1007" s="7" t="n">
        <x:v>1004</x:v>
      </x:c>
      <x:c r="B1007" s="8" t="n">
        <x:v>46222</x:v>
      </x:c>
      <x:c r="C1007" s="7" t="str">
        <x:v>Breeze</x:v>
      </x:c>
      <x:c r="D1007" s="7" t="str">
        <x:v>2nd</x:v>
      </x:c>
      <x:c r="E1007" s="7" t="str">
        <x:v>Neon</x:v>
      </x:c>
      <x:c r="F1007" s="7" t="n">
        <x:v>7</x:v>
      </x:c>
      <x:c r="G1007" s="7" t="n">
        <x:v>13</x:v>
      </x:c>
      <x:c r="H1007" s="7" t="str">
        <x:f>IF(F1007&gt;G1007,"Win",IF(F1007&lt;G1007,"Loss","Draw"))</x:f>
        <x:v>Loss</x:v>
      </x:c>
      <x:c r="I1007" s="7" t="n">
        <x:f>IF(H1007="Win",1,0)</x:f>
        <x:v>0</x:v>
      </x:c>
      <x:c r="J1007" s="7" t="n">
        <x:f>F1007-G1007</x:f>
        <x:v>-6</x:v>
      </x:c>
      <x:c r="K1007" s="7" t="n">
        <x:f>F1007+G1007</x:f>
        <x:v>20</x:v>
      </x:c>
      <x:c r="L1007" s="7" t="n">
        <x:v>20</x:v>
      </x:c>
      <x:c r="M1007" s="7" t="n">
        <x:v>15</x:v>
      </x:c>
      <x:c r="N1007" s="7" t="n">
        <x:v>2</x:v>
      </x:c>
      <x:c r="O1007" s="9" t="n">
        <x:f>IF(M1007=0,"n.a.",L1007/M1007)</x:f>
        <x:v>1.3333333333333333</x:v>
      </x:c>
      <x:c r="P1007" s="9" t="n">
        <x:f>IF(K1007=0,"n.a.",L1007/K1007)</x:f>
        <x:v>1</x:v>
      </x:c>
      <x:c r="Q1007" s="9" t="n">
        <x:f>IF(K1007=0,"n.a.",M1007/K1007)</x:f>
        <x:v>0.75</x:v>
      </x:c>
      <x:c r="R1007" s="9" t="n">
        <x:f>IF(K1007=0,"n.a.",N1007/K1007)</x:f>
        <x:v>0.1</x:v>
      </x:c>
      <x:c r="S1007" s="7" t="n">
        <x:v>-3</x:v>
      </x:c>
      <x:c r="T1007" s="10" t="n">
        <x:v>0.24</x:v>
      </x:c>
      <x:c r="U1007" s="7" t="n">
        <x:v>280</x:v>
      </x:c>
      <x:c r="V1007" s="7" t="n">
        <x:v>497</x:v>
      </x:c>
    </x:row>
    <x:row r="1008" ht="16" customHeight="1">
      <x:c r="A1008" s="7" t="n">
        <x:v>1005</x:v>
      </x:c>
      <x:c r="B1008" s="8" t="n">
        <x:v>46222</x:v>
      </x:c>
      <x:c r="C1008" s="7" t="str">
        <x:v>Summit</x:v>
      </x:c>
      <x:c r="D1008" s="7" t="str">
        <x:v>7th</x:v>
      </x:c>
      <x:c r="E1008" s="7" t="str">
        <x:v>Neon</x:v>
      </x:c>
      <x:c r="F1008" s="7" t="n">
        <x:v>13</x:v>
      </x:c>
      <x:c r="G1008" s="7" t="n">
        <x:v>3</x:v>
      </x:c>
      <x:c r="H1008" s="7" t="str">
        <x:f>IF(F1008&gt;G1008,"Win",IF(F1008&lt;G1008,"Loss","Draw"))</x:f>
        <x:v>Win</x:v>
      </x:c>
      <x:c r="I1008" s="7" t="n">
        <x:f>IF(H1008="Win",1,0)</x:f>
        <x:v>1</x:v>
      </x:c>
      <x:c r="J1008" s="7" t="n">
        <x:f>F1008-G1008</x:f>
        <x:v>10</x:v>
      </x:c>
      <x:c r="K1008" s="7" t="n">
        <x:f>F1008+G1008</x:f>
        <x:v>16</x:v>
      </x:c>
      <x:c r="L1008" s="7" t="n">
        <x:v>11</x:v>
      </x:c>
      <x:c r="M1008" s="7" t="n">
        <x:v>11</x:v>
      </x:c>
      <x:c r="N1008" s="7" t="n">
        <x:v>2</x:v>
      </x:c>
      <x:c r="O1008" s="9" t="n">
        <x:f>IF(M1008=0,"n.a.",L1008/M1008)</x:f>
        <x:v>1</x:v>
      </x:c>
      <x:c r="P1008" s="9" t="n">
        <x:f>IF(K1008=0,"n.a.",L1008/K1008)</x:f>
        <x:v>0.6875</x:v>
      </x:c>
      <x:c r="Q1008" s="9" t="n">
        <x:f>IF(K1008=0,"n.a.",M1008/K1008)</x:f>
        <x:v>0.6875</x:v>
      </x:c>
      <x:c r="R1008" s="9" t="n">
        <x:f>IF(K1008=0,"n.a.",N1008/K1008)</x:f>
        <x:v>0.125</x:v>
      </x:c>
      <x:c r="S1008" s="7" t="n">
        <x:v>-9</x:v>
      </x:c>
      <x:c r="T1008" s="10" t="n">
        <x:v>0.15</x:v>
      </x:c>
      <x:c r="U1008" s="7" t="n">
        <x:v>185</x:v>
      </x:c>
      <x:c r="V1008" s="7" t="n">
        <x:v>578</x:v>
      </x:c>
    </x:row>
    <x:row r="1009" ht="16" customHeight="1">
      <x:c r="A1009" s="7" t="n">
        <x:v>1006</x:v>
      </x:c>
      <x:c r="B1009" s="8" t="n">
        <x:v>46222</x:v>
      </x:c>
      <x:c r="C1009" s="7" t="str">
        <x:v>Breeze</x:v>
      </x:c>
      <x:c r="D1009" s="7" t="str">
        <x:v>8th</x:v>
      </x:c>
      <x:c r="E1009" s="7" t="str">
        <x:v>Neon</x:v>
      </x:c>
      <x:c r="F1009" s="7" t="n">
        <x:v>11</x:v>
      </x:c>
      <x:c r="G1009" s="7" t="n">
        <x:v>13</x:v>
      </x:c>
      <x:c r="H1009" s="7" t="str">
        <x:f>IF(F1009&gt;G1009,"Win",IF(F1009&lt;G1009,"Loss","Draw"))</x:f>
        <x:v>Loss</x:v>
      </x:c>
      <x:c r="I1009" s="7" t="n">
        <x:f>IF(H1009="Win",1,0)</x:f>
        <x:v>0</x:v>
      </x:c>
      <x:c r="J1009" s="7" t="n">
        <x:f>F1009-G1009</x:f>
        <x:v>-2</x:v>
      </x:c>
      <x:c r="K1009" s="7" t="n">
        <x:f>F1009+G1009</x:f>
        <x:v>24</x:v>
      </x:c>
      <x:c r="L1009" s="7" t="n">
        <x:v>15</x:v>
      </x:c>
      <x:c r="M1009" s="7" t="n">
        <x:v>16</x:v>
      </x:c>
      <x:c r="N1009" s="7" t="n">
        <x:v>4</x:v>
      </x:c>
      <x:c r="O1009" s="9" t="n">
        <x:f>IF(M1009=0,"n.a.",L1009/M1009)</x:f>
        <x:v>0.9375</x:v>
      </x:c>
      <x:c r="P1009" s="9" t="n">
        <x:f>IF(K1009=0,"n.a.",L1009/K1009)</x:f>
        <x:v>0.625</x:v>
      </x:c>
      <x:c r="Q1009" s="9" t="n">
        <x:f>IF(K1009=0,"n.a.",M1009/K1009)</x:f>
        <x:v>0.6666666666666666</x:v>
      </x:c>
      <x:c r="R1009" s="9" t="n">
        <x:f>IF(K1009=0,"n.a.",N1009/K1009)</x:f>
        <x:v>0.16666666666666666</x:v>
      </x:c>
      <x:c r="S1009" s="7" t="n">
        <x:v>-24</x:v>
      </x:c>
      <x:c r="T1009" s="10" t="n">
        <x:v>0.29</x:v>
      </x:c>
      <x:c r="U1009" s="7" t="n">
        <x:v>174</x:v>
      </x:c>
      <x:c r="V1009" s="7" t="n">
        <x:v>388</x:v>
      </x:c>
    </x:row>
    <x:row r="1010" ht="16" customHeight="1">
      <x:c r="A1010" s="7" t="n">
        <x:v>1007</x:v>
      </x:c>
      <x:c r="B1010" s="8" t="n">
        <x:v>46223</x:v>
      </x:c>
      <x:c r="C1010" s="7" t="str">
        <x:v>Split</x:v>
      </x:c>
      <x:c r="D1010" s="7" t="str">
        <x:v>7th</x:v>
      </x:c>
      <x:c r="E1010" s="7" t="str">
        <x:v>Clove</x:v>
      </x:c>
      <x:c r="F1010" s="7" t="n">
        <x:v>6</x:v>
      </x:c>
      <x:c r="G1010" s="7" t="n">
        <x:v>13</x:v>
      </x:c>
      <x:c r="H1010" s="7" t="str">
        <x:f>IF(F1010&gt;G1010,"Win",IF(F1010&lt;G1010,"Loss","Draw"))</x:f>
        <x:v>Loss</x:v>
      </x:c>
      <x:c r="I1010" s="7" t="n">
        <x:f>IF(H1010="Win",1,0)</x:f>
        <x:v>0</x:v>
      </x:c>
      <x:c r="J1010" s="7" t="n">
        <x:f>F1010-G1010</x:f>
        <x:v>-7</x:v>
      </x:c>
      <x:c r="K1010" s="7" t="n">
        <x:f>F1010+G1010</x:f>
        <x:v>19</x:v>
      </x:c>
      <x:c r="L1010" s="7" t="n">
        <x:v>12</x:v>
      </x:c>
      <x:c r="M1010" s="7" t="n">
        <x:v>21</x:v>
      </x:c>
      <x:c r="N1010" s="7" t="n">
        <x:v>2</x:v>
      </x:c>
      <x:c r="O1010" s="9" t="n">
        <x:f>IF(M1010=0,"n.a.",L1010/M1010)</x:f>
        <x:v>0.5714285714285714</x:v>
      </x:c>
      <x:c r="P1010" s="9" t="n">
        <x:f>IF(K1010=0,"n.a.",L1010/K1010)</x:f>
        <x:v>0.631578947368421</x:v>
      </x:c>
      <x:c r="Q1010" s="9" t="n">
        <x:f>IF(K1010=0,"n.a.",M1010/K1010)</x:f>
        <x:v>1.105263157894737</x:v>
      </x:c>
      <x:c r="R1010" s="9" t="n">
        <x:f>IF(K1010=0,"n.a.",N1010/K1010)</x:f>
        <x:v>0.10526315789473684</x:v>
      </x:c>
      <x:c r="S1010" s="7" t="n">
        <x:v>-95</x:v>
      </x:c>
      <x:c r="T1010" s="10" t="n">
        <x:v>0.29</x:v>
      </x:c>
      <x:c r="U1010" s="7" t="n">
        <x:v>183</x:v>
      </x:c>
      <x:c r="V1010" s="7" t="n">
        <x:v>382</x:v>
      </x:c>
    </x:row>
    <x:row r="1011" ht="16" customHeight="1">
      <x:c r="A1011" s="7" t="n">
        <x:v>1008</x:v>
      </x:c>
      <x:c r="B1011" s="8" t="n">
        <x:v>46223</x:v>
      </x:c>
      <x:c r="C1011" s="7" t="str">
        <x:v>Breeze</x:v>
      </x:c>
      <x:c r="D1011" s="7" t="str">
        <x:v>5th</x:v>
      </x:c>
      <x:c r="E1011" s="7" t="str">
        <x:v>Miks</x:v>
      </x:c>
      <x:c r="F1011" s="7" t="n">
        <x:v>10</x:v>
      </x:c>
      <x:c r="G1011" s="7" t="n">
        <x:v>13</x:v>
      </x:c>
      <x:c r="H1011" s="7" t="str">
        <x:f>IF(F1011&gt;G1011,"Win",IF(F1011&lt;G1011,"Loss","Draw"))</x:f>
        <x:v>Loss</x:v>
      </x:c>
      <x:c r="I1011" s="7" t="n">
        <x:f>IF(H1011="Win",1,0)</x:f>
        <x:v>0</x:v>
      </x:c>
      <x:c r="J1011" s="7" t="n">
        <x:f>F1011-G1011</x:f>
        <x:v>-3</x:v>
      </x:c>
      <x:c r="K1011" s="7" t="n">
        <x:f>F1011+G1011</x:f>
        <x:v>23</x:v>
      </x:c>
      <x:c r="L1011" s="7" t="n">
        <x:v>16</x:v>
      </x:c>
      <x:c r="M1011" s="7" t="n">
        <x:v>17</x:v>
      </x:c>
      <x:c r="N1011" s="7" t="n">
        <x:v>24</x:v>
      </x:c>
      <x:c r="O1011" s="9" t="n">
        <x:f>IF(M1011=0,"n.a.",L1011/M1011)</x:f>
        <x:v>0.9411764705882353</x:v>
      </x:c>
      <x:c r="P1011" s="9" t="n">
        <x:f>IF(K1011=0,"n.a.",L1011/K1011)</x:f>
        <x:v>0.6956521739130435</x:v>
      </x:c>
      <x:c r="Q1011" s="9" t="n">
        <x:f>IF(K1011=0,"n.a.",M1011/K1011)</x:f>
        <x:v>0.7391304347826086</x:v>
      </x:c>
      <x:c r="R1011" s="9" t="n">
        <x:f>IF(K1011=0,"n.a.",N1011/K1011)</x:f>
        <x:v>1.0434782608695652</x:v>
      </x:c>
      <x:c r="S1011" s="7" t="n">
        <x:v>16</x:v>
      </x:c>
      <x:c r="T1011" s="10" t="n">
        <x:v>0.14</x:v>
      </x:c>
      <x:c r="U1011" s="7" t="n">
        <x:v>237</x:v>
      </x:c>
      <x:c r="V1011" s="7" t="n">
        <x:v>714</x:v>
      </x:c>
    </x:row>
    <x:row r="1012" ht="16" customHeight="1">
      <x:c r="A1012" s="7" t="n">
        <x:v>1009</x:v>
      </x:c>
      <x:c r="B1012" s="8" t="n">
        <x:v>46223</x:v>
      </x:c>
      <x:c r="C1012" s="7" t="str">
        <x:v>Ascent</x:v>
      </x:c>
      <x:c r="D1012" s="7" t="str">
        <x:v>10th</x:v>
      </x:c>
      <x:c r="E1012" s="7" t="str">
        <x:v>Reyna</x:v>
      </x:c>
      <x:c r="F1012" s="7" t="n">
        <x:v>2</x:v>
      </x:c>
      <x:c r="G1012" s="7" t="n">
        <x:v>13</x:v>
      </x:c>
      <x:c r="H1012" s="7" t="str">
        <x:f>IF(F1012&gt;G1012,"Win",IF(F1012&lt;G1012,"Loss","Draw"))</x:f>
        <x:v>Loss</x:v>
      </x:c>
      <x:c r="I1012" s="7" t="n">
        <x:f>IF(H1012="Win",1,0)</x:f>
        <x:v>0</x:v>
      </x:c>
      <x:c r="J1012" s="7" t="n">
        <x:f>F1012-G1012</x:f>
        <x:v>-11</x:v>
      </x:c>
      <x:c r="K1012" s="7" t="n">
        <x:f>F1012+G1012</x:f>
        <x:v>15</x:v>
      </x:c>
      <x:c r="L1012" s="7" t="n">
        <x:v>4</x:v>
      </x:c>
      <x:c r="M1012" s="7" t="n">
        <x:v>15</x:v>
      </x:c>
      <x:c r="N1012" s="7" t="n">
        <x:v>2</x:v>
      </x:c>
      <x:c r="O1012" s="9" t="n">
        <x:f>IF(M1012=0,"n.a.",L1012/M1012)</x:f>
        <x:v>0.26666666666666666</x:v>
      </x:c>
      <x:c r="P1012" s="9" t="n">
        <x:f>IF(K1012=0,"n.a.",L1012/K1012)</x:f>
        <x:v>0.26666666666666666</x:v>
      </x:c>
      <x:c r="Q1012" s="9" t="n">
        <x:f>IF(K1012=0,"n.a.",M1012/K1012)</x:f>
        <x:v>1</x:v>
      </x:c>
      <x:c r="R1012" s="9" t="n">
        <x:f>IF(K1012=0,"n.a.",N1012/K1012)</x:f>
        <x:v>0.13333333333333333</x:v>
      </x:c>
      <x:c r="S1012" s="7" t="n">
        <x:v>-107</x:v>
      </x:c>
      <x:c r="T1012" s="10" t="n">
        <x:v>0.29</x:v>
      </x:c>
      <x:c r="U1012" s="7" t="n">
        <x:v>94</x:v>
      </x:c>
      <x:c r="V1012" s="7" t="n">
        <x:v>100</x:v>
      </x:c>
    </x:row>
    <x:row r="1013" ht="16" customHeight="1">
      <x:c r="A1013" s="7" t="n">
        <x:v>1010</x:v>
      </x:c>
      <x:c r="B1013" s="8" t="n">
        <x:v>46224</x:v>
      </x:c>
      <x:c r="C1013" s="7" t="str">
        <x:v>Ascent</x:v>
      </x:c>
      <x:c r="D1013" s="7" t="str">
        <x:v>8th</x:v>
      </x:c>
      <x:c r="E1013" s="7" t="str">
        <x:v>Neon</x:v>
      </x:c>
      <x:c r="F1013" s="7" t="n">
        <x:v>11</x:v>
      </x:c>
      <x:c r="G1013" s="7" t="n">
        <x:v>13</x:v>
      </x:c>
      <x:c r="H1013" s="7" t="str">
        <x:f>IF(F1013&gt;G1013,"Win",IF(F1013&lt;G1013,"Loss","Draw"))</x:f>
        <x:v>Loss</x:v>
      </x:c>
      <x:c r="I1013" s="7" t="n">
        <x:f>IF(H1013="Win",1,0)</x:f>
        <x:v>0</x:v>
      </x:c>
      <x:c r="J1013" s="7" t="n">
        <x:f>F1013-G1013</x:f>
        <x:v>-2</x:v>
      </x:c>
      <x:c r="K1013" s="7" t="n">
        <x:f>F1013+G1013</x:f>
        <x:v>24</x:v>
      </x:c>
      <x:c r="L1013" s="7" t="n">
        <x:v>17</x:v>
      </x:c>
      <x:c r="M1013" s="7" t="n">
        <x:v>19</x:v>
      </x:c>
      <x:c r="N1013" s="7" t="n">
        <x:v>3</x:v>
      </x:c>
      <x:c r="O1013" s="9" t="n">
        <x:f>IF(M1013=0,"n.a.",L1013/M1013)</x:f>
        <x:v>0.8947368421052632</x:v>
      </x:c>
      <x:c r="P1013" s="9" t="n">
        <x:f>IF(K1013=0,"n.a.",L1013/K1013)</x:f>
        <x:v>0.7083333333333334</x:v>
      </x:c>
      <x:c r="Q1013" s="9" t="n">
        <x:f>IF(K1013=0,"n.a.",M1013/K1013)</x:f>
        <x:v>0.7916666666666666</x:v>
      </x:c>
      <x:c r="R1013" s="9" t="n">
        <x:f>IF(K1013=0,"n.a.",N1013/K1013)</x:f>
        <x:v>0.125</x:v>
      </x:c>
      <x:c r="S1013" s="7" t="n">
        <x:v>-29</x:v>
      </x:c>
      <x:c r="T1013" s="10" t="n">
        <x:v>0.24</x:v>
      </x:c>
      <x:c r="U1013" s="7" t="n">
        <x:v>187</x:v>
      </x:c>
      <x:c r="V1013" s="7" t="n">
        <x:v>365</x:v>
      </x:c>
    </x:row>
    <x:row r="1014" ht="16" customHeight="1">
      <x:c r="A1014" s="7" t="n">
        <x:v>1011</x:v>
      </x:c>
      <x:c r="B1014" s="8" t="n">
        <x:v>46224</x:v>
      </x:c>
      <x:c r="C1014" s="7" t="str">
        <x:v>Breeze</x:v>
      </x:c>
      <x:c r="D1014" s="7" t="str">
        <x:v>5th</x:v>
      </x:c>
      <x:c r="E1014" s="7" t="str">
        <x:v>Neon</x:v>
      </x:c>
      <x:c r="F1014" s="7" t="n">
        <x:v>13</x:v>
      </x:c>
      <x:c r="G1014" s="7" t="n">
        <x:v>8</x:v>
      </x:c>
      <x:c r="H1014" s="7" t="str">
        <x:f>IF(F1014&gt;G1014,"Win",IF(F1014&lt;G1014,"Loss","Draw"))</x:f>
        <x:v>Win</x:v>
      </x:c>
      <x:c r="I1014" s="7" t="n">
        <x:f>IF(H1014="Win",1,0)</x:f>
        <x:v>1</x:v>
      </x:c>
      <x:c r="J1014" s="7" t="n">
        <x:f>F1014-G1014</x:f>
        <x:v>5</x:v>
      </x:c>
      <x:c r="K1014" s="7" t="n">
        <x:f>F1014+G1014</x:f>
        <x:v>21</x:v>
      </x:c>
      <x:c r="L1014" s="7" t="n">
        <x:v>17</x:v>
      </x:c>
      <x:c r="M1014" s="7" t="n">
        <x:v>12</x:v>
      </x:c>
      <x:c r="N1014" s="7" t="n">
        <x:v>1</x:v>
      </x:c>
      <x:c r="O1014" s="9" t="n">
        <x:f>IF(M1014=0,"n.a.",L1014/M1014)</x:f>
        <x:v>1.4166666666666667</x:v>
      </x:c>
      <x:c r="P1014" s="9" t="n">
        <x:f>IF(K1014=0,"n.a.",L1014/K1014)</x:f>
        <x:v>0.8095238095238095</x:v>
      </x:c>
      <x:c r="Q1014" s="9" t="n">
        <x:f>IF(K1014=0,"n.a.",M1014/K1014)</x:f>
        <x:v>0.5714285714285714</x:v>
      </x:c>
      <x:c r="R1014" s="9" t="n">
        <x:f>IF(K1014=0,"n.a.",N1014/K1014)</x:f>
        <x:v>0.047619047619047616</x:v>
      </x:c>
      <x:c r="S1014" s="7" t="n">
        <x:v>4</x:v>
      </x:c>
      <x:c r="T1014" s="10" t="n">
        <x:v>0.23</x:v>
      </x:c>
      <x:c r="U1014" s="7" t="n">
        <x:v>208</x:v>
      </x:c>
      <x:c r="V1014" s="7" t="n">
        <x:v>605</x:v>
      </x:c>
    </x:row>
    <x:row r="1015" ht="16" customHeight="1">
      <x:c r="A1015" s="7" t="n">
        <x:v>1012</x:v>
      </x:c>
      <x:c r="B1015" s="8" t="n">
        <x:v>46225</x:v>
      </x:c>
      <x:c r="C1015" s="7" t="str">
        <x:v>Lotus</x:v>
      </x:c>
      <x:c r="D1015" s="7" t="str">
        <x:v>8th</x:v>
      </x:c>
      <x:c r="E1015" s="7" t="str">
        <x:v>Jett</x:v>
      </x:c>
      <x:c r="F1015" s="7" t="n">
        <x:v>7</x:v>
      </x:c>
      <x:c r="G1015" s="7" t="n">
        <x:v>13</x:v>
      </x:c>
      <x:c r="H1015" s="7" t="str">
        <x:f>IF(F1015&gt;G1015,"Win",IF(F1015&lt;G1015,"Loss","Draw"))</x:f>
        <x:v>Loss</x:v>
      </x:c>
      <x:c r="I1015" s="7" t="n">
        <x:f>IF(H1015="Win",1,0)</x:f>
        <x:v>0</x:v>
      </x:c>
      <x:c r="J1015" s="7" t="n">
        <x:f>F1015-G1015</x:f>
        <x:v>-6</x:v>
      </x:c>
      <x:c r="K1015" s="7" t="n">
        <x:f>F1015+G1015</x:f>
        <x:v>20</x:v>
      </x:c>
      <x:c r="L1015" s="7" t="n">
        <x:v>12</x:v>
      </x:c>
      <x:c r="M1015" s="7" t="n">
        <x:v>16</x:v>
      </x:c>
      <x:c r="N1015" s="7" t="n">
        <x:v>4</x:v>
      </x:c>
      <x:c r="O1015" s="9" t="n">
        <x:f>IF(M1015=0,"n.a.",L1015/M1015)</x:f>
        <x:v>0.75</x:v>
      </x:c>
      <x:c r="P1015" s="9" t="n">
        <x:f>IF(K1015=0,"n.a.",L1015/K1015)</x:f>
        <x:v>0.6</x:v>
      </x:c>
      <x:c r="Q1015" s="9" t="n">
        <x:f>IF(K1015=0,"n.a.",M1015/K1015)</x:f>
        <x:v>0.8</x:v>
      </x:c>
      <x:c r="R1015" s="9" t="n">
        <x:f>IF(K1015=0,"n.a.",N1015/K1015)</x:f>
        <x:v>0.2</x:v>
      </x:c>
      <x:c r="S1015" s="7" t="n">
        <x:v>-21</x:v>
      </x:c>
      <x:c r="T1015" s="10" t="n">
        <x:v>0.35</x:v>
      </x:c>
      <x:c r="U1015" s="7" t="n">
        <x:v>187</x:v>
      </x:c>
      <x:c r="V1015" s="7" t="n">
        <x:v>401</x:v>
      </x:c>
    </x:row>
    <x:row r="1016" ht="16" customHeight="1">
      <x:c r="A1016" s="7" t="n">
        <x:v>1013</x:v>
      </x:c>
      <x:c r="B1016" s="8" t="n">
        <x:v>46225</x:v>
      </x:c>
      <x:c r="C1016" s="7" t="str">
        <x:v>Ascent</x:v>
      </x:c>
      <x:c r="D1016" s="7" t="str">
        <x:v>9th</x:v>
      </x:c>
      <x:c r="E1016" s="7" t="str">
        <x:v>Gekko</x:v>
      </x:c>
      <x:c r="F1016" s="7" t="n">
        <x:v>8</x:v>
      </x:c>
      <x:c r="G1016" s="7" t="n">
        <x:v>13</x:v>
      </x:c>
      <x:c r="H1016" s="7" t="str">
        <x:f>IF(F1016&gt;G1016,"Win",IF(F1016&lt;G1016,"Loss","Draw"))</x:f>
        <x:v>Loss</x:v>
      </x:c>
      <x:c r="I1016" s="7" t="n">
        <x:f>IF(H1016="Win",1,0)</x:f>
        <x:v>0</x:v>
      </x:c>
      <x:c r="J1016" s="7" t="n">
        <x:f>F1016-G1016</x:f>
        <x:v>-5</x:v>
      </x:c>
      <x:c r="K1016" s="7" t="n">
        <x:f>F1016+G1016</x:f>
        <x:v>21</x:v>
      </x:c>
      <x:c r="L1016" s="7" t="n">
        <x:v>12</x:v>
      </x:c>
      <x:c r="M1016" s="7" t="n">
        <x:v>17</x:v>
      </x:c>
      <x:c r="N1016" s="7" t="n">
        <x:v>2</x:v>
      </x:c>
      <x:c r="O1016" s="9" t="n">
        <x:f>IF(M1016=0,"n.a.",L1016/M1016)</x:f>
        <x:v>0.7058823529411765</x:v>
      </x:c>
      <x:c r="P1016" s="9" t="n">
        <x:f>IF(K1016=0,"n.a.",L1016/K1016)</x:f>
        <x:v>0.5714285714285714</x:v>
      </x:c>
      <x:c r="Q1016" s="9" t="n">
        <x:f>IF(K1016=0,"n.a.",M1016/K1016)</x:f>
        <x:v>0.8095238095238095</x:v>
      </x:c>
      <x:c r="R1016" s="9" t="n">
        <x:f>IF(K1016=0,"n.a.",N1016/K1016)</x:f>
        <x:v>0.09523809523809523</x:v>
      </x:c>
      <x:c r="S1016" s="7" t="n">
        <x:v>-15</x:v>
      </x:c>
      <x:c r="T1016" s="10" t="n">
        <x:v>0.28</x:v>
      </x:c>
      <x:c r="U1016" s="7" t="n">
        <x:v>163</x:v>
      </x:c>
      <x:c r="V1016" s="7" t="n">
        <x:v>314</x:v>
      </x:c>
    </x:row>
    <x:row r="1017" ht="16" customHeight="1">
      <x:c r="A1017" s="7" t="n">
        <x:v>1014</x:v>
      </x:c>
      <x:c r="B1017" s="8" t="n">
        <x:v>46225</x:v>
      </x:c>
      <x:c r="C1017" s="7" t="str">
        <x:v>Summit</x:v>
      </x:c>
      <x:c r="D1017" s="7" t="str">
        <x:v>8th</x:v>
      </x:c>
      <x:c r="E1017" s="7" t="str">
        <x:v>Neon</x:v>
      </x:c>
      <x:c r="F1017" s="7" t="n">
        <x:v>5</x:v>
      </x:c>
      <x:c r="G1017" s="7" t="n">
        <x:v>13</x:v>
      </x:c>
      <x:c r="H1017" s="7" t="str">
        <x:f>IF(F1017&gt;G1017,"Win",IF(F1017&lt;G1017,"Loss","Draw"))</x:f>
        <x:v>Loss</x:v>
      </x:c>
      <x:c r="I1017" s="7" t="n">
        <x:f>IF(H1017="Win",1,0)</x:f>
        <x:v>0</x:v>
      </x:c>
      <x:c r="J1017" s="7" t="n">
        <x:f>F1017-G1017</x:f>
        <x:v>-8</x:v>
      </x:c>
      <x:c r="K1017" s="7" t="n">
        <x:f>F1017+G1017</x:f>
        <x:v>18</x:v>
      </x:c>
      <x:c r="L1017" s="7" t="n">
        <x:v>9</x:v>
      </x:c>
      <x:c r="M1017" s="7" t="n">
        <x:v>17</x:v>
      </x:c>
      <x:c r="N1017" s="7" t="n">
        <x:v>6</x:v>
      </x:c>
      <x:c r="O1017" s="9" t="n">
        <x:f>IF(M1017=0,"n.a.",L1017/M1017)</x:f>
        <x:v>0.5294117647058824</x:v>
      </x:c>
      <x:c r="P1017" s="9" t="n">
        <x:f>IF(K1017=0,"n.a.",L1017/K1017)</x:f>
        <x:v>0.5</x:v>
      </x:c>
      <x:c r="Q1017" s="9" t="n">
        <x:f>IF(K1017=0,"n.a.",M1017/K1017)</x:f>
        <x:v>0.9444444444444444</x:v>
      </x:c>
      <x:c r="R1017" s="9" t="n">
        <x:f>IF(K1017=0,"n.a.",N1017/K1017)</x:f>
        <x:v>0.3333333333333333</x:v>
      </x:c>
      <x:c r="S1017" s="7" t="n">
        <x:v>-41</x:v>
      </x:c>
      <x:c r="T1017" s="10" t="n">
        <x:v>0.26</x:v>
      </x:c>
      <x:c r="U1017" s="7" t="n">
        <x:v>178</x:v>
      </x:c>
      <x:c r="V1017" s="7" t="n">
        <x:v>200</x:v>
      </x:c>
    </x:row>
    <x:row r="1018" ht="16" customHeight="1">
      <x:c r="A1018" s="7" t="n">
        <x:v>1015</x:v>
      </x:c>
      <x:c r="B1018" s="8" t="n">
        <x:v>46225</x:v>
      </x:c>
      <x:c r="C1018" s="7" t="str">
        <x:v>Lotus</x:v>
      </x:c>
      <x:c r="D1018" s="7" t="str">
        <x:v>7th</x:v>
      </x:c>
      <x:c r="E1018" s="7" t="str">
        <x:v>Chamber</x:v>
      </x:c>
      <x:c r="F1018" s="7" t="n">
        <x:v>13</x:v>
      </x:c>
      <x:c r="G1018" s="7" t="n">
        <x:v>11</x:v>
      </x:c>
      <x:c r="H1018" s="7" t="str">
        <x:f>IF(F1018&gt;G1018,"Win",IF(F1018&lt;G1018,"Loss","Draw"))</x:f>
        <x:v>Win</x:v>
      </x:c>
      <x:c r="I1018" s="7" t="n">
        <x:f>IF(H1018="Win",1,0)</x:f>
        <x:v>1</x:v>
      </x:c>
      <x:c r="J1018" s="7" t="n">
        <x:f>F1018-G1018</x:f>
        <x:v>2</x:v>
      </x:c>
      <x:c r="K1018" s="7" t="n">
        <x:f>F1018+G1018</x:f>
        <x:v>24</x:v>
      </x:c>
      <x:c r="L1018" s="7" t="n">
        <x:v>13</x:v>
      </x:c>
      <x:c r="M1018" s="7" t="n">
        <x:v>18</x:v>
      </x:c>
      <x:c r="N1018" s="7" t="n">
        <x:v>4</x:v>
      </x:c>
      <x:c r="O1018" s="9" t="n">
        <x:f>IF(M1018=0,"n.a.",L1018/M1018)</x:f>
        <x:v>0.7222222222222222</x:v>
      </x:c>
      <x:c r="P1018" s="9" t="n">
        <x:f>IF(K1018=0,"n.a.",L1018/K1018)</x:f>
        <x:v>0.5416666666666666</x:v>
      </x:c>
      <x:c r="Q1018" s="9" t="n">
        <x:f>IF(K1018=0,"n.a.",M1018/K1018)</x:f>
        <x:v>0.75</x:v>
      </x:c>
      <x:c r="R1018" s="9" t="n">
        <x:f>IF(K1018=0,"n.a.",N1018/K1018)</x:f>
        <x:v>0.16666666666666666</x:v>
      </x:c>
      <x:c r="S1018" s="7" t="n">
        <x:v>-36</x:v>
      </x:c>
      <x:c r="T1018" s="10" t="n">
        <x:v>0.31</x:v>
      </x:c>
      <x:c r="U1018" s="7" t="n">
        <x:v>166</x:v>
      </x:c>
      <x:c r="V1018" s="7" t="n">
        <x:v>425</x:v>
      </x:c>
    </x:row>
    <x:row r="1019" ht="16" customHeight="1">
      <x:c r="A1019" s="7" t="n">
        <x:v>1016</x:v>
      </x:c>
      <x:c r="B1019" s="8" t="n">
        <x:v>46227</x:v>
      </x:c>
      <x:c r="C1019" s="7" t="str">
        <x:v>Summit</x:v>
      </x:c>
      <x:c r="D1019" s="7" t="str">
        <x:v>5th</x:v>
      </x:c>
      <x:c r="E1019" s="7" t="str">
        <x:v>Neon</x:v>
      </x:c>
      <x:c r="F1019" s="7" t="n">
        <x:v>4</x:v>
      </x:c>
      <x:c r="G1019" s="7" t="n">
        <x:v>13</x:v>
      </x:c>
      <x:c r="H1019" s="7" t="str">
        <x:f>IF(F1019&gt;G1019,"Win",IF(F1019&lt;G1019,"Loss","Draw"))</x:f>
        <x:v>Loss</x:v>
      </x:c>
      <x:c r="I1019" s="7" t="n">
        <x:f>IF(H1019="Win",1,0)</x:f>
        <x:v>0</x:v>
      </x:c>
      <x:c r="J1019" s="7" t="n">
        <x:f>F1019-G1019</x:f>
        <x:v>-9</x:v>
      </x:c>
      <x:c r="K1019" s="7" t="n">
        <x:f>F1019+G1019</x:f>
        <x:v>17</x:v>
      </x:c>
      <x:c r="L1019" s="7" t="n">
        <x:v>11</x:v>
      </x:c>
      <x:c r="M1019" s="7" t="n">
        <x:v>17</x:v>
      </x:c>
      <x:c r="N1019" s="7" t="n">
        <x:v>2</x:v>
      </x:c>
      <x:c r="O1019" s="9" t="n">
        <x:f>IF(M1019=0,"n.a.",L1019/M1019)</x:f>
        <x:v>0.6470588235294118</x:v>
      </x:c>
      <x:c r="P1019" s="9" t="n">
        <x:f>IF(K1019=0,"n.a.",L1019/K1019)</x:f>
        <x:v>0.6470588235294118</x:v>
      </x:c>
      <x:c r="Q1019" s="9" t="n">
        <x:f>IF(K1019=0,"n.a.",M1019/K1019)</x:f>
        <x:v>1</x:v>
      </x:c>
      <x:c r="R1019" s="9" t="n">
        <x:f>IF(K1019=0,"n.a.",N1019/K1019)</x:f>
        <x:v>0.11764705882352941</x:v>
      </x:c>
      <x:c r="S1019" s="7" t="n">
        <x:v>-42</x:v>
      </x:c>
      <x:c r="T1019" s="10" t="n">
        <x:v>0.23</x:v>
      </x:c>
      <x:c r="U1019" s="7" t="n">
        <x:v>211</x:v>
      </x:c>
      <x:c r="V1019" s="7" t="n">
        <x:v>297</x:v>
      </x:c>
    </x:row>
    <x:row r="1020" ht="16" customHeight="1">
      <x:c r="A1020" s="7" t="n">
        <x:v>1017</x:v>
      </x:c>
      <x:c r="B1020" s="8" t="n">
        <x:v>46227</x:v>
      </x:c>
      <x:c r="C1020" s="7" t="str">
        <x:v>Lotus</x:v>
      </x:c>
      <x:c r="D1020" s="7" t="str">
        <x:v>10th</x:v>
      </x:c>
      <x:c r="E1020" s="7" t="str">
        <x:v>Neon</x:v>
      </x:c>
      <x:c r="F1020" s="7" t="n">
        <x:v>8</x:v>
      </x:c>
      <x:c r="G1020" s="7" t="n">
        <x:v>13</x:v>
      </x:c>
      <x:c r="H1020" s="7" t="str">
        <x:f>IF(F1020&gt;G1020,"Win",IF(F1020&lt;G1020,"Loss","Draw"))</x:f>
        <x:v>Loss</x:v>
      </x:c>
      <x:c r="I1020" s="7" t="n">
        <x:f>IF(H1020="Win",1,0)</x:f>
        <x:v>0</x:v>
      </x:c>
      <x:c r="J1020" s="7" t="n">
        <x:f>F1020-G1020</x:f>
        <x:v>-5</x:v>
      </x:c>
      <x:c r="K1020" s="7" t="n">
        <x:f>F1020+G1020</x:f>
        <x:v>21</x:v>
      </x:c>
      <x:c r="L1020" s="7" t="n">
        <x:v>11</x:v>
      </x:c>
      <x:c r="M1020" s="7" t="n">
        <x:v>20</x:v>
      </x:c>
      <x:c r="N1020" s="7" t="n">
        <x:v>3</x:v>
      </x:c>
      <x:c r="O1020" s="9" t="n">
        <x:f>IF(M1020=0,"n.a.",L1020/M1020)</x:f>
        <x:v>0.55</x:v>
      </x:c>
      <x:c r="P1020" s="9" t="n">
        <x:f>IF(K1020=0,"n.a.",L1020/K1020)</x:f>
        <x:v>0.5238095238095238</x:v>
      </x:c>
      <x:c r="Q1020" s="9" t="n">
        <x:f>IF(K1020=0,"n.a.",M1020/K1020)</x:f>
        <x:v>0.9523809523809523</x:v>
      </x:c>
      <x:c r="R1020" s="9" t="n">
        <x:f>IF(K1020=0,"n.a.",N1020/K1020)</x:f>
        <x:v>0.14285714285714285</x:v>
      </x:c>
      <x:c r="S1020" s="7" t="n">
        <x:v>-70</x:v>
      </x:c>
      <x:c r="T1020" s="10" t="n">
        <x:v>0.26</x:v>
      </x:c>
      <x:c r="U1020" s="7" t="n">
        <x:v>156</x:v>
      </x:c>
      <x:c r="V1020" s="7" t="n">
        <x:v>174</x:v>
      </x:c>
    </x:row>
    <x:row r="1021" ht="16" customHeight="1">
      <x:c r="A1021" s="7" t="n">
        <x:v>1018</x:v>
      </x:c>
      <x:c r="B1021" s="8" t="n">
        <x:v>46227</x:v>
      </x:c>
      <x:c r="C1021" s="7" t="str">
        <x:v>Split</x:v>
      </x:c>
      <x:c r="D1021" s="7" t="str">
        <x:v>8th</x:v>
      </x:c>
      <x:c r="E1021" s="7" t="str">
        <x:v>Neon</x:v>
      </x:c>
      <x:c r="F1021" s="7" t="n">
        <x:v>8</x:v>
      </x:c>
      <x:c r="G1021" s="7" t="n">
        <x:v>13</x:v>
      </x:c>
      <x:c r="H1021" s="7" t="str">
        <x:f>IF(F1021&gt;G1021,"Win",IF(F1021&lt;G1021,"Loss","Draw"))</x:f>
        <x:v>Loss</x:v>
      </x:c>
      <x:c r="I1021" s="7" t="n">
        <x:f>IF(H1021="Win",1,0)</x:f>
        <x:v>0</x:v>
      </x:c>
      <x:c r="J1021" s="7" t="n">
        <x:f>F1021-G1021</x:f>
        <x:v>-5</x:v>
      </x:c>
      <x:c r="K1021" s="7" t="n">
        <x:f>F1021+G1021</x:f>
        <x:v>21</x:v>
      </x:c>
      <x:c r="L1021" s="7" t="n">
        <x:v>12</x:v>
      </x:c>
      <x:c r="M1021" s="7" t="n">
        <x:v>18</x:v>
      </x:c>
      <x:c r="N1021" s="7" t="n">
        <x:v>3</x:v>
      </x:c>
      <x:c r="O1021" s="9" t="n">
        <x:f>IF(M1021=0,"n.a.",L1021/M1021)</x:f>
        <x:v>0.6666666666666666</x:v>
      </x:c>
      <x:c r="P1021" s="9" t="n">
        <x:f>IF(K1021=0,"n.a.",L1021/K1021)</x:f>
        <x:v>0.5714285714285714</x:v>
      </x:c>
      <x:c r="Q1021" s="9" t="n">
        <x:f>IF(K1021=0,"n.a.",M1021/K1021)</x:f>
        <x:v>0.8571428571428571</x:v>
      </x:c>
      <x:c r="R1021" s="9" t="n">
        <x:f>IF(K1021=0,"n.a.",N1021/K1021)</x:f>
        <x:v>0.14285714285714285</x:v>
      </x:c>
      <x:c r="S1021" s="7" t="n">
        <x:v>-48</x:v>
      </x:c>
      <x:c r="T1021" s="10" t="n">
        <x:v>0.16</x:v>
      </x:c>
      <x:c r="U1021" s="7" t="n">
        <x:v>170</x:v>
      </x:c>
      <x:c r="V1021" s="7" t="n">
        <x:v>345</x:v>
      </x:c>
    </x:row>
    <x:row r="1022" ht="16" customHeight="1">
      <x:c r="A1022" s="7" t="n">
        <x:v>1019</x:v>
      </x:c>
      <x:c r="B1022" s="8" t="n">
        <x:v>46227</x:v>
      </x:c>
      <x:c r="C1022" s="7" t="str">
        <x:v>Breeze</x:v>
      </x:c>
      <x:c r="D1022" s="7" t="str">
        <x:v>2nd</x:v>
      </x:c>
      <x:c r="E1022" s="7" t="str">
        <x:v>Reyna</x:v>
      </x:c>
      <x:c r="F1022" s="7" t="n">
        <x:v>14</x:v>
      </x:c>
      <x:c r="G1022" s="7" t="n">
        <x:v>12</x:v>
      </x:c>
      <x:c r="H1022" s="7" t="str">
        <x:f>IF(F1022&gt;G1022,"Win",IF(F1022&lt;G1022,"Loss","Draw"))</x:f>
        <x:v>Win</x:v>
      </x:c>
      <x:c r="I1022" s="7" t="n">
        <x:f>IF(H1022="Win",1,0)</x:f>
        <x:v>1</x:v>
      </x:c>
      <x:c r="J1022" s="7" t="n">
        <x:f>F1022-G1022</x:f>
        <x:v>2</x:v>
      </x:c>
      <x:c r="K1022" s="7" t="n">
        <x:f>F1022+G1022</x:f>
        <x:v>26</x:v>
      </x:c>
      <x:c r="L1022" s="7" t="n">
        <x:v>24</x:v>
      </x:c>
      <x:c r="M1022" s="7" t="n">
        <x:v>16</x:v>
      </x:c>
      <x:c r="N1022" s="7" t="n">
        <x:v>6</x:v>
      </x:c>
      <x:c r="O1022" s="9" t="n">
        <x:f>IF(M1022=0,"n.a.",L1022/M1022)</x:f>
        <x:v>1.5</x:v>
      </x:c>
      <x:c r="P1022" s="9" t="n">
        <x:f>IF(K1022=0,"n.a.",L1022/K1022)</x:f>
        <x:v>0.9230769230769231</x:v>
      </x:c>
      <x:c r="Q1022" s="9" t="n">
        <x:f>IF(K1022=0,"n.a.",M1022/K1022)</x:f>
        <x:v>0.6153846153846154</x:v>
      </x:c>
      <x:c r="R1022" s="9" t="n">
        <x:f>IF(K1022=0,"n.a.",N1022/K1022)</x:f>
        <x:v>0.23076923076923078</x:v>
      </x:c>
      <x:c r="S1022" s="7" t="n">
        <x:v>48</x:v>
      </x:c>
      <x:c r="T1022" s="10" t="n">
        <x:v>0.26</x:v>
      </x:c>
      <x:c r="U1022" s="7" t="n">
        <x:v>263</x:v>
      </x:c>
      <x:c r="V1022" s="7" t="n">
        <x:v>823</x:v>
      </x:c>
    </x:row>
    <x:row r="1023" ht="16" customHeight="1">
      <x:c r="A1023" s="7" t="n">
        <x:v>1020</x:v>
      </x:c>
      <x:c r="B1023" s="8" t="n">
        <x:v>46227</x:v>
      </x:c>
      <x:c r="C1023" s="7" t="str">
        <x:v>Breeze</x:v>
      </x:c>
      <x:c r="D1023" s="7" t="str">
        <x:v>MVP</x:v>
      </x:c>
      <x:c r="E1023" s="7" t="str">
        <x:v>Neon</x:v>
      </x:c>
      <x:c r="F1023" s="7" t="n">
        <x:v>13</x:v>
      </x:c>
      <x:c r="G1023" s="7" t="n">
        <x:v>6</x:v>
      </x:c>
      <x:c r="H1023" s="7" t="str">
        <x:f>IF(F1023&gt;G1023,"Win",IF(F1023&lt;G1023,"Loss","Draw"))</x:f>
        <x:v>Win</x:v>
      </x:c>
      <x:c r="I1023" s="7" t="n">
        <x:f>IF(H1023="Win",1,0)</x:f>
        <x:v>1</x:v>
      </x:c>
      <x:c r="J1023" s="7" t="n">
        <x:f>F1023-G1023</x:f>
        <x:v>7</x:v>
      </x:c>
      <x:c r="K1023" s="7" t="n">
        <x:f>F1023+G1023</x:f>
        <x:v>19</x:v>
      </x:c>
      <x:c r="L1023" s="7" t="n">
        <x:v>20</x:v>
      </x:c>
      <x:c r="M1023" s="7" t="n">
        <x:v>12</x:v>
      </x:c>
      <x:c r="N1023" s="7" t="n">
        <x:v>3</x:v>
      </x:c>
      <x:c r="O1023" s="9" t="n">
        <x:f>IF(M1023=0,"n.a.",L1023/M1023)</x:f>
        <x:v>1.6666666666666667</x:v>
      </x:c>
      <x:c r="P1023" s="9" t="n">
        <x:f>IF(K1023=0,"n.a.",L1023/K1023)</x:f>
        <x:v>1.0526315789473684</x:v>
      </x:c>
      <x:c r="Q1023" s="9" t="n">
        <x:f>IF(K1023=0,"n.a.",M1023/K1023)</x:f>
        <x:v>0.631578947368421</x:v>
      </x:c>
      <x:c r="R1023" s="9" t="n">
        <x:f>IF(K1023=0,"n.a.",N1023/K1023)</x:f>
        <x:v>0.15789473684210525</x:v>
      </x:c>
      <x:c r="S1023" s="7" t="n">
        <x:v>16</x:v>
      </x:c>
      <x:c r="T1023" s="10" t="n">
        <x:v>0.25</x:v>
      </x:c>
      <x:c r="U1023" s="7" t="n">
        <x:v>290</x:v>
      </x:c>
      <x:c r="V1023" s="7" t="n">
        <x:v>763</x:v>
      </x:c>
    </x:row>
    <x:row r="1024" ht="16" customHeight="1">
      <x:c r="A1024" s="7" t="n">
        <x:v>1021</x:v>
      </x:c>
      <x:c r="B1024" s="8" t="n">
        <x:v>46229</x:v>
      </x:c>
      <x:c r="C1024" s="7" t="str">
        <x:v>Split</x:v>
      </x:c>
      <x:c r="D1024" s="7" t="str">
        <x:v>9th</x:v>
      </x:c>
      <x:c r="E1024" s="7" t="str">
        <x:v>Neon</x:v>
      </x:c>
      <x:c r="F1024" s="7" t="n">
        <x:v>3</x:v>
      </x:c>
      <x:c r="G1024" s="7" t="n">
        <x:v>13</x:v>
      </x:c>
      <x:c r="H1024" s="7" t="str">
        <x:f>IF(F1024&gt;G1024,"Win",IF(F1024&lt;G1024,"Loss","Draw"))</x:f>
        <x:v>Loss</x:v>
      </x:c>
      <x:c r="I1024" s="7" t="n">
        <x:f>IF(H1024="Win",1,0)</x:f>
        <x:v>0</x:v>
      </x:c>
      <x:c r="J1024" s="7" t="n">
        <x:f>F1024-G1024</x:f>
        <x:v>-10</x:v>
      </x:c>
      <x:c r="K1024" s="7" t="n">
        <x:f>F1024+G1024</x:f>
        <x:v>16</x:v>
      </x:c>
      <x:c r="L1024" s="7" t="n">
        <x:v>7</x:v>
      </x:c>
      <x:c r="M1024" s="7" t="n">
        <x:v>14</x:v>
      </x:c>
      <x:c r="N1024" s="7" t="n">
        <x:v>1</x:v>
      </x:c>
      <x:c r="O1024" s="9" t="n">
        <x:f>IF(M1024=0,"n.a.",L1024/M1024)</x:f>
        <x:v>0.5</x:v>
      </x:c>
      <x:c r="P1024" s="9" t="n">
        <x:f>IF(K1024=0,"n.a.",L1024/K1024)</x:f>
        <x:v>0.4375</x:v>
      </x:c>
      <x:c r="Q1024" s="9" t="n">
        <x:f>IF(K1024=0,"n.a.",M1024/K1024)</x:f>
        <x:v>0.875</x:v>
      </x:c>
      <x:c r="R1024" s="9" t="n">
        <x:f>IF(K1024=0,"n.a.",N1024/K1024)</x:f>
        <x:v>0.0625</x:v>
      </x:c>
      <x:c r="S1024" s="7" t="n">
        <x:v>-88</x:v>
      </x:c>
      <x:c r="T1024" s="10" t="n">
        <x:v>0.18</x:v>
      </x:c>
      <x:c r="U1024" s="7" t="n">
        <x:v>120</x:v>
      </x:c>
      <x:c r="V1024" s="7" t="n">
        <x:v>100</x:v>
      </x:c>
    </x:row>
    <x:row r="1025" ht="16" customHeight="1">
      <x:c r="A1025" s="7" t="n">
        <x:v>1022</x:v>
      </x:c>
      <x:c r="B1025" s="8" t="n">
        <x:v>46234</x:v>
      </x:c>
      <x:c r="C1025" s="7" t="str">
        <x:v>Breeze</x:v>
      </x:c>
      <x:c r="D1025" s="7" t="str">
        <x:v>9th</x:v>
      </x:c>
      <x:c r="E1025" s="7" t="str">
        <x:v>Neon</x:v>
      </x:c>
      <x:c r="F1025" s="7" t="n">
        <x:v>13</x:v>
      </x:c>
      <x:c r="G1025" s="7" t="n">
        <x:v>10</x:v>
      </x:c>
      <x:c r="H1025" s="7" t="str">
        <x:f>IF(F1025&gt;G1025,"Win",IF(F1025&lt;G1025,"Loss","Draw"))</x:f>
        <x:v>Win</x:v>
      </x:c>
      <x:c r="I1025" s="7" t="n">
        <x:f>IF(H1025="Win",1,0)</x:f>
        <x:v>1</x:v>
      </x:c>
      <x:c r="J1025" s="7" t="n">
        <x:f>F1025-G1025</x:f>
        <x:v>3</x:v>
      </x:c>
      <x:c r="K1025" s="7" t="n">
        <x:f>F1025+G1025</x:f>
        <x:v>23</x:v>
      </x:c>
      <x:c r="L1025" s="7" t="n">
        <x:v>12</x:v>
      </x:c>
      <x:c r="M1025" s="7" t="n">
        <x:v>20</x:v>
      </x:c>
      <x:c r="N1025" s="7" t="n">
        <x:v>2</x:v>
      </x:c>
      <x:c r="O1025" s="9" t="n">
        <x:f>IF(M1025=0,"n.a.",L1025/M1025)</x:f>
        <x:v>0.6</x:v>
      </x:c>
      <x:c r="P1025" s="9" t="n">
        <x:f>IF(K1025=0,"n.a.",L1025/K1025)</x:f>
        <x:v>0.5217391304347826</x:v>
      </x:c>
      <x:c r="Q1025" s="9" t="n">
        <x:f>IF(K1025=0,"n.a.",M1025/K1025)</x:f>
        <x:v>0.8695652173913043</x:v>
      </x:c>
      <x:c r="R1025" s="9" t="n">
        <x:f>IF(K1025=0,"n.a.",N1025/K1025)</x:f>
        <x:v>0.08695652173913043</x:v>
      </x:c>
      <x:c r="S1025" s="7" t="n">
        <x:v>-75</x:v>
      </x:c>
      <x:c r="T1025" s="10" t="n">
        <x:v>0.29</x:v>
      </x:c>
      <x:c r="U1025" s="7" t="n">
        <x:v>132</x:v>
      </x:c>
      <x:c r="V1025" s="7" t="n">
        <x:v>225</x:v>
      </x:c>
    </x:row>
    <x:row r="1026" ht="16" customHeight="1">
      <x:c r="A1026" s="7" t="n">
        <x:v>1023</x:v>
      </x:c>
      <x:c r="B1026" s="8" t="n">
        <x:v>46234</x:v>
      </x:c>
      <x:c r="C1026" s="7" t="str">
        <x:v>Ascent</x:v>
      </x:c>
      <x:c r="D1026" s="7" t="str">
        <x:v>6th</x:v>
      </x:c>
      <x:c r="E1026" s="7" t="str">
        <x:v>Neon</x:v>
      </x:c>
      <x:c r="F1026" s="7" t="n">
        <x:v>11</x:v>
      </x:c>
      <x:c r="G1026" s="7" t="n">
        <x:v>13</x:v>
      </x:c>
      <x:c r="H1026" s="7" t="str">
        <x:f>IF(F1026&gt;G1026,"Win",IF(F1026&lt;G1026,"Loss","Draw"))</x:f>
        <x:v>Loss</x:v>
      </x:c>
      <x:c r="I1026" s="7" t="n">
        <x:f>IF(H1026="Win",1,0)</x:f>
        <x:v>0</x:v>
      </x:c>
      <x:c r="J1026" s="7" t="n">
        <x:f>F1026-G1026</x:f>
        <x:v>-2</x:v>
      </x:c>
      <x:c r="K1026" s="7" t="n">
        <x:f>F1026+G1026</x:f>
        <x:v>24</x:v>
      </x:c>
      <x:c r="L1026" s="7" t="n">
        <x:v>20</x:v>
      </x:c>
      <x:c r="M1026" s="7" t="n">
        <x:v>20</x:v>
      </x:c>
      <x:c r="N1026" s="7" t="n">
        <x:v>4</x:v>
      </x:c>
      <x:c r="O1026" s="9" t="n">
        <x:f>IF(M1026=0,"n.a.",L1026/M1026)</x:f>
        <x:v>1</x:v>
      </x:c>
      <x:c r="P1026" s="9" t="n">
        <x:f>IF(K1026=0,"n.a.",L1026/K1026)</x:f>
        <x:v>0.8333333333333334</x:v>
      </x:c>
      <x:c r="Q1026" s="9" t="n">
        <x:f>IF(K1026=0,"n.a.",M1026/K1026)</x:f>
        <x:v>0.8333333333333334</x:v>
      </x:c>
      <x:c r="R1026" s="9" t="n">
        <x:f>IF(K1026=0,"n.a.",N1026/K1026)</x:f>
        <x:v>0.16666666666666666</x:v>
      </x:c>
      <x:c r="S1026" s="7" t="n">
        <x:v>-11</x:v>
      </x:c>
      <x:c r="T1026" s="10" t="n">
        <x:v>0.19</x:v>
      </x:c>
      <x:c r="U1026" s="7" t="n">
        <x:v>234</x:v>
      </x:c>
      <x:c r="V1026" s="7" t="n">
        <x:v>483</x:v>
      </x:c>
    </x:row>
    <x:row r="1027" ht="16" customHeight="1">
      <x:c r="A1027" s="7" t="n">
        <x:v>1024</x:v>
      </x:c>
      <x:c r="B1027" s="8" t="n">
        <x:v>46234</x:v>
      </x:c>
      <x:c r="C1027" s="7" t="str">
        <x:v>Summit</x:v>
      </x:c>
      <x:c r="D1027" s="7" t="str">
        <x:v>4th</x:v>
      </x:c>
      <x:c r="E1027" s="7" t="str">
        <x:v>Neon</x:v>
      </x:c>
      <x:c r="F1027" s="7" t="n">
        <x:v>13</x:v>
      </x:c>
      <x:c r="G1027" s="7" t="n">
        <x:v>8</x:v>
      </x:c>
      <x:c r="H1027" s="7" t="str">
        <x:f>IF(F1027&gt;G1027,"Win",IF(F1027&lt;G1027,"Loss","Draw"))</x:f>
        <x:v>Win</x:v>
      </x:c>
      <x:c r="I1027" s="7" t="n">
        <x:f>IF(H1027="Win",1,0)</x:f>
        <x:v>1</x:v>
      </x:c>
      <x:c r="J1027" s="7" t="n">
        <x:f>F1027-G1027</x:f>
        <x:v>5</x:v>
      </x:c>
      <x:c r="K1027" s="7" t="n">
        <x:f>F1027+G1027</x:f>
        <x:v>21</x:v>
      </x:c>
      <x:c r="L1027" s="7" t="n">
        <x:v>17</x:v>
      </x:c>
      <x:c r="M1027" s="7" t="n">
        <x:v>18</x:v>
      </x:c>
      <x:c r="N1027" s="7" t="n">
        <x:v>8</x:v>
      </x:c>
      <x:c r="O1027" s="9" t="n">
        <x:f>IF(M1027=0,"n.a.",L1027/M1027)</x:f>
        <x:v>0.9444444444444444</x:v>
      </x:c>
      <x:c r="P1027" s="9" t="n">
        <x:f>IF(K1027=0,"n.a.",L1027/K1027)</x:f>
        <x:v>0.8095238095238095</x:v>
      </x:c>
      <x:c r="Q1027" s="9" t="n">
        <x:f>IF(K1027=0,"n.a.",M1027/K1027)</x:f>
        <x:v>0.8571428571428571</x:v>
      </x:c>
      <x:c r="R1027" s="9" t="n">
        <x:f>IF(K1027=0,"n.a.",N1027/K1027)</x:f>
        <x:v>0.38095238095238093</x:v>
      </x:c>
      <x:c r="S1027" s="7" t="n">
        <x:v>12</x:v>
      </x:c>
      <x:c r="T1027" s="10" t="n">
        <x:v>0.26</x:v>
      </x:c>
      <x:c r="U1027" s="7" t="n">
        <x:v>244</x:v>
      </x:c>
      <x:c r="V1027" s="7" t="n">
        <x:v>636</x:v>
      </x:c>
    </x:row>
    <x:row r="1028" ht="16" customHeight="1">
      <x:c r="A1028" s="7" t="n">
        <x:v>1025</x:v>
      </x:c>
      <x:c r="B1028" s="8" t="n">
        <x:v>46235</x:v>
      </x:c>
      <x:c r="C1028" s="7" t="str">
        <x:v>Lotus</x:v>
      </x:c>
      <x:c r="D1028" s="7" t="str">
        <x:v>10th</x:v>
      </x:c>
      <x:c r="E1028" s="7" t="str">
        <x:v>Neon</x:v>
      </x:c>
      <x:c r="F1028" s="7" t="n">
        <x:v>4</x:v>
      </x:c>
      <x:c r="G1028" s="7" t="n">
        <x:v>13</x:v>
      </x:c>
      <x:c r="H1028" s="7" t="str">
        <x:f>IF(F1028&gt;G1028,"Win",IF(F1028&lt;G1028,"Loss","Draw"))</x:f>
        <x:v>Loss</x:v>
      </x:c>
      <x:c r="I1028" s="7" t="n">
        <x:f>IF(H1028="Win",1,0)</x:f>
        <x:v>0</x:v>
      </x:c>
      <x:c r="J1028" s="7" t="n">
        <x:f>F1028-G1028</x:f>
        <x:v>-9</x:v>
      </x:c>
      <x:c r="K1028" s="7" t="n">
        <x:f>F1028+G1028</x:f>
        <x:v>17</x:v>
      </x:c>
      <x:c r="L1028" s="7" t="n">
        <x:v>0</x:v>
      </x:c>
      <x:c r="M1028" s="7" t="n">
        <x:v>1</x:v>
      </x:c>
      <x:c r="N1028" s="7" t="n">
        <x:v>0</x:v>
      </x:c>
      <x:c r="O1028" s="9" t="n">
        <x:f>IF(M1028=0,"n.a.",L1028/M1028)</x:f>
        <x:v>0</x:v>
      </x:c>
      <x:c r="P1028" s="9" t="n">
        <x:f>IF(K1028=0,"n.a.",L1028/K1028)</x:f>
        <x:v>0</x:v>
      </x:c>
      <x:c r="Q1028" s="9" t="n">
        <x:f>IF(K1028=0,"n.a.",M1028/K1028)</x:f>
        <x:v>0.058823529411764705</x:v>
      </x:c>
      <x:c r="R1028" s="9" t="n">
        <x:f>IF(K1028=0,"n.a.",N1028/K1028)</x:f>
        <x:v>0</x:v>
      </x:c>
      <x:c r="S1028" s="7" t="n">
        <x:v>-9</x:v>
      </x:c>
      <x:c r="T1028" s="10" t="n">
        <x:v>0</x:v>
      </x:c>
      <x:c r="U1028" s="7" t="n">
        <x:v>0</x:v>
      </x:c>
      <x:c r="V1028" s="7" t="n">
        <x:v>140</x:v>
      </x:c>
    </x:row>
    <x:row r="1029" ht="16" customHeight="1">
      <x:c r="A1029" s="7" t="n">
        <x:v>1026</x:v>
      </x:c>
      <x:c r="B1029" s="8" t="n">
        <x:v>46237</x:v>
      </x:c>
      <x:c r="C1029" s="7" t="str">
        <x:v>Split</x:v>
      </x:c>
      <x:c r="D1029" s="7" t="str">
        <x:v>10th</x:v>
      </x:c>
      <x:c r="E1029" s="7" t="str">
        <x:v>Neon</x:v>
      </x:c>
      <x:c r="F1029" s="7" t="n">
        <x:v>7</x:v>
      </x:c>
      <x:c r="G1029" s="7" t="n">
        <x:v>13</x:v>
      </x:c>
      <x:c r="H1029" s="7" t="str">
        <x:f>IF(F1029&gt;G1029,"Win",IF(F1029&lt;G1029,"Loss","Draw"))</x:f>
        <x:v>Loss</x:v>
      </x:c>
      <x:c r="I1029" s="7" t="n">
        <x:f>IF(H1029="Win",1,0)</x:f>
        <x:v>0</x:v>
      </x:c>
      <x:c r="J1029" s="7" t="n">
        <x:f>F1029-G1029</x:f>
        <x:v>-6</x:v>
      </x:c>
      <x:c r="K1029" s="7" t="n">
        <x:f>F1029+G1029</x:f>
        <x:v>20</x:v>
      </x:c>
      <x:c r="L1029" s="7" t="n">
        <x:v>7</x:v>
      </x:c>
      <x:c r="M1029" s="7" t="n">
        <x:v>20</x:v>
      </x:c>
      <x:c r="N1029" s="7" t="n">
        <x:v>4</x:v>
      </x:c>
      <x:c r="O1029" s="9" t="n">
        <x:f>IF(M1029=0,"n.a.",L1029/M1029)</x:f>
        <x:v>0.35</x:v>
      </x:c>
      <x:c r="P1029" s="9" t="n">
        <x:f>IF(K1029=0,"n.a.",L1029/K1029)</x:f>
        <x:v>0.35</x:v>
      </x:c>
      <x:c r="Q1029" s="9" t="n">
        <x:f>IF(K1029=0,"n.a.",M1029/K1029)</x:f>
        <x:v>1</x:v>
      </x:c>
      <x:c r="R1029" s="9" t="n">
        <x:f>IF(K1029=0,"n.a.",N1029/K1029)</x:f>
        <x:v>0.2</x:v>
      </x:c>
      <x:c r="S1029" s="7" t="n">
        <x:v>-110</x:v>
      </x:c>
      <x:c r="T1029" s="10" t="n">
        <x:v>0.16</x:v>
      </x:c>
      <x:c r="U1029" s="7" t="n">
        <x:v>108</x:v>
      </x:c>
      <x:c r="V1029" s="7" t="n">
        <x:v>100</x:v>
      </x:c>
    </x:row>
    <x:row r="1030" ht="16" customHeight="1">
      <x:c r="A1030" s="7" t="n">
        <x:v>1027</x:v>
      </x:c>
      <x:c r="B1030" s="8" t="n">
        <x:v>46237</x:v>
      </x:c>
      <x:c r="C1030" s="7" t="str">
        <x:v>Haven</x:v>
      </x:c>
      <x:c r="D1030" s="7" t="str">
        <x:v>MVP</x:v>
      </x:c>
      <x:c r="E1030" s="7" t="str">
        <x:v>Neon</x:v>
      </x:c>
      <x:c r="F1030" s="7" t="n">
        <x:v>13</x:v>
      </x:c>
      <x:c r="G1030" s="7" t="n">
        <x:v>2</x:v>
      </x:c>
      <x:c r="H1030" s="7" t="str">
        <x:f>IF(F1030&gt;G1030,"Win",IF(F1030&lt;G1030,"Loss","Draw"))</x:f>
        <x:v>Win</x:v>
      </x:c>
      <x:c r="I1030" s="7" t="n">
        <x:f>IF(H1030="Win",1,0)</x:f>
        <x:v>1</x:v>
      </x:c>
      <x:c r="J1030" s="7" t="n">
        <x:f>F1030-G1030</x:f>
        <x:v>11</x:v>
      </x:c>
      <x:c r="K1030" s="7" t="n">
        <x:f>F1030+G1030</x:f>
        <x:v>15</x:v>
      </x:c>
      <x:c r="L1030" s="7" t="n">
        <x:v>21</x:v>
      </x:c>
      <x:c r="M1030" s="7" t="n">
        <x:v>10</x:v>
      </x:c>
      <x:c r="N1030" s="7" t="n">
        <x:v>8</x:v>
      </x:c>
      <x:c r="O1030" s="9" t="n">
        <x:f>IF(M1030=0,"n.a.",L1030/M1030)</x:f>
        <x:v>2.1</x:v>
      </x:c>
      <x:c r="P1030" s="9" t="n">
        <x:f>IF(K1030=0,"n.a.",L1030/K1030)</x:f>
        <x:v>1.4</x:v>
      </x:c>
      <x:c r="Q1030" s="9" t="n">
        <x:f>IF(K1030=0,"n.a.",M1030/K1030)</x:f>
        <x:v>0.6666666666666666</x:v>
      </x:c>
      <x:c r="R1030" s="9" t="n">
        <x:f>IF(K1030=0,"n.a.",N1030/K1030)</x:f>
        <x:v>0.5333333333333333</x:v>
      </x:c>
      <x:c r="S1030" s="7" t="n">
        <x:v>113</x:v>
      </x:c>
      <x:c r="T1030" s="10" t="n">
        <x:v>0.27</x:v>
      </x:c>
      <x:c r="U1030" s="7" t="n">
        <x:v>408</x:v>
      </x:c>
      <x:c r="V1030" s="7" t="n">
        <x:v>1000</x:v>
      </x:c>
    </x:row>
    <x:row r="1031" ht="16" customHeight="1">
      <x:c r="A1031" s="7" t="n">
        <x:v>1028</x:v>
      </x:c>
      <x:c r="B1031" s="8" t="n">
        <x:v>46237</x:v>
      </x:c>
      <x:c r="C1031" s="7" t="str">
        <x:v>Breeze</x:v>
      </x:c>
      <x:c r="D1031" s="7" t="str">
        <x:v>2nd</x:v>
      </x:c>
      <x:c r="E1031" s="7" t="str">
        <x:v>Jett</x:v>
      </x:c>
      <x:c r="F1031" s="7" t="n">
        <x:v>10</x:v>
      </x:c>
      <x:c r="G1031" s="7" t="n">
        <x:v>13</x:v>
      </x:c>
      <x:c r="H1031" s="7" t="str">
        <x:f>IF(F1031&gt;G1031,"Win",IF(F1031&lt;G1031,"Loss","Draw"))</x:f>
        <x:v>Loss</x:v>
      </x:c>
      <x:c r="I1031" s="7" t="n">
        <x:f>IF(H1031="Win",1,0)</x:f>
        <x:v>0</x:v>
      </x:c>
      <x:c r="J1031" s="7" t="n">
        <x:f>F1031-G1031</x:f>
        <x:v>-3</x:v>
      </x:c>
      <x:c r="K1031" s="7" t="n">
        <x:f>F1031+G1031</x:f>
        <x:v>23</x:v>
      </x:c>
      <x:c r="L1031" s="7" t="n">
        <x:v>21</x:v>
      </x:c>
      <x:c r="M1031" s="7" t="n">
        <x:v>18</x:v>
      </x:c>
      <x:c r="N1031" s="7" t="n">
        <x:v>3</x:v>
      </x:c>
      <x:c r="O1031" s="9" t="n">
        <x:f>IF(M1031=0,"n.a.",L1031/M1031)</x:f>
        <x:v>1.1666666666666667</x:v>
      </x:c>
      <x:c r="P1031" s="9" t="n">
        <x:f>IF(K1031=0,"n.a.",L1031/K1031)</x:f>
        <x:v>0.9130434782608695</x:v>
      </x:c>
      <x:c r="Q1031" s="9" t="n">
        <x:f>IF(K1031=0,"n.a.",M1031/K1031)</x:f>
        <x:v>0.782608695652174</x:v>
      </x:c>
      <x:c r="R1031" s="9" t="n">
        <x:f>IF(K1031=0,"n.a.",N1031/K1031)</x:f>
        <x:v>0.13043478260869565</x:v>
      </x:c>
      <x:c r="S1031" s="7" t="n">
        <x:v>32</x:v>
      </x:c>
      <x:c r="T1031" s="10" t="n">
        <x:v>0.51</x:v>
      </x:c>
      <x:c r="U1031" s="7" t="n">
        <x:v>271</x:v>
      </x:c>
      <x:c r="V1031" s="7" t="n">
        <x:v>618</x:v>
      </x:c>
    </x:row>
    <x:row r="1032" ht="16" customHeight="1">
      <x:c r="A1032" s="7" t="n">
        <x:v>1029</x:v>
      </x:c>
      <x:c r="B1032" s="8" t="n">
        <x:v>46238</x:v>
      </x:c>
      <x:c r="C1032" s="7" t="str">
        <x:v>Breeze</x:v>
      </x:c>
      <x:c r="D1032" s="7" t="str">
        <x:v>10th</x:v>
      </x:c>
      <x:c r="E1032" s="7" t="str">
        <x:v>Neon</x:v>
      </x:c>
      <x:c r="F1032" s="7" t="n">
        <x:v>10</x:v>
      </x:c>
      <x:c r="G1032" s="7" t="n">
        <x:v>13</x:v>
      </x:c>
      <x:c r="H1032" s="7" t="str">
        <x:f>IF(F1032&gt;G1032,"Win",IF(F1032&lt;G1032,"Loss","Draw"))</x:f>
        <x:v>Loss</x:v>
      </x:c>
      <x:c r="I1032" s="7" t="n">
        <x:f>IF(H1032="Win",1,0)</x:f>
        <x:v>0</x:v>
      </x:c>
      <x:c r="J1032" s="7" t="n">
        <x:f>F1032-G1032</x:f>
        <x:v>-3</x:v>
      </x:c>
      <x:c r="K1032" s="7" t="n">
        <x:f>F1032+G1032</x:f>
        <x:v>23</x:v>
      </x:c>
      <x:c r="L1032" s="7" t="n">
        <x:v>7</x:v>
      </x:c>
      <x:c r="M1032" s="7" t="n">
        <x:v>18</x:v>
      </x:c>
      <x:c r="N1032" s="7" t="n">
        <x:v>3</x:v>
      </x:c>
      <x:c r="O1032" s="9" t="n">
        <x:f>IF(M1032=0,"n.a.",L1032/M1032)</x:f>
        <x:v>0.3888888888888889</x:v>
      </x:c>
      <x:c r="P1032" s="9" t="n">
        <x:f>IF(K1032=0,"n.a.",L1032/K1032)</x:f>
        <x:v>0.30434782608695654</x:v>
      </x:c>
      <x:c r="Q1032" s="9" t="n">
        <x:f>IF(K1032=0,"n.a.",M1032/K1032)</x:f>
        <x:v>0.782608695652174</x:v>
      </x:c>
      <x:c r="R1032" s="9" t="n">
        <x:f>IF(K1032=0,"n.a.",N1032/K1032)</x:f>
        <x:v>0.13043478260869565</x:v>
      </x:c>
      <x:c r="S1032" s="7" t="n">
        <x:v>-71</x:v>
      </x:c>
      <x:c r="T1032" s="10" t="n">
        <x:v>0.19</x:v>
      </x:c>
      <x:c r="U1032" s="7" t="n">
        <x:v>90</x:v>
      </x:c>
      <x:c r="V1032" s="7" t="n">
        <x:v>128</x:v>
      </x:c>
    </x:row>
    <x:row r="1033" ht="16" customHeight="1">
      <x:c r="A1033" s="7" t="n">
        <x:v>1030</x:v>
      </x:c>
      <x:c r="B1033" s="8" t="n">
        <x:v>46238</x:v>
      </x:c>
      <x:c r="C1033" s="7" t="str">
        <x:v>Summit</x:v>
      </x:c>
      <x:c r="D1033" s="7" t="str">
        <x:v>6th</x:v>
      </x:c>
      <x:c r="E1033" s="7" t="str">
        <x:v>Astra</x:v>
      </x:c>
      <x:c r="F1033" s="7" t="n">
        <x:v>13</x:v>
      </x:c>
      <x:c r="G1033" s="7" t="n">
        <x:v>8</x:v>
      </x:c>
      <x:c r="H1033" s="7" t="str">
        <x:f>IF(F1033&gt;G1033,"Win",IF(F1033&lt;G1033,"Loss","Draw"))</x:f>
        <x:v>Win</x:v>
      </x:c>
      <x:c r="I1033" s="7" t="n">
        <x:f>IF(H1033="Win",1,0)</x:f>
        <x:v>1</x:v>
      </x:c>
      <x:c r="J1033" s="7" t="n">
        <x:f>F1033-G1033</x:f>
        <x:v>5</x:v>
      </x:c>
      <x:c r="K1033" s="7" t="n">
        <x:f>F1033+G1033</x:f>
        <x:v>21</x:v>
      </x:c>
      <x:c r="L1033" s="7" t="n">
        <x:v>14</x:v>
      </x:c>
      <x:c r="M1033" s="7" t="n">
        <x:v>13</x:v>
      </x:c>
      <x:c r="N1033" s="7" t="n">
        <x:v>11</x:v>
      </x:c>
      <x:c r="O1033" s="9" t="n">
        <x:f>IF(M1033=0,"n.a.",L1033/M1033)</x:f>
        <x:v>1.0769230769230769</x:v>
      </x:c>
      <x:c r="P1033" s="9" t="n">
        <x:f>IF(K1033=0,"n.a.",L1033/K1033)</x:f>
        <x:v>0.6666666666666666</x:v>
      </x:c>
      <x:c r="Q1033" s="9" t="n">
        <x:f>IF(K1033=0,"n.a.",M1033/K1033)</x:f>
        <x:v>0.6190476190476191</x:v>
      </x:c>
      <x:c r="R1033" s="9" t="n">
        <x:f>IF(K1033=0,"n.a.",N1033/K1033)</x:f>
        <x:v>0.5238095238095238</x:v>
      </x:c>
      <x:c r="S1033" s="7" t="n">
        <x:v>14</x:v>
      </x:c>
      <x:c r="T1033" s="10" t="n">
        <x:v>0.28</x:v>
      </x:c>
      <x:c r="U1033" s="7" t="n">
        <x:v>211</x:v>
      </x:c>
      <x:c r="V1033" s="7" t="n">
        <x:v>632</x:v>
      </x:c>
    </x:row>
    <x:row r="1034" ht="16" customHeight="1">
      <x:c r="A1034" s="7" t="n">
        <x:v>1031</x:v>
      </x:c>
      <x:c r="B1034" s="8" t="n">
        <x:v>46240</x:v>
      </x:c>
      <x:c r="C1034" s="7" t="str">
        <x:v>Lotus</x:v>
      </x:c>
      <x:c r="D1034" s="7" t="str">
        <x:v>9th</x:v>
      </x:c>
      <x:c r="E1034" s="7" t="str">
        <x:v>Chamber</x:v>
      </x:c>
      <x:c r="F1034" s="7" t="n">
        <x:v>0</x:v>
      </x:c>
      <x:c r="G1034" s="7" t="n">
        <x:v>13</x:v>
      </x:c>
      <x:c r="H1034" s="7" t="str">
        <x:f>IF(F1034&gt;G1034,"Win",IF(F1034&lt;G1034,"Loss","Draw"))</x:f>
        <x:v>Loss</x:v>
      </x:c>
      <x:c r="I1034" s="7" t="n">
        <x:f>IF(H1034="Win",1,0)</x:f>
        <x:v>0</x:v>
      </x:c>
      <x:c r="J1034" s="7" t="n">
        <x:f>F1034-G1034</x:f>
        <x:v>-13</x:v>
      </x:c>
      <x:c r="K1034" s="7" t="n">
        <x:f>F1034+G1034</x:f>
        <x:v>13</x:v>
      </x:c>
      <x:c r="L1034" s="7" t="n">
        <x:v>6</x:v>
      </x:c>
      <x:c r="M1034" s="7" t="n">
        <x:v>12</x:v>
      </x:c>
      <x:c r="N1034" s="7" t="n">
        <x:v>1</x:v>
      </x:c>
      <x:c r="O1034" s="9" t="n">
        <x:f>IF(M1034=0,"n.a.",L1034/M1034)</x:f>
        <x:v>0.5</x:v>
      </x:c>
      <x:c r="P1034" s="9" t="n">
        <x:f>IF(K1034=0,"n.a.",L1034/K1034)</x:f>
        <x:v>0.46153846153846156</x:v>
      </x:c>
      <x:c r="Q1034" s="9" t="n">
        <x:f>IF(K1034=0,"n.a.",M1034/K1034)</x:f>
        <x:v>0.9230769230769231</x:v>
      </x:c>
      <x:c r="R1034" s="9" t="n">
        <x:f>IF(K1034=0,"n.a.",N1034/K1034)</x:f>
        <x:v>0.07692307692307693</x:v>
      </x:c>
      <x:c r="S1034" s="7" t="n">
        <x:v>-72</x:v>
      </x:c>
      <x:c r="T1034" s="10" t="n">
        <x:v>0.33</x:v>
      </x:c>
      <x:c r="U1034" s="7" t="n">
        <x:v>130</x:v>
      </x:c>
      <x:c r="V1034" s="7" t="n">
        <x:v>100</x:v>
      </x:c>
    </x:row>
    <x:row r="1035" ht="16" customHeight="1">
      <x:c r="A1035" s="7" t="n">
        <x:v>1032</x:v>
      </x:c>
      <x:c r="B1035" s="8" t="n">
        <x:v>46240</x:v>
      </x:c>
      <x:c r="C1035" s="7" t="str">
        <x:v>Summit</x:v>
      </x:c>
      <x:c r="D1035" s="7" t="str">
        <x:v>4th</x:v>
      </x:c>
      <x:c r="E1035" s="7" t="str">
        <x:v>Chamber</x:v>
      </x:c>
      <x:c r="F1035" s="7" t="n">
        <x:v>13</x:v>
      </x:c>
      <x:c r="G1035" s="7" t="n">
        <x:v>6</x:v>
      </x:c>
      <x:c r="H1035" s="7" t="str">
        <x:f>IF(F1035&gt;G1035,"Win",IF(F1035&lt;G1035,"Loss","Draw"))</x:f>
        <x:v>Win</x:v>
      </x:c>
      <x:c r="I1035" s="7" t="n">
        <x:f>IF(H1035="Win",1,0)</x:f>
        <x:v>1</x:v>
      </x:c>
      <x:c r="J1035" s="7" t="n">
        <x:f>F1035-G1035</x:f>
        <x:v>7</x:v>
      </x:c>
      <x:c r="K1035" s="7" t="n">
        <x:f>F1035+G1035</x:f>
        <x:v>19</x:v>
      </x:c>
      <x:c r="L1035" s="7" t="n">
        <x:v>15</x:v>
      </x:c>
      <x:c r="M1035" s="7" t="n">
        <x:v>15</x:v>
      </x:c>
      <x:c r="N1035" s="7" t="n">
        <x:v>2</x:v>
      </x:c>
      <x:c r="O1035" s="9" t="n">
        <x:f>IF(M1035=0,"n.a.",L1035/M1035)</x:f>
        <x:v>1</x:v>
      </x:c>
      <x:c r="P1035" s="9" t="n">
        <x:f>IF(K1035=0,"n.a.",L1035/K1035)</x:f>
        <x:v>0.7894736842105263</x:v>
      </x:c>
      <x:c r="Q1035" s="9" t="n">
        <x:f>IF(K1035=0,"n.a.",M1035/K1035)</x:f>
        <x:v>0.7894736842105263</x:v>
      </x:c>
      <x:c r="R1035" s="9" t="n">
        <x:f>IF(K1035=0,"n.a.",N1035/K1035)</x:f>
        <x:v>0.10526315789473684</x:v>
      </x:c>
      <x:c r="S1035" s="7" t="n">
        <x:v>-8</x:v>
      </x:c>
      <x:c r="T1035" s="10" t="n">
        <x:v>0.4</x:v>
      </x:c>
      <x:c r="U1035" s="7" t="n">
        <x:v>241</x:v>
      </x:c>
      <x:c r="V1035" s="7" t="n">
        <x:v>666</x:v>
      </x:c>
    </x:row>
    <x:row r="1036" ht="16" customHeight="1">
      <x:c r="A1036" s="7" t="n">
        <x:v>1033</x:v>
      </x:c>
      <x:c r="B1036" s="8" t="n">
        <x:v>46240</x:v>
      </x:c>
      <x:c r="C1036" s="7" t="str">
        <x:v>Sunset</x:v>
      </x:c>
      <x:c r="D1036" s="7" t="str">
        <x:v>MVP</x:v>
      </x:c>
      <x:c r="E1036" s="7" t="str">
        <x:v>Chamber</x:v>
      </x:c>
      <x:c r="F1036" s="7" t="n">
        <x:v>13</x:v>
      </x:c>
      <x:c r="G1036" s="7" t="n">
        <x:v>7</x:v>
      </x:c>
      <x:c r="H1036" s="7" t="str">
        <x:f>IF(F1036&gt;G1036,"Win",IF(F1036&lt;G1036,"Loss","Draw"))</x:f>
        <x:v>Win</x:v>
      </x:c>
      <x:c r="I1036" s="7" t="n">
        <x:f>IF(H1036="Win",1,0)</x:f>
        <x:v>1</x:v>
      </x:c>
      <x:c r="J1036" s="7" t="n">
        <x:f>F1036-G1036</x:f>
        <x:v>6</x:v>
      </x:c>
      <x:c r="K1036" s="7" t="n">
        <x:f>F1036+G1036</x:f>
        <x:v>20</x:v>
      </x:c>
      <x:c r="L1036" s="7" t="n">
        <x:v>20</x:v>
      </x:c>
      <x:c r="M1036" s="7" t="n">
        <x:v>13</x:v>
      </x:c>
      <x:c r="N1036" s="7" t="n">
        <x:v>2</x:v>
      </x:c>
      <x:c r="O1036" s="9" t="n">
        <x:f>IF(M1036=0,"n.a.",L1036/M1036)</x:f>
        <x:v>1.5384615384615385</x:v>
      </x:c>
      <x:c r="P1036" s="9" t="n">
        <x:f>IF(K1036=0,"n.a.",L1036/K1036)</x:f>
        <x:v>1</x:v>
      </x:c>
      <x:c r="Q1036" s="9" t="n">
        <x:f>IF(K1036=0,"n.a.",M1036/K1036)</x:f>
        <x:v>0.65</x:v>
      </x:c>
      <x:c r="R1036" s="9" t="n">
        <x:f>IF(K1036=0,"n.a.",N1036/K1036)</x:f>
        <x:v>0.1</x:v>
      </x:c>
      <x:c r="S1036" s="7" t="n">
        <x:v>62</x:v>
      </x:c>
      <x:c r="T1036" s="10" t="n">
        <x:v>0.33</x:v>
      </x:c>
      <x:c r="U1036" s="7" t="n">
        <x:v>286</x:v>
      </x:c>
      <x:c r="V1036" s="7" t="n">
        <x:v>709</x:v>
      </x:c>
    </x:row>
    <x:row r="1037" ht="16" customHeight="1">
      <x:c r="A1037" s="7" t="n">
        <x:v>1034</x:v>
      </x:c>
      <x:c r="B1037" s="8" t="n">
        <x:v>46240</x:v>
      </x:c>
      <x:c r="C1037" s="7" t="str">
        <x:v>Summit</x:v>
      </x:c>
      <x:c r="D1037" s="7" t="str">
        <x:v>6th</x:v>
      </x:c>
      <x:c r="E1037" s="7" t="str">
        <x:v>Chamber</x:v>
      </x:c>
      <x:c r="F1037" s="7" t="n">
        <x:v>15</x:v>
      </x:c>
      <x:c r="G1037" s="7" t="n">
        <x:v>13</x:v>
      </x:c>
      <x:c r="H1037" s="7" t="str">
        <x:f>IF(F1037&gt;G1037,"Win",IF(F1037&lt;G1037,"Loss","Draw"))</x:f>
        <x:v>Win</x:v>
      </x:c>
      <x:c r="I1037" s="7" t="n">
        <x:f>IF(H1037="Win",1,0)</x:f>
        <x:v>1</x:v>
      </x:c>
      <x:c r="J1037" s="7" t="n">
        <x:f>F1037-G1037</x:f>
        <x:v>2</x:v>
      </x:c>
      <x:c r="K1037" s="7" t="n">
        <x:f>F1037+G1037</x:f>
        <x:v>28</x:v>
      </x:c>
      <x:c r="L1037" s="7" t="n">
        <x:v>21</x:v>
      </x:c>
      <x:c r="M1037" s="7" t="n">
        <x:v>19</x:v>
      </x:c>
      <x:c r="N1037" s="7" t="n">
        <x:v>2</x:v>
      </x:c>
      <x:c r="O1037" s="9" t="n">
        <x:f>IF(M1037=0,"n.a.",L1037/M1037)</x:f>
        <x:v>1.105263157894737</x:v>
      </x:c>
      <x:c r="P1037" s="9" t="n">
        <x:f>IF(K1037=0,"n.a.",L1037/K1037)</x:f>
        <x:v>0.75</x:v>
      </x:c>
      <x:c r="Q1037" s="9" t="n">
        <x:f>IF(K1037=0,"n.a.",M1037/K1037)</x:f>
        <x:v>0.6785714285714286</x:v>
      </x:c>
      <x:c r="R1037" s="9" t="n">
        <x:f>IF(K1037=0,"n.a.",N1037/K1037)</x:f>
        <x:v>0.07142857142857142</x:v>
      </x:c>
      <x:c r="S1037" s="7" t="n">
        <x:v>-8</x:v>
      </x:c>
      <x:c r="T1037" s="10" t="n">
        <x:v>0.49</x:v>
      </x:c>
      <x:c r="U1037" s="7" t="n">
        <x:v>197</x:v>
      </x:c>
      <x:c r="V1037" s="7" t="n">
        <x:v>427</x:v>
      </x:c>
    </x:row>
    <x:row r="1038" ht="16" customHeight="1">
      <x:c r="A1038" s="7" t="n">
        <x:v>1035</x:v>
      </x:c>
      <x:c r="B1038" s="8" t="n">
        <x:v>46240</x:v>
      </x:c>
      <x:c r="C1038" s="7" t="str">
        <x:v>Split</x:v>
      </x:c>
      <x:c r="D1038" s="7" t="str">
        <x:v>MVP</x:v>
      </x:c>
      <x:c r="E1038" s="7" t="str">
        <x:v>Neon</x:v>
      </x:c>
      <x:c r="F1038" s="7" t="n">
        <x:v>13</x:v>
      </x:c>
      <x:c r="G1038" s="7" t="n">
        <x:v>15</x:v>
      </x:c>
      <x:c r="H1038" s="7" t="str">
        <x:f>IF(F1038&gt;G1038,"Win",IF(F1038&lt;G1038,"Loss","Draw"))</x:f>
        <x:v>Loss</x:v>
      </x:c>
      <x:c r="I1038" s="7" t="n">
        <x:f>IF(H1038="Win",1,0)</x:f>
        <x:v>0</x:v>
      </x:c>
      <x:c r="J1038" s="7" t="n">
        <x:f>F1038-G1038</x:f>
        <x:v>-2</x:v>
      </x:c>
      <x:c r="K1038" s="7" t="n">
        <x:f>F1038+G1038</x:f>
        <x:v>28</x:v>
      </x:c>
      <x:c r="L1038" s="7" t="n">
        <x:v>28</x:v>
      </x:c>
      <x:c r="M1038" s="7" t="n">
        <x:v>24</x:v>
      </x:c>
      <x:c r="N1038" s="7" t="n">
        <x:v>7</x:v>
      </x:c>
      <x:c r="O1038" s="9" t="n">
        <x:f>IF(M1038=0,"n.a.",L1038/M1038)</x:f>
        <x:v>1.1666666666666667</x:v>
      </x:c>
      <x:c r="P1038" s="9" t="n">
        <x:f>IF(K1038=0,"n.a.",L1038/K1038)</x:f>
        <x:v>1</x:v>
      </x:c>
      <x:c r="Q1038" s="9" t="n">
        <x:f>IF(K1038=0,"n.a.",M1038/K1038)</x:f>
        <x:v>0.8571428571428571</x:v>
      </x:c>
      <x:c r="R1038" s="9" t="n">
        <x:f>IF(K1038=0,"n.a.",N1038/K1038)</x:f>
        <x:v>0.25</x:v>
      </x:c>
      <x:c r="S1038" s="7" t="n">
        <x:v>16</x:v>
      </x:c>
      <x:c r="T1038" s="10" t="n">
        <x:v>0.32</x:v>
      </x:c>
      <x:c r="U1038" s="7" t="n">
        <x:v>296</x:v>
      </x:c>
      <x:c r="V1038" s="7" t="n">
        <x:v>733</x:v>
      </x:c>
    </x:row>
    <x:row r="1039" ht="16" customHeight="1">
      <x:c r="A1039" s="7" t="n">
        <x:v>1036</x:v>
      </x:c>
      <x:c r="B1039" s="8" t="n">
        <x:v>46240</x:v>
      </x:c>
      <x:c r="C1039" s="7" t="str">
        <x:v>Sunset</x:v>
      </x:c>
      <x:c r="D1039" s="7" t="str">
        <x:v>MVP</x:v>
      </x:c>
      <x:c r="E1039" s="7" t="str">
        <x:v>Chamber</x:v>
      </x:c>
      <x:c r="F1039" s="7" t="n">
        <x:v>9</x:v>
      </x:c>
      <x:c r="G1039" s="7" t="n">
        <x:v>13</x:v>
      </x:c>
      <x:c r="H1039" s="7" t="str">
        <x:f>IF(F1039&gt;G1039,"Win",IF(F1039&lt;G1039,"Loss","Draw"))</x:f>
        <x:v>Loss</x:v>
      </x:c>
      <x:c r="I1039" s="7" t="n">
        <x:f>IF(H1039="Win",1,0)</x:f>
        <x:v>0</x:v>
      </x:c>
      <x:c r="J1039" s="7" t="n">
        <x:f>F1039-G1039</x:f>
        <x:v>-4</x:v>
      </x:c>
      <x:c r="K1039" s="7" t="n">
        <x:f>F1039+G1039</x:f>
        <x:v>22</x:v>
      </x:c>
      <x:c r="L1039" s="7" t="n">
        <x:v>28</x:v>
      </x:c>
      <x:c r="M1039" s="7" t="n">
        <x:v>16</x:v>
      </x:c>
      <x:c r="N1039" s="7" t="n">
        <x:v>3</x:v>
      </x:c>
      <x:c r="O1039" s="9" t="n">
        <x:f>IF(M1039=0,"n.a.",L1039/M1039)</x:f>
        <x:v>1.75</x:v>
      </x:c>
      <x:c r="P1039" s="9" t="n">
        <x:f>IF(K1039=0,"n.a.",L1039/K1039)</x:f>
        <x:v>1.2727272727272727</x:v>
      </x:c>
      <x:c r="Q1039" s="9" t="n">
        <x:f>IF(K1039=0,"n.a.",M1039/K1039)</x:f>
        <x:v>0.7272727272727273</x:v>
      </x:c>
      <x:c r="R1039" s="9" t="n">
        <x:f>IF(K1039=0,"n.a.",N1039/K1039)</x:f>
        <x:v>0.13636363636363635</x:v>
      </x:c>
      <x:c r="S1039" s="7" t="n">
        <x:v>91</x:v>
      </x:c>
      <x:c r="T1039" s="10" t="n">
        <x:v>0.43</x:v>
      </x:c>
      <x:c r="U1039" s="7" t="n">
        <x:v>354</x:v>
      </x:c>
      <x:c r="V1039" s="7" t="n">
        <x:v>888</x:v>
      </x:c>
    </x:row>
    <x:row r="1040" ht="16" customHeight="1">
      <x:c r="A1040" s="7" t="n">
        <x:v>1037</x:v>
      </x:c>
      <x:c r="B1040" s="8" t="n">
        <x:v>46240</x:v>
      </x:c>
      <x:c r="C1040" s="7" t="str">
        <x:v>Split</x:v>
      </x:c>
      <x:c r="D1040" s="7" t="str">
        <x:v>10th</x:v>
      </x:c>
      <x:c r="E1040" s="7" t="str">
        <x:v>Chamber</x:v>
      </x:c>
      <x:c r="F1040" s="7" t="n">
        <x:v>13</x:v>
      </x:c>
      <x:c r="G1040" s="7" t="n">
        <x:v>5</x:v>
      </x:c>
      <x:c r="H1040" s="7" t="str">
        <x:f>IF(F1040&gt;G1040,"Win",IF(F1040&lt;G1040,"Loss","Draw"))</x:f>
        <x:v>Win</x:v>
      </x:c>
      <x:c r="I1040" s="7" t="n">
        <x:f>IF(H1040="Win",1,0)</x:f>
        <x:v>1</x:v>
      </x:c>
      <x:c r="J1040" s="7" t="n">
        <x:f>F1040-G1040</x:f>
        <x:v>8</x:v>
      </x:c>
      <x:c r="K1040" s="7" t="n">
        <x:f>F1040+G1040</x:f>
        <x:v>18</x:v>
      </x:c>
      <x:c r="L1040" s="7" t="n">
        <x:v>8</x:v>
      </x:c>
      <x:c r="M1040" s="7" t="n">
        <x:v>14</x:v>
      </x:c>
      <x:c r="N1040" s="7" t="n">
        <x:v>3</x:v>
      </x:c>
      <x:c r="O1040" s="9" t="n">
        <x:f>IF(M1040=0,"n.a.",L1040/M1040)</x:f>
        <x:v>0.5714285714285714</x:v>
      </x:c>
      <x:c r="P1040" s="9" t="n">
        <x:f>IF(K1040=0,"n.a.",L1040/K1040)</x:f>
        <x:v>0.4444444444444444</x:v>
      </x:c>
      <x:c r="Q1040" s="9" t="n">
        <x:f>IF(K1040=0,"n.a.",M1040/K1040)</x:f>
        <x:v>0.7777777777777778</x:v>
      </x:c>
      <x:c r="R1040" s="9" t="n">
        <x:f>IF(K1040=0,"n.a.",N1040/K1040)</x:f>
        <x:v>0.16666666666666666</x:v>
      </x:c>
      <x:c r="S1040" s="7" t="n">
        <x:v>-62</x:v>
      </x:c>
      <x:c r="T1040" s="10" t="n">
        <x:v>0.21</x:v>
      </x:c>
      <x:c r="U1040" s="7" t="n">
        <x:v>130</x:v>
      </x:c>
      <x:c r="V1040" s="7" t="n">
        <x:v>515</x:v>
      </x:c>
    </x:row>
    <x:row r="1041" ht="16" customHeight="1">
      <x:c r="A1041" s="7" t="n">
        <x:v>1038</x:v>
      </x:c>
      <x:c r="B1041" s="8" t="n">
        <x:v>46240</x:v>
      </x:c>
      <x:c r="C1041" s="7" t="str">
        <x:v>Haven</x:v>
      </x:c>
      <x:c r="D1041" s="7" t="str">
        <x:v>2nd</x:v>
      </x:c>
      <x:c r="E1041" s="7" t="str">
        <x:v>Chamber</x:v>
      </x:c>
      <x:c r="F1041" s="7" t="n">
        <x:v>13</x:v>
      </x:c>
      <x:c r="G1041" s="7" t="n">
        <x:v>9</x:v>
      </x:c>
      <x:c r="H1041" s="7" t="str">
        <x:f>IF(F1041&gt;G1041,"Win",IF(F1041&lt;G1041,"Loss","Draw"))</x:f>
        <x:v>Win</x:v>
      </x:c>
      <x:c r="I1041" s="7" t="n">
        <x:f>IF(H1041="Win",1,0)</x:f>
        <x:v>1</x:v>
      </x:c>
      <x:c r="J1041" s="7" t="n">
        <x:f>F1041-G1041</x:f>
        <x:v>4</x:v>
      </x:c>
      <x:c r="K1041" s="7" t="n">
        <x:f>F1041+G1041</x:f>
        <x:v>22</x:v>
      </x:c>
      <x:c r="L1041" s="7" t="n">
        <x:v>24</x:v>
      </x:c>
      <x:c r="M1041" s="7" t="n">
        <x:v>13</x:v>
      </x:c>
      <x:c r="N1041" s="7" t="n">
        <x:v>6</x:v>
      </x:c>
      <x:c r="O1041" s="9" t="n">
        <x:f>IF(M1041=0,"n.a.",L1041/M1041)</x:f>
        <x:v>1.8461538461538463</x:v>
      </x:c>
      <x:c r="P1041" s="9" t="n">
        <x:f>IF(K1041=0,"n.a.",L1041/K1041)</x:f>
        <x:v>1.0909090909090908</x:v>
      </x:c>
      <x:c r="Q1041" s="9" t="n">
        <x:f>IF(K1041=0,"n.a.",M1041/K1041)</x:f>
        <x:v>0.5909090909090909</x:v>
      </x:c>
      <x:c r="R1041" s="9" t="n">
        <x:f>IF(K1041=0,"n.a.",N1041/K1041)</x:f>
        <x:v>0.2727272727272727</x:v>
      </x:c>
      <x:c r="S1041" s="7" t="n">
        <x:v>81</x:v>
      </x:c>
      <x:c r="T1041" s="10" t="n">
        <x:v>0.28</x:v>
      </x:c>
      <x:c r="U1041" s="7" t="n">
        <x:v>302</x:v>
      </x:c>
      <x:c r="V1041" s="7" t="n">
        <x:v>882</x:v>
      </x:c>
    </x:row>
    <x:row r="1042" ht="16" customHeight="1">
      <x:c r="A1042" s="7" t="n">
        <x:v>1039</x:v>
      </x:c>
      <x:c r="B1042" s="8" t="n">
        <x:v>46242</x:v>
      </x:c>
      <x:c r="C1042" s="7" t="str">
        <x:v>Split</x:v>
      </x:c>
      <x:c r="D1042" s="7" t="str">
        <x:v>3rd</x:v>
      </x:c>
      <x:c r="E1042" s="7" t="str">
        <x:v>Neon</x:v>
      </x:c>
      <x:c r="F1042" s="7" t="n">
        <x:v>5</x:v>
      </x:c>
      <x:c r="G1042" s="7" t="n">
        <x:v>13</x:v>
      </x:c>
      <x:c r="H1042" s="7" t="str">
        <x:f>IF(F1042&gt;G1042,"Win",IF(F1042&lt;G1042,"Loss","Draw"))</x:f>
        <x:v>Loss</x:v>
      </x:c>
      <x:c r="I1042" s="7" t="n">
        <x:f>IF(H1042="Win",1,0)</x:f>
        <x:v>0</x:v>
      </x:c>
      <x:c r="J1042" s="7" t="n">
        <x:f>F1042-G1042</x:f>
        <x:v>-8</x:v>
      </x:c>
      <x:c r="K1042" s="7" t="n">
        <x:f>F1042+G1042</x:f>
        <x:v>18</x:v>
      </x:c>
      <x:c r="L1042" s="7" t="n">
        <x:v>14</x:v>
      </x:c>
      <x:c r="M1042" s="7" t="n">
        <x:v>19</x:v>
      </x:c>
      <x:c r="N1042" s="7" t="n">
        <x:v>6</x:v>
      </x:c>
      <x:c r="O1042" s="9" t="n">
        <x:f>IF(M1042=0,"n.a.",L1042/M1042)</x:f>
        <x:v>0.7368421052631579</x:v>
      </x:c>
      <x:c r="P1042" s="9" t="n">
        <x:f>IF(K1042=0,"n.a.",L1042/K1042)</x:f>
        <x:v>0.7777777777777778</x:v>
      </x:c>
      <x:c r="Q1042" s="9" t="n">
        <x:f>IF(K1042=0,"n.a.",M1042/K1042)</x:f>
        <x:v>1.0555555555555556</x:v>
      </x:c>
      <x:c r="R1042" s="9" t="n">
        <x:f>IF(K1042=0,"n.a.",N1042/K1042)</x:f>
        <x:v>0.3333333333333333</x:v>
      </x:c>
      <x:c r="S1042" s="7" t="n">
        <x:v>-42</x:v>
      </x:c>
      <x:c r="T1042" s="10" t="n">
        <x:v>0.15</x:v>
      </x:c>
      <x:c r="U1042" s="7" t="n">
        <x:v>236</x:v>
      </x:c>
      <x:c r="V1042" s="7" t="n">
        <x:v>394</x:v>
      </x:c>
    </x:row>
    <x:row r="1043" ht="16" customHeight="1">
      <x:c r="A1043" s="7" t="n">
        <x:v>1040</x:v>
      </x:c>
      <x:c r="B1043" s="8" t="n">
        <x:v>46244</x:v>
      </x:c>
      <x:c r="C1043" s="7" t="str">
        <x:v>Lotus</x:v>
      </x:c>
      <x:c r="D1043" s="7" t="str">
        <x:v>3rd</x:v>
      </x:c>
      <x:c r="E1043" s="7" t="str">
        <x:v>Neon</x:v>
      </x:c>
      <x:c r="F1043" s="7" t="n">
        <x:v>9</x:v>
      </x:c>
      <x:c r="G1043" s="7" t="n">
        <x:v>13</x:v>
      </x:c>
      <x:c r="H1043" s="7" t="str">
        <x:f>IF(F1043&gt;G1043,"Win",IF(F1043&lt;G1043,"Loss","Draw"))</x:f>
        <x:v>Loss</x:v>
      </x:c>
      <x:c r="I1043" s="7" t="n">
        <x:f>IF(H1043="Win",1,0)</x:f>
        <x:v>0</x:v>
      </x:c>
      <x:c r="J1043" s="7" t="n">
        <x:f>F1043-G1043</x:f>
        <x:v>-4</x:v>
      </x:c>
      <x:c r="K1043" s="7" t="n">
        <x:f>F1043+G1043</x:f>
        <x:v>22</x:v>
      </x:c>
      <x:c r="L1043" s="7" t="n">
        <x:v>17</x:v>
      </x:c>
      <x:c r="M1043" s="7" t="n">
        <x:v>17</x:v>
      </x:c>
      <x:c r="N1043" s="7" t="n">
        <x:v>7</x:v>
      </x:c>
      <x:c r="O1043" s="9" t="n">
        <x:f>IF(M1043=0,"n.a.",L1043/M1043)</x:f>
        <x:v>1</x:v>
      </x:c>
      <x:c r="P1043" s="9" t="n">
        <x:f>IF(K1043=0,"n.a.",L1043/K1043)</x:f>
        <x:v>0.7727272727272727</x:v>
      </x:c>
      <x:c r="Q1043" s="9" t="n">
        <x:f>IF(K1043=0,"n.a.",M1043/K1043)</x:f>
        <x:v>0.7727272727272727</x:v>
      </x:c>
      <x:c r="R1043" s="9" t="n">
        <x:f>IF(K1043=0,"n.a.",N1043/K1043)</x:f>
        <x:v>0.3181818181818182</x:v>
      </x:c>
      <x:c r="S1043" s="7" t="n">
        <x:v>5</x:v>
      </x:c>
      <x:c r="T1043" s="10" t="n">
        <x:v>0.27</x:v>
      </x:c>
      <x:c r="U1043" s="7" t="n">
        <x:v>229</x:v>
      </x:c>
      <x:c r="V1043" s="7" t="n">
        <x:v>577</x:v>
      </x:c>
    </x:row>
    <x:row r="1044" ht="16" customHeight="1">
      <x:c r="A1044" s="7" t="n">
        <x:v>1041</x:v>
      </x:c>
      <x:c r="B1044" s="8" t="n">
        <x:v>46247</x:v>
      </x:c>
      <x:c r="C1044" s="7" t="str">
        <x:v>Lotus</x:v>
      </x:c>
      <x:c r="D1044" s="7" t="str">
        <x:v>10th</x:v>
      </x:c>
      <x:c r="E1044" s="7" t="str">
        <x:v>Neon</x:v>
      </x:c>
      <x:c r="F1044" s="7" t="n">
        <x:v>13</x:v>
      </x:c>
      <x:c r="G1044" s="7" t="n">
        <x:v>7</x:v>
      </x:c>
      <x:c r="H1044" s="7" t="str">
        <x:f>IF(F1044&gt;G1044,"Win",IF(F1044&lt;G1044,"Loss","Draw"))</x:f>
        <x:v>Win</x:v>
      </x:c>
      <x:c r="I1044" s="7" t="n">
        <x:f>IF(H1044="Win",1,0)</x:f>
        <x:v>1</x:v>
      </x:c>
      <x:c r="J1044" s="7" t="n">
        <x:f>F1044-G1044</x:f>
        <x:v>6</x:v>
      </x:c>
      <x:c r="K1044" s="7" t="n">
        <x:f>F1044+G1044</x:f>
        <x:v>20</x:v>
      </x:c>
      <x:c r="L1044" s="7" t="n">
        <x:v>7</x:v>
      </x:c>
      <x:c r="M1044" s="7" t="n">
        <x:v>18</x:v>
      </x:c>
      <x:c r="N1044" s="7" t="n">
        <x:v>5</x:v>
      </x:c>
      <x:c r="O1044" s="9" t="n">
        <x:f>IF(M1044=0,"n.a.",L1044/M1044)</x:f>
        <x:v>0.3888888888888889</x:v>
      </x:c>
      <x:c r="P1044" s="9" t="n">
        <x:f>IF(K1044=0,"n.a.",L1044/K1044)</x:f>
        <x:v>0.35</x:v>
      </x:c>
      <x:c r="Q1044" s="9" t="n">
        <x:f>IF(K1044=0,"n.a.",M1044/K1044)</x:f>
        <x:v>0.9</x:v>
      </x:c>
      <x:c r="R1044" s="9" t="n">
        <x:f>IF(K1044=0,"n.a.",N1044/K1044)</x:f>
        <x:v>0.25</x:v>
      </x:c>
      <x:c r="S1044" s="7" t="n">
        <x:v>-67</x:v>
      </x:c>
      <x:c r="T1044" s="10" t="n">
        <x:v>0.08</x:v>
      </x:c>
      <x:c r="U1044" s="7" t="n">
        <x:v>131</x:v>
      </x:c>
      <x:c r="V1044" s="7" t="n">
        <x:v>310</x:v>
      </x:c>
    </x:row>
    <x:row r="1045" ht="16" customHeight="1">
      <x:c r="A1045" s="7" t="n">
        <x:v>1042</x:v>
      </x:c>
      <x:c r="B1045" s="8" t="n">
        <x:v>46247</x:v>
      </x:c>
      <x:c r="C1045" s="7" t="str">
        <x:v>Ascent</x:v>
      </x:c>
      <x:c r="D1045" s="7" t="str">
        <x:v>10th</x:v>
      </x:c>
      <x:c r="E1045" s="7" t="str">
        <x:v>Chamber</x:v>
      </x:c>
      <x:c r="F1045" s="7" t="n">
        <x:v>14</x:v>
      </x:c>
      <x:c r="G1045" s="7" t="n">
        <x:v>14</x:v>
      </x:c>
      <x:c r="H1045" s="7" t="str">
        <x:f>IF(F1045&gt;G1045,"Win",IF(F1045&lt;G1045,"Loss","Draw"))</x:f>
        <x:v>Draw</x:v>
      </x:c>
      <x:c r="I1045" s="7" t="n">
        <x:f>IF(H1045="Win",1,0)</x:f>
        <x:v>0</x:v>
      </x:c>
      <x:c r="J1045" s="7" t="n">
        <x:f>F1045-G1045</x:f>
        <x:v>0</x:v>
      </x:c>
      <x:c r="K1045" s="7" t="n">
        <x:f>F1045+G1045</x:f>
        <x:v>28</x:v>
      </x:c>
      <x:c r="L1045" s="7" t="n">
        <x:v>18</x:v>
      </x:c>
      <x:c r="M1045" s="7" t="n">
        <x:v>23</x:v>
      </x:c>
      <x:c r="N1045" s="7" t="n">
        <x:v>3</x:v>
      </x:c>
      <x:c r="O1045" s="9" t="n">
        <x:f>IF(M1045=0,"n.a.",L1045/M1045)</x:f>
        <x:v>0.782608695652174</x:v>
      </x:c>
      <x:c r="P1045" s="9" t="n">
        <x:f>IF(K1045=0,"n.a.",L1045/K1045)</x:f>
        <x:v>0.6428571428571429</x:v>
      </x:c>
      <x:c r="Q1045" s="9" t="n">
        <x:f>IF(K1045=0,"n.a.",M1045/K1045)</x:f>
        <x:v>0.8214285714285714</x:v>
      </x:c>
      <x:c r="R1045" s="9" t="n">
        <x:f>IF(K1045=0,"n.a.",N1045/K1045)</x:f>
        <x:v>0.10714285714285714</x:v>
      </x:c>
      <x:c r="S1045" s="7" t="n">
        <x:v>-29</x:v>
      </x:c>
      <x:c r="T1045" s="10" t="n">
        <x:v>0.29</x:v>
      </x:c>
      <x:c r="U1045" s="7" t="n">
        <x:v>172</x:v>
      </x:c>
      <x:c r="V1045" s="7" t="n">
        <x:v>415</x:v>
      </x:c>
    </x:row>
    <x:row r="1046" ht="16" customHeight="1">
      <x:c r="A1046" s="7" t="n">
        <x:v>1043</x:v>
      </x:c>
      <x:c r="B1046" s="8" t="n">
        <x:v>46247</x:v>
      </x:c>
      <x:c r="C1046" s="7" t="str">
        <x:v>Haven</x:v>
      </x:c>
      <x:c r="D1046" s="7" t="str">
        <x:v>2nd</x:v>
      </x:c>
      <x:c r="E1046" s="7" t="str">
        <x:v>Chamber</x:v>
      </x:c>
      <x:c r="F1046" s="7" t="n">
        <x:v>13</x:v>
      </x:c>
      <x:c r="G1046" s="7" t="n">
        <x:v>4</x:v>
      </x:c>
      <x:c r="H1046" s="7" t="str">
        <x:f>IF(F1046&gt;G1046,"Win",IF(F1046&lt;G1046,"Loss","Draw"))</x:f>
        <x:v>Win</x:v>
      </x:c>
      <x:c r="I1046" s="7" t="n">
        <x:f>IF(H1046="Win",1,0)</x:f>
        <x:v>1</x:v>
      </x:c>
      <x:c r="J1046" s="7" t="n">
        <x:f>F1046-G1046</x:f>
        <x:v>9</x:v>
      </x:c>
      <x:c r="K1046" s="7" t="n">
        <x:f>F1046+G1046</x:f>
        <x:v>17</x:v>
      </x:c>
      <x:c r="L1046" s="7" t="n">
        <x:v>17</x:v>
      </x:c>
      <x:c r="M1046" s="7" t="n">
        <x:v>8</x:v>
      </x:c>
      <x:c r="N1046" s="7" t="n">
        <x:v>2</x:v>
      </x:c>
      <x:c r="O1046" s="9" t="n">
        <x:f>IF(M1046=0,"n.a.",L1046/M1046)</x:f>
        <x:v>2.125</x:v>
      </x:c>
      <x:c r="P1046" s="9" t="n">
        <x:f>IF(K1046=0,"n.a.",L1046/K1046)</x:f>
        <x:v>1</x:v>
      </x:c>
      <x:c r="Q1046" s="9" t="n">
        <x:f>IF(K1046=0,"n.a.",M1046/K1046)</x:f>
        <x:v>0.47058823529411764</x:v>
      </x:c>
      <x:c r="R1046" s="9" t="n">
        <x:f>IF(K1046=0,"n.a.",N1046/K1046)</x:f>
        <x:v>0.11764705882352941</x:v>
      </x:c>
      <x:c r="S1046" s="7" t="n">
        <x:v>51</x:v>
      </x:c>
      <x:c r="T1046" s="10" t="n">
        <x:v>0.3</x:v>
      </x:c>
      <x:c r="U1046" s="7" t="n">
        <x:v>272</x:v>
      </x:c>
      <x:c r="V1046" s="7" t="n">
        <x:v>909</x:v>
      </x:c>
    </x:row>
    <x:row r="1047" ht="16" customHeight="1">
      <x:c r="A1047" s="7" t="n">
        <x:v>1044</x:v>
      </x:c>
      <x:c r="B1047" s="8" t="n">
        <x:v>46250</x:v>
      </x:c>
      <x:c r="C1047" s="7" t="str">
        <x:v>Breeze</x:v>
      </x:c>
      <x:c r="D1047" s="7" t="str">
        <x:v>MVP</x:v>
      </x:c>
      <x:c r="E1047" s="7" t="str">
        <x:v>Astra</x:v>
      </x:c>
      <x:c r="F1047" s="7" t="n">
        <x:v>2</x:v>
      </x:c>
      <x:c r="G1047" s="7" t="n">
        <x:v>2</x:v>
      </x:c>
      <x:c r="H1047" s="7" t="str">
        <x:f>IF(F1047&gt;G1047,"Win",IF(F1047&lt;G1047,"Loss","Draw"))</x:f>
        <x:v>Draw</x:v>
      </x:c>
      <x:c r="I1047" s="7" t="n">
        <x:f>IF(H1047="Win",1,0)</x:f>
        <x:v>0</x:v>
      </x:c>
      <x:c r="J1047" s="7" t="n">
        <x:f>F1047-G1047</x:f>
        <x:v>0</x:v>
      </x:c>
      <x:c r="K1047" s="7" t="n">
        <x:f>F1047+G1047</x:f>
        <x:v>4</x:v>
      </x:c>
      <x:c r="L1047" s="7" t="n">
        <x:v>6</x:v>
      </x:c>
      <x:c r="M1047" s="7" t="n">
        <x:v>3</x:v>
      </x:c>
      <x:c r="N1047" s="7" t="n">
        <x:v>3</x:v>
      </x:c>
      <x:c r="O1047" s="9" t="n">
        <x:f>IF(M1047=0,"n.a.",L1047/M1047)</x:f>
        <x:v>2</x:v>
      </x:c>
      <x:c r="P1047" s="9" t="n">
        <x:f>IF(K1047=0,"n.a.",L1047/K1047)</x:f>
        <x:v>1.5</x:v>
      </x:c>
      <x:c r="Q1047" s="9" t="n">
        <x:f>IF(K1047=0,"n.a.",M1047/K1047)</x:f>
        <x:v>0.75</x:v>
      </x:c>
      <x:c r="R1047" s="9" t="n">
        <x:f>IF(K1047=0,"n.a.",N1047/K1047)</x:f>
        <x:v>0.75</x:v>
      </x:c>
      <x:c r="S1047" s="7" t="n">
        <x:v>195</x:v>
      </x:c>
      <x:c r="T1047" s="10" t="n">
        <x:v>0.4</x:v>
      </x:c>
      <x:c r="U1047" s="7" t="n">
        <x:v>488</x:v>
      </x:c>
      <x:c r="V1047" s="7" t="n">
        <x:v>963</x:v>
      </x:c>
    </x:row>
    <x:row r="1048" ht="16" customHeight="1">
      <x:c r="A1048" s="7" t="n">
        <x:v>1045</x:v>
      </x:c>
      <x:c r="B1048" s="8" t="n">
        <x:v>46253</x:v>
      </x:c>
      <x:c r="C1048" s="7" t="str">
        <x:v>Sunset</x:v>
      </x:c>
      <x:c r="D1048" s="7" t="str">
        <x:v>10th</x:v>
      </x:c>
      <x:c r="E1048" s="7" t="str">
        <x:v>Chamber</x:v>
      </x:c>
      <x:c r="F1048" s="7" t="n">
        <x:v>15</x:v>
      </x:c>
      <x:c r="G1048" s="7" t="n">
        <x:v>15</x:v>
      </x:c>
      <x:c r="H1048" s="7" t="str">
        <x:f>IF(F1048&gt;G1048,"Win",IF(F1048&lt;G1048,"Loss","Draw"))</x:f>
        <x:v>Draw</x:v>
      </x:c>
      <x:c r="I1048" s="7" t="n">
        <x:f>IF(H1048="Win",1,0)</x:f>
        <x:v>0</x:v>
      </x:c>
      <x:c r="J1048" s="7" t="n">
        <x:f>F1048-G1048</x:f>
        <x:v>0</x:v>
      </x:c>
      <x:c r="K1048" s="7" t="n">
        <x:f>F1048+G1048</x:f>
        <x:v>30</x:v>
      </x:c>
      <x:c r="L1048" s="7" t="n">
        <x:v>14</x:v>
      </x:c>
      <x:c r="M1048" s="7" t="n">
        <x:v>21</x:v>
      </x:c>
      <x:c r="N1048" s="7" t="n">
        <x:v>1</x:v>
      </x:c>
      <x:c r="O1048" s="9" t="n">
        <x:f>IF(M1048=0,"n.a.",L1048/M1048)</x:f>
        <x:v>0.6666666666666666</x:v>
      </x:c>
      <x:c r="P1048" s="9" t="n">
        <x:f>IF(K1048=0,"n.a.",L1048/K1048)</x:f>
        <x:v>0.4666666666666667</x:v>
      </x:c>
      <x:c r="Q1048" s="9" t="n">
        <x:f>IF(K1048=0,"n.a.",M1048/K1048)</x:f>
        <x:v>0.7</x:v>
      </x:c>
      <x:c r="R1048" s="9" t="n">
        <x:f>IF(K1048=0,"n.a.",N1048/K1048)</x:f>
        <x:v>0.03333333333333333</x:v>
      </x:c>
      <x:c r="S1048" s="7" t="n">
        <x:v>-44</x:v>
      </x:c>
      <x:c r="T1048" s="10" t="n">
        <x:v>0.21</x:v>
      </x:c>
      <x:c r="U1048" s="7" t="n">
        <x:v>129</x:v>
      </x:c>
      <x:c r="V1048" s="7" t="n">
        <x:v>289</x:v>
      </x:c>
    </x:row>
    <x:row r="1049" ht="16" customHeight="1">
      <x:c r="A1049" s="7" t="n">
        <x:v>1046</x:v>
      </x:c>
      <x:c r="B1049" s="8" t="n">
        <x:v>46259</x:v>
      </x:c>
      <x:c r="C1049" s="7" t="str">
        <x:v>Abyss</x:v>
      </x:c>
      <x:c r="D1049" s="7" t="str">
        <x:v>10th</x:v>
      </x:c>
      <x:c r="E1049" s="7" t="str">
        <x:v>Reyna</x:v>
      </x:c>
      <x:c r="F1049" s="7" t="n">
        <x:v>5</x:v>
      </x:c>
      <x:c r="G1049" s="7" t="n">
        <x:v>13</x:v>
      </x:c>
      <x:c r="H1049" s="7" t="str">
        <x:f>IF(F1049&gt;G1049,"Win",IF(F1049&lt;G1049,"Loss","Draw"))</x:f>
        <x:v>Loss</x:v>
      </x:c>
      <x:c r="I1049" s="7" t="n">
        <x:f>IF(H1049="Win",1,0)</x:f>
        <x:v>0</x:v>
      </x:c>
      <x:c r="J1049" s="7" t="n">
        <x:f>F1049-G1049</x:f>
        <x:v>-8</x:v>
      </x:c>
      <x:c r="K1049" s="7" t="n">
        <x:f>F1049+G1049</x:f>
        <x:v>18</x:v>
      </x:c>
      <x:c r="L1049" s="7" t="n">
        <x:v>4</x:v>
      </x:c>
      <x:c r="M1049" s="7" t="n">
        <x:v>13</x:v>
      </x:c>
      <x:c r="N1049" s="7" t="n">
        <x:v>3</x:v>
      </x:c>
      <x:c r="O1049" s="9" t="n">
        <x:f>IF(M1049=0,"n.a.",L1049/M1049)</x:f>
        <x:v>0.3076923076923077</x:v>
      </x:c>
      <x:c r="P1049" s="9" t="n">
        <x:f>IF(K1049=0,"n.a.",L1049/K1049)</x:f>
        <x:v>0.2222222222222222</x:v>
      </x:c>
      <x:c r="Q1049" s="9" t="n">
        <x:f>IF(K1049=0,"n.a.",M1049/K1049)</x:f>
        <x:v>0.7222222222222222</x:v>
      </x:c>
      <x:c r="R1049" s="9" t="n">
        <x:f>IF(K1049=0,"n.a.",N1049/K1049)</x:f>
        <x:v>0.16666666666666666</x:v>
      </x:c>
      <x:c r="S1049" s="7" t="n">
        <x:v>-65</x:v>
      </x:c>
      <x:c r="T1049" s="10" t="n">
        <x:v>0.22</x:v>
      </x:c>
      <x:c r="U1049" s="7" t="n">
        <x:v>82</x:v>
      </x:c>
      <x:c r="V1049" s="7" t="n">
        <x:v>100</x:v>
      </x:c>
    </x:row>
    <x:row r="1050" ht="16" customHeight="1">
      <x:c r="A1050" s="7" t="n">
        <x:v>1047</x:v>
      </x:c>
      <x:c r="B1050" s="8" t="n">
        <x:v>46261</x:v>
      </x:c>
      <x:c r="C1050" s="7" t="str">
        <x:v>Abyss</x:v>
      </x:c>
      <x:c r="D1050" s="7" t="str">
        <x:v>4th</x:v>
      </x:c>
      <x:c r="E1050" s="7" t="str">
        <x:v>Neon</x:v>
      </x:c>
      <x:c r="F1050" s="7" t="n">
        <x:v>14</x:v>
      </x:c>
      <x:c r="G1050" s="7" t="n">
        <x:v>14</x:v>
      </x:c>
      <x:c r="H1050" s="7" t="str">
        <x:f>IF(F1050&gt;G1050,"Win",IF(F1050&lt;G1050,"Loss","Draw"))</x:f>
        <x:v>Draw</x:v>
      </x:c>
      <x:c r="I1050" s="7" t="n">
        <x:f>IF(H1050="Win",1,0)</x:f>
        <x:v>0</x:v>
      </x:c>
      <x:c r="J1050" s="7" t="n">
        <x:f>F1050-G1050</x:f>
        <x:v>0</x:v>
      </x:c>
      <x:c r="K1050" s="7" t="n">
        <x:f>F1050+G1050</x:f>
        <x:v>28</x:v>
      </x:c>
      <x:c r="L1050" s="7" t="n">
        <x:v>23</x:v>
      </x:c>
      <x:c r="M1050" s="7" t="n">
        <x:v>23</x:v>
      </x:c>
      <x:c r="N1050" s="7" t="n">
        <x:v>8</x:v>
      </x:c>
      <x:c r="O1050" s="9" t="n">
        <x:f>IF(M1050=0,"n.a.",L1050/M1050)</x:f>
        <x:v>1</x:v>
      </x:c>
      <x:c r="P1050" s="9" t="n">
        <x:f>IF(K1050=0,"n.a.",L1050/K1050)</x:f>
        <x:v>0.8214285714285714</x:v>
      </x:c>
      <x:c r="Q1050" s="9" t="n">
        <x:f>IF(K1050=0,"n.a.",M1050/K1050)</x:f>
        <x:v>0.8214285714285714</x:v>
      </x:c>
      <x:c r="R1050" s="9" t="n">
        <x:f>IF(K1050=0,"n.a.",N1050/K1050)</x:f>
        <x:v>0.2857142857142857</x:v>
      </x:c>
      <x:c r="S1050" s="7" t="n">
        <x:v>21</x:v>
      </x:c>
      <x:c r="T1050" s="10" t="n">
        <x:v>0.2</x:v>
      </x:c>
      <x:c r="U1050" s="7" t="n">
        <x:v>249</x:v>
      </x:c>
      <x:c r="V1050" s="7" t="n">
        <x:v>637</x:v>
      </x:c>
    </x:row>
    <x:row r="1051" ht="16" customHeight="1">
      <x:c r="A1051" s="7" t="n">
        <x:v>1048</x:v>
      </x:c>
      <x:c r="B1051" s="8" t="n">
        <x:v>46261</x:v>
      </x:c>
      <x:c r="C1051" s="7" t="str">
        <x:v>Lotus</x:v>
      </x:c>
      <x:c r="D1051" s="7" t="str">
        <x:v>2nd</x:v>
      </x:c>
      <x:c r="E1051" s="7" t="str">
        <x:v>Neon</x:v>
      </x:c>
      <x:c r="F1051" s="7" t="n">
        <x:v>13</x:v>
      </x:c>
      <x:c r="G1051" s="7" t="n">
        <x:v>5</x:v>
      </x:c>
      <x:c r="H1051" s="7" t="str">
        <x:f>IF(F1051&gt;G1051,"Win",IF(F1051&lt;G1051,"Loss","Draw"))</x:f>
        <x:v>Win</x:v>
      </x:c>
      <x:c r="I1051" s="7" t="n">
        <x:f>IF(H1051="Win",1,0)</x:f>
        <x:v>1</x:v>
      </x:c>
      <x:c r="J1051" s="7" t="n">
        <x:f>F1051-G1051</x:f>
        <x:v>8</x:v>
      </x:c>
      <x:c r="K1051" s="7" t="n">
        <x:f>F1051+G1051</x:f>
        <x:v>18</x:v>
      </x:c>
      <x:c r="L1051" s="7" t="n">
        <x:v>19</x:v>
      </x:c>
      <x:c r="M1051" s="7" t="n">
        <x:v>13</x:v>
      </x:c>
      <x:c r="N1051" s="7" t="n">
        <x:v>5</x:v>
      </x:c>
      <x:c r="O1051" s="9" t="n">
        <x:f>IF(M1051=0,"n.a.",L1051/M1051)</x:f>
        <x:v>1.4615384615384615</x:v>
      </x:c>
      <x:c r="P1051" s="9" t="n">
        <x:f>IF(K1051=0,"n.a.",L1051/K1051)</x:f>
        <x:v>1.0555555555555556</x:v>
      </x:c>
      <x:c r="Q1051" s="9" t="n">
        <x:f>IF(K1051=0,"n.a.",M1051/K1051)</x:f>
        <x:v>0.7222222222222222</x:v>
      </x:c>
      <x:c r="R1051" s="9" t="n">
        <x:f>IF(K1051=0,"n.a.",N1051/K1051)</x:f>
        <x:v>0.2777777777777778</x:v>
      </x:c>
      <x:c r="S1051" s="7" t="n">
        <x:v>12</x:v>
      </x:c>
      <x:c r="T1051" s="10" t="n">
        <x:v>0.19</x:v>
      </x:c>
      <x:c r="U1051" s="7" t="n">
        <x:v>286</x:v>
      </x:c>
      <x:c r="V1051" s="7" t="n">
        <x:v>742</x:v>
      </x:c>
    </x:row>
    <x:row r="1052" ht="16" customHeight="1">
      <x:c r="A1052" s="7" t="n">
        <x:v>1049</x:v>
      </x:c>
      <x:c r="B1052" s="8" t="n">
        <x:v>46262</x:v>
      </x:c>
      <x:c r="C1052" s="7" t="str">
        <x:v>Ascent</x:v>
      </x:c>
      <x:c r="D1052" s="7" t="str">
        <x:v>5th</x:v>
      </x:c>
      <x:c r="E1052" s="7" t="str">
        <x:v>Astra</x:v>
      </x:c>
      <x:c r="F1052" s="7" t="n">
        <x:v>6</x:v>
      </x:c>
      <x:c r="G1052" s="7" t="n">
        <x:v>13</x:v>
      </x:c>
      <x:c r="H1052" s="7" t="str">
        <x:f>IF(F1052&gt;G1052,"Win",IF(F1052&lt;G1052,"Loss","Draw"))</x:f>
        <x:v>Loss</x:v>
      </x:c>
      <x:c r="I1052" s="7" t="n">
        <x:f>IF(H1052="Win",1,0)</x:f>
        <x:v>0</x:v>
      </x:c>
      <x:c r="J1052" s="7" t="n">
        <x:f>F1052-G1052</x:f>
        <x:v>-7</x:v>
      </x:c>
      <x:c r="K1052" s="7" t="n">
        <x:f>F1052+G1052</x:f>
        <x:v>19</x:v>
      </x:c>
      <x:c r="L1052" s="7" t="n">
        <x:v>15</x:v>
      </x:c>
      <x:c r="M1052" s="7" t="n">
        <x:v>17</x:v>
      </x:c>
      <x:c r="N1052" s="7" t="n">
        <x:v>6</x:v>
      </x:c>
      <x:c r="O1052" s="9" t="n">
        <x:f>IF(M1052=0,"n.a.",L1052/M1052)</x:f>
        <x:v>0.8823529411764706</x:v>
      </x:c>
      <x:c r="P1052" s="9" t="n">
        <x:f>IF(K1052=0,"n.a.",L1052/K1052)</x:f>
        <x:v>0.7894736842105263</x:v>
      </x:c>
      <x:c r="Q1052" s="9" t="n">
        <x:f>IF(K1052=0,"n.a.",M1052/K1052)</x:f>
        <x:v>0.8947368421052632</x:v>
      </x:c>
      <x:c r="R1052" s="9" t="n">
        <x:f>IF(K1052=0,"n.a.",N1052/K1052)</x:f>
        <x:v>0.3157894736842105</x:v>
      </x:c>
      <x:c r="S1052" s="7" t="n">
        <x:v>0</x:v>
      </x:c>
      <x:c r="T1052" s="10" t="n">
        <x:v>0.35</x:v>
      </x:c>
      <x:c r="U1052" s="7" t="n">
        <x:v>219</x:v>
      </x:c>
      <x:c r="V1052" s="7" t="n">
        <x:v>434</x:v>
      </x:c>
    </x:row>
    <x:row r="1053" ht="16" customHeight="1">
      <x:c r="A1053" s="7" t="n">
        <x:v>1050</x:v>
      </x:c>
      <x:c r="B1053" s="8" t="n">
        <x:v>46262</x:v>
      </x:c>
      <x:c r="C1053" s="7" t="str">
        <x:v>Haven</x:v>
      </x:c>
      <x:c r="D1053" s="7" t="str">
        <x:v>10th</x:v>
      </x:c>
      <x:c r="E1053" s="7" t="str">
        <x:v>Neon</x:v>
      </x:c>
      <x:c r="F1053" s="7" t="n">
        <x:v>8</x:v>
      </x:c>
      <x:c r="G1053" s="7" t="n">
        <x:v>13</x:v>
      </x:c>
      <x:c r="H1053" s="7" t="str">
        <x:f>IF(F1053&gt;G1053,"Win",IF(F1053&lt;G1053,"Loss","Draw"))</x:f>
        <x:v>Loss</x:v>
      </x:c>
      <x:c r="I1053" s="7" t="n">
        <x:f>IF(H1053="Win",1,0)</x:f>
        <x:v>0</x:v>
      </x:c>
      <x:c r="J1053" s="7" t="n">
        <x:f>F1053-G1053</x:f>
        <x:v>-5</x:v>
      </x:c>
      <x:c r="K1053" s="7" t="n">
        <x:f>F1053+G1053</x:f>
        <x:v>21</x:v>
      </x:c>
      <x:c r="L1053" s="7" t="n">
        <x:v>12</x:v>
      </x:c>
      <x:c r="M1053" s="7" t="n">
        <x:v>16</x:v>
      </x:c>
      <x:c r="N1053" s="7" t="n">
        <x:v>3</x:v>
      </x:c>
      <x:c r="O1053" s="9" t="n">
        <x:f>IF(M1053=0,"n.a.",L1053/M1053)</x:f>
        <x:v>0.75</x:v>
      </x:c>
      <x:c r="P1053" s="9" t="n">
        <x:f>IF(K1053=0,"n.a.",L1053/K1053)</x:f>
        <x:v>0.5714285714285714</x:v>
      </x:c>
      <x:c r="Q1053" s="9" t="n">
        <x:f>IF(K1053=0,"n.a.",M1053/K1053)</x:f>
        <x:v>0.7619047619047619</x:v>
      </x:c>
      <x:c r="R1053" s="9" t="n">
        <x:f>IF(K1053=0,"n.a.",N1053/K1053)</x:f>
        <x:v>0.14285714285714285</x:v>
      </x:c>
      <x:c r="S1053" s="7" t="n">
        <x:v>-39</x:v>
      </x:c>
      <x:c r="T1053" s="10" t="n">
        <x:v>0.29</x:v>
      </x:c>
      <x:c r="U1053" s="7" t="n">
        <x:v>159</x:v>
      </x:c>
      <x:c r="V1053" s="7" t="n">
        <x:v>232</x:v>
      </x:c>
    </x:row>
    <x:row r="1054" ht="16" customHeight="1">
      <x:c r="A1054" s="7" t="n">
        <x:v>1051</x:v>
      </x:c>
      <x:c r="B1054" s="8" t="n">
        <x:v>46273</x:v>
      </x:c>
      <x:c r="C1054" s="7" t="str">
        <x:v>Split</x:v>
      </x:c>
      <x:c r="D1054" s="7" t="str">
        <x:v>2nd</x:v>
      </x:c>
      <x:c r="E1054" s="7" t="str">
        <x:v>Neon</x:v>
      </x:c>
      <x:c r="F1054" s="7" t="n">
        <x:v>8</x:v>
      </x:c>
      <x:c r="G1054" s="7" t="n">
        <x:v>13</x:v>
      </x:c>
      <x:c r="H1054" s="7" t="str">
        <x:f>IF(F1054&gt;G1054,"Win",IF(F1054&lt;G1054,"Loss","Draw"))</x:f>
        <x:v>Loss</x:v>
      </x:c>
      <x:c r="I1054" s="7" t="n">
        <x:f>IF(H1054="Win",1,0)</x:f>
        <x:v>0</x:v>
      </x:c>
      <x:c r="J1054" s="7" t="n">
        <x:f>F1054-G1054</x:f>
        <x:v>-5</x:v>
      </x:c>
      <x:c r="K1054" s="7" t="n">
        <x:f>F1054+G1054</x:f>
        <x:v>21</x:v>
      </x:c>
      <x:c r="L1054" s="7" t="n">
        <x:v>20</x:v>
      </x:c>
      <x:c r="M1054" s="7" t="n">
        <x:v>18</x:v>
      </x:c>
      <x:c r="N1054" s="7" t="n">
        <x:v>1</x:v>
      </x:c>
      <x:c r="O1054" s="9" t="n">
        <x:f>IF(M1054=0,"n.a.",L1054/M1054)</x:f>
        <x:v>1.1111111111111112</x:v>
      </x:c>
      <x:c r="P1054" s="9" t="n">
        <x:f>IF(K1054=0,"n.a.",L1054/K1054)</x:f>
        <x:v>0.9523809523809523</x:v>
      </x:c>
      <x:c r="Q1054" s="9" t="n">
        <x:f>IF(K1054=0,"n.a.",M1054/K1054)</x:f>
        <x:v>0.8571428571428571</x:v>
      </x:c>
      <x:c r="R1054" s="9" t="n">
        <x:f>IF(K1054=0,"n.a.",N1054/K1054)</x:f>
        <x:v>0.047619047619047616</x:v>
      </x:c>
      <x:c r="S1054" s="7" t="n">
        <x:v>10</x:v>
      </x:c>
      <x:c r="T1054" s="10" t="n">
        <x:v>0.22</x:v>
      </x:c>
      <x:c r="U1054" s="7" t="n">
        <x:v>269</x:v>
      </x:c>
      <x:c r="V1054" s="7" t="n">
        <x:v>529</x:v>
      </x:c>
    </x:row>
    <x:row r="1055" ht="16" customHeight="1">
      <x:c r="A1055" s="7" t="n">
        <x:v>1052</x:v>
      </x:c>
      <x:c r="B1055" s="8" t="n">
        <x:v>46274</x:v>
      </x:c>
      <x:c r="C1055" s="7" t="str">
        <x:v>Sunset</x:v>
      </x:c>
      <x:c r="D1055" s="7" t="str">
        <x:v>4th</x:v>
      </x:c>
      <x:c r="E1055" s="7" t="str">
        <x:v>Reyna</x:v>
      </x:c>
      <x:c r="F1055" s="7" t="n">
        <x:v>6</x:v>
      </x:c>
      <x:c r="G1055" s="7" t="n">
        <x:v>13</x:v>
      </x:c>
      <x:c r="H1055" s="7" t="str">
        <x:f>IF(F1055&gt;G1055,"Win",IF(F1055&lt;G1055,"Loss","Draw"))</x:f>
        <x:v>Loss</x:v>
      </x:c>
      <x:c r="I1055" s="7" t="n">
        <x:f>IF(H1055="Win",1,0)</x:f>
        <x:v>0</x:v>
      </x:c>
      <x:c r="J1055" s="7" t="n">
        <x:f>F1055-G1055</x:f>
        <x:v>-7</x:v>
      </x:c>
      <x:c r="K1055" s="7" t="n">
        <x:f>F1055+G1055</x:f>
        <x:v>19</x:v>
      </x:c>
      <x:c r="L1055" s="7" t="n">
        <x:v>15</x:v>
      </x:c>
      <x:c r="M1055" s="7" t="n">
        <x:v>17</x:v>
      </x:c>
      <x:c r="N1055" s="7" t="n">
        <x:v>2</x:v>
      </x:c>
      <x:c r="O1055" s="9" t="n">
        <x:f>IF(M1055=0,"n.a.",L1055/M1055)</x:f>
        <x:v>0.8823529411764706</x:v>
      </x:c>
      <x:c r="P1055" s="9" t="n">
        <x:f>IF(K1055=0,"n.a.",L1055/K1055)</x:f>
        <x:v>0.7894736842105263</x:v>
      </x:c>
      <x:c r="Q1055" s="9" t="n">
        <x:f>IF(K1055=0,"n.a.",M1055/K1055)</x:f>
        <x:v>0.8947368421052632</x:v>
      </x:c>
      <x:c r="R1055" s="9" t="n">
        <x:f>IF(K1055=0,"n.a.",N1055/K1055)</x:f>
        <x:v>0.10526315789473684</x:v>
      </x:c>
      <x:c r="S1055" s="7" t="n">
        <x:v>-53</x:v>
      </x:c>
      <x:c r="T1055" s="10" t="n">
        <x:v>0.33</x:v>
      </x:c>
      <x:c r="U1055" s="7" t="n">
        <x:v>229</x:v>
      </x:c>
      <x:c r="V1055" s="7" t="n">
        <x:v>319</x:v>
      </x:c>
    </x:row>
    <x:row r="1056" ht="16" customHeight="1">
      <x:c r="A1056" s="7" t="n">
        <x:v>1053</x:v>
      </x:c>
      <x:c r="B1056" s="8" t="n">
        <x:v>46274</x:v>
      </x:c>
      <x:c r="C1056" s="7" t="str">
        <x:v>Lotus</x:v>
      </x:c>
      <x:c r="D1056" s="7" t="str">
        <x:v>4th</x:v>
      </x:c>
      <x:c r="E1056" s="7" t="str">
        <x:v>Skye</x:v>
      </x:c>
      <x:c r="F1056" s="7" t="n">
        <x:v>13</x:v>
      </x:c>
      <x:c r="G1056" s="7" t="n">
        <x:v>6</x:v>
      </x:c>
      <x:c r="H1056" s="7" t="str">
        <x:f>IF(F1056&gt;G1056,"Win",IF(F1056&lt;G1056,"Loss","Draw"))</x:f>
        <x:v>Win</x:v>
      </x:c>
      <x:c r="I1056" s="7" t="n">
        <x:f>IF(H1056="Win",1,0)</x:f>
        <x:v>1</x:v>
      </x:c>
      <x:c r="J1056" s="7" t="n">
        <x:f>F1056-G1056</x:f>
        <x:v>7</x:v>
      </x:c>
      <x:c r="K1056" s="7" t="n">
        <x:f>F1056+G1056</x:f>
        <x:v>19</x:v>
      </x:c>
      <x:c r="L1056" s="7" t="n">
        <x:v>17</x:v>
      </x:c>
      <x:c r="M1056" s="7" t="n">
        <x:v>14</x:v>
      </x:c>
      <x:c r="N1056" s="7" t="n">
        <x:v>1</x:v>
      </x:c>
      <x:c r="O1056" s="9" t="n">
        <x:f>IF(M1056=0,"n.a.",L1056/M1056)</x:f>
        <x:v>1.2142857142857142</x:v>
      </x:c>
      <x:c r="P1056" s="9" t="n">
        <x:f>IF(K1056=0,"n.a.",L1056/K1056)</x:f>
        <x:v>0.8947368421052632</x:v>
      </x:c>
      <x:c r="Q1056" s="9" t="n">
        <x:f>IF(K1056=0,"n.a.",M1056/K1056)</x:f>
        <x:v>0.7368421052631579</x:v>
      </x:c>
      <x:c r="R1056" s="9" t="n">
        <x:f>IF(K1056=0,"n.a.",N1056/K1056)</x:f>
        <x:v>0.05263157894736842</x:v>
      </x:c>
      <x:c r="S1056" s="7" t="n">
        <x:v>19</x:v>
      </x:c>
      <x:c r="T1056" s="10" t="n">
        <x:v>0.3</x:v>
      </x:c>
      <x:c r="U1056" s="7" t="n">
        <x:v>248</x:v>
      </x:c>
      <x:c r="V1056" s="7" t="n">
        <x:v>599</x:v>
      </x:c>
    </x:row>
    <x:row r="1057" ht="16" customHeight="1">
      <x:c r="A1057" s="7" t="n">
        <x:v>1054</x:v>
      </x:c>
      <x:c r="B1057" s="8" t="n">
        <x:v>46274</x:v>
      </x:c>
      <x:c r="C1057" s="7" t="str">
        <x:v>Haven</x:v>
      </x:c>
      <x:c r="D1057" s="7" t="str">
        <x:v>10th</x:v>
      </x:c>
      <x:c r="E1057" s="7" t="str">
        <x:v>Neon</x:v>
      </x:c>
      <x:c r="F1057" s="7" t="n">
        <x:v>6</x:v>
      </x:c>
      <x:c r="G1057" s="7" t="n">
        <x:v>13</x:v>
      </x:c>
      <x:c r="H1057" s="7" t="str">
        <x:f>IF(F1057&gt;G1057,"Win",IF(F1057&lt;G1057,"Loss","Draw"))</x:f>
        <x:v>Loss</x:v>
      </x:c>
      <x:c r="I1057" s="7" t="n">
        <x:f>IF(H1057="Win",1,0)</x:f>
        <x:v>0</x:v>
      </x:c>
      <x:c r="J1057" s="7" t="n">
        <x:f>F1057-G1057</x:f>
        <x:v>-7</x:v>
      </x:c>
      <x:c r="K1057" s="7" t="n">
        <x:f>F1057+G1057</x:f>
        <x:v>19</x:v>
      </x:c>
      <x:c r="L1057" s="7" t="n">
        <x:v>10</x:v>
      </x:c>
      <x:c r="M1057" s="7" t="n">
        <x:v>19</x:v>
      </x:c>
      <x:c r="N1057" s="7" t="n">
        <x:v>1</x:v>
      </x:c>
      <x:c r="O1057" s="9" t="n">
        <x:f>IF(M1057=0,"n.a.",L1057/M1057)</x:f>
        <x:v>0.5263157894736842</x:v>
      </x:c>
      <x:c r="P1057" s="9" t="n">
        <x:f>IF(K1057=0,"n.a.",L1057/K1057)</x:f>
        <x:v>0.5263157894736842</x:v>
      </x:c>
      <x:c r="Q1057" s="9" t="n">
        <x:f>IF(K1057=0,"n.a.",M1057/K1057)</x:f>
        <x:v>1</x:v>
      </x:c>
      <x:c r="R1057" s="9" t="n">
        <x:f>IF(K1057=0,"n.a.",N1057/K1057)</x:f>
        <x:v>0.05263157894736842</x:v>
      </x:c>
      <x:c r="S1057" s="7" t="n">
        <x:v>-73</x:v>
      </x:c>
      <x:c r="T1057" s="10" t="n">
        <x:v>0.31</x:v>
      </x:c>
      <x:c r="U1057" s="7" t="n">
        <x:v>156</x:v>
      </x:c>
      <x:c r="V1057" s="7" t="n">
        <x:v>139</x:v>
      </x:c>
    </x:row>
    <x:row r="1058" ht="16" customHeight="1">
      <x:c r="A1058" s="7" t="n">
        <x:v>1055</x:v>
      </x:c>
      <x:c r="B1058" s="8" t="n">
        <x:v>46274</x:v>
      </x:c>
      <x:c r="C1058" s="7" t="str">
        <x:v>Ascent</x:v>
      </x:c>
      <x:c r="D1058" s="7" t="str">
        <x:v>3rd</x:v>
      </x:c>
      <x:c r="E1058" s="7" t="str">
        <x:v>Neon</x:v>
      </x:c>
      <x:c r="F1058" s="7" t="n">
        <x:v>11</x:v>
      </x:c>
      <x:c r="G1058" s="7" t="n">
        <x:v>13</x:v>
      </x:c>
      <x:c r="H1058" s="7" t="str">
        <x:f>IF(F1058&gt;G1058,"Win",IF(F1058&lt;G1058,"Loss","Draw"))</x:f>
        <x:v>Loss</x:v>
      </x:c>
      <x:c r="I1058" s="7" t="n">
        <x:f>IF(H1058="Win",1,0)</x:f>
        <x:v>0</x:v>
      </x:c>
      <x:c r="J1058" s="7" t="n">
        <x:f>F1058-G1058</x:f>
        <x:v>-2</x:v>
      </x:c>
      <x:c r="K1058" s="7" t="n">
        <x:f>F1058+G1058</x:f>
        <x:v>24</x:v>
      </x:c>
      <x:c r="L1058" s="7" t="n">
        <x:v>24</x:v>
      </x:c>
      <x:c r="M1058" s="7" t="n">
        <x:v>19</x:v>
      </x:c>
      <x:c r="N1058" s="7" t="n">
        <x:v>2</x:v>
      </x:c>
      <x:c r="O1058" s="9" t="n">
        <x:f>IF(M1058=0,"n.a.",L1058/M1058)</x:f>
        <x:v>1.263157894736842</x:v>
      </x:c>
      <x:c r="P1058" s="9" t="n">
        <x:f>IF(K1058=0,"n.a.",L1058/K1058)</x:f>
        <x:v>1</x:v>
      </x:c>
      <x:c r="Q1058" s="9" t="n">
        <x:f>IF(K1058=0,"n.a.",M1058/K1058)</x:f>
        <x:v>0.7916666666666666</x:v>
      </x:c>
      <x:c r="R1058" s="9" t="n">
        <x:f>IF(K1058=0,"n.a.",N1058/K1058)</x:f>
        <x:v>0.08333333333333333</x:v>
      </x:c>
      <x:c r="S1058" s="7" t="n">
        <x:v>7</x:v>
      </x:c>
      <x:c r="T1058" s="10" t="n">
        <x:v>0.24</x:v>
      </x:c>
      <x:c r="U1058" s="7" t="n">
        <x:v>278</x:v>
      </x:c>
      <x:c r="V1058" s="7" t="n">
        <x:v>607</x:v>
      </x:c>
    </x:row>
    <x:row r="1059" ht="16" customHeight="1">
      <x:c r="A1059" s="7" t="n">
        <x:v>1056</x:v>
      </x:c>
      <x:c r="B1059" s="8" t="n">
        <x:v>46275</x:v>
      </x:c>
      <x:c r="C1059" s="7" t="str">
        <x:v>Abyss</x:v>
      </x:c>
      <x:c r="D1059" s="7" t="str">
        <x:v>9th</x:v>
      </x:c>
      <x:c r="E1059" s="7" t="str">
        <x:v>Neon</x:v>
      </x:c>
      <x:c r="F1059" s="7" t="n">
        <x:v>14</x:v>
      </x:c>
      <x:c r="G1059" s="7" t="n">
        <x:v>12</x:v>
      </x:c>
      <x:c r="H1059" s="7" t="str">
        <x:f>IF(F1059&gt;G1059,"Win",IF(F1059&lt;G1059,"Loss","Draw"))</x:f>
        <x:v>Win</x:v>
      </x:c>
      <x:c r="I1059" s="7" t="n">
        <x:f>IF(H1059="Win",1,0)</x:f>
        <x:v>1</x:v>
      </x:c>
      <x:c r="J1059" s="7" t="n">
        <x:f>F1059-G1059</x:f>
        <x:v>2</x:v>
      </x:c>
      <x:c r="K1059" s="7" t="n">
        <x:f>F1059+G1059</x:f>
        <x:v>26</x:v>
      </x:c>
      <x:c r="L1059" s="7" t="n">
        <x:v>9</x:v>
      </x:c>
      <x:c r="M1059" s="7" t="n">
        <x:v>19</x:v>
      </x:c>
      <x:c r="N1059" s="7" t="n">
        <x:v>5</x:v>
      </x:c>
      <x:c r="O1059" s="9" t="n">
        <x:f>IF(M1059=0,"n.a.",L1059/M1059)</x:f>
        <x:v>0.47368421052631576</x:v>
      </x:c>
      <x:c r="P1059" s="9" t="n">
        <x:f>IF(K1059=0,"n.a.",L1059/K1059)</x:f>
        <x:v>0.34615384615384615</x:v>
      </x:c>
      <x:c r="Q1059" s="9" t="n">
        <x:f>IF(K1059=0,"n.a.",M1059/K1059)</x:f>
        <x:v>0.7307692307692307</x:v>
      </x:c>
      <x:c r="R1059" s="9" t="n">
        <x:f>IF(K1059=0,"n.a.",N1059/K1059)</x:f>
        <x:v>0.19230769230769232</x:v>
      </x:c>
      <x:c r="S1059" s="7" t="n">
        <x:v>-42</x:v>
      </x:c>
      <x:c r="T1059" s="10" t="n">
        <x:v>0.15</x:v>
      </x:c>
      <x:c r="U1059" s="7" t="n">
        <x:v>127</x:v>
      </x:c>
      <x:c r="V1059" s="7" t="n">
        <x:v>346</x:v>
      </x:c>
    </x:row>
    <x:row r="1060" ht="16" customHeight="1">
      <x:c r="A1060" s="7" t="n">
        <x:v>1057</x:v>
      </x:c>
      <x:c r="B1060" s="8" t="n">
        <x:v>46275</x:v>
      </x:c>
      <x:c r="C1060" s="7" t="str">
        <x:v>Summit</x:v>
      </x:c>
      <x:c r="D1060" s="7" t="str">
        <x:v>2nd</x:v>
      </x:c>
      <x:c r="E1060" s="7" t="str">
        <x:v>Chamber</x:v>
      </x:c>
      <x:c r="F1060" s="7" t="n">
        <x:v>13</x:v>
      </x:c>
      <x:c r="G1060" s="7" t="n">
        <x:v>7</x:v>
      </x:c>
      <x:c r="H1060" s="7" t="str">
        <x:f>IF(F1060&gt;G1060,"Win",IF(F1060&lt;G1060,"Loss","Draw"))</x:f>
        <x:v>Win</x:v>
      </x:c>
      <x:c r="I1060" s="7" t="n">
        <x:f>IF(H1060="Win",1,0)</x:f>
        <x:v>1</x:v>
      </x:c>
      <x:c r="J1060" s="7" t="n">
        <x:f>F1060-G1060</x:f>
        <x:v>6</x:v>
      </x:c>
      <x:c r="K1060" s="7" t="n">
        <x:f>F1060+G1060</x:f>
        <x:v>20</x:v>
      </x:c>
      <x:c r="L1060" s="7" t="n">
        <x:v>18</x:v>
      </x:c>
      <x:c r="M1060" s="7" t="n">
        <x:v>16</x:v>
      </x:c>
      <x:c r="N1060" s="7" t="n">
        <x:v>5</x:v>
      </x:c>
      <x:c r="O1060" s="9" t="n">
        <x:f>IF(M1060=0,"n.a.",L1060/M1060)</x:f>
        <x:v>1.125</x:v>
      </x:c>
      <x:c r="P1060" s="9" t="n">
        <x:f>IF(K1060=0,"n.a.",L1060/K1060)</x:f>
        <x:v>0.9</x:v>
      </x:c>
      <x:c r="Q1060" s="9" t="n">
        <x:f>IF(K1060=0,"n.a.",M1060/K1060)</x:f>
        <x:v>0.8</x:v>
      </x:c>
      <x:c r="R1060" s="9" t="n">
        <x:f>IF(K1060=0,"n.a.",N1060/K1060)</x:f>
        <x:v>0.25</x:v>
      </x:c>
      <x:c r="S1060" s="7" t="n">
        <x:v>9</x:v>
      </x:c>
      <x:c r="T1060" s="10" t="n">
        <x:v>0.56</x:v>
      </x:c>
      <x:c r="U1060" s="7" t="n">
        <x:v>242</x:v>
      </x:c>
      <x:c r="V1060" s="7" t="n">
        <x:v>659</x:v>
      </x:c>
    </x:row>
    <x:row r="1061" ht="16" customHeight="1">
      <x:c r="A1061" s="7" t="n">
        <x:v>1058</x:v>
      </x:c>
      <x:c r="B1061" s="8" t="n">
        <x:v>46275</x:v>
      </x:c>
      <x:c r="C1061" s="7" t="str">
        <x:v>Sunset</x:v>
      </x:c>
      <x:c r="D1061" s="7" t="str">
        <x:v>6th</x:v>
      </x:c>
      <x:c r="E1061" s="7" t="str">
        <x:v>Neon</x:v>
      </x:c>
      <x:c r="F1061" s="7" t="n">
        <x:v>11</x:v>
      </x:c>
      <x:c r="G1061" s="7" t="n">
        <x:v>13</x:v>
      </x:c>
      <x:c r="H1061" s="7" t="str">
        <x:f>IF(F1061&gt;G1061,"Win",IF(F1061&lt;G1061,"Loss","Draw"))</x:f>
        <x:v>Loss</x:v>
      </x:c>
      <x:c r="I1061" s="7" t="n">
        <x:f>IF(H1061="Win",1,0)</x:f>
        <x:v>0</x:v>
      </x:c>
      <x:c r="J1061" s="7" t="n">
        <x:f>F1061-G1061</x:f>
        <x:v>-2</x:v>
      </x:c>
      <x:c r="K1061" s="7" t="n">
        <x:f>F1061+G1061</x:f>
        <x:v>24</x:v>
      </x:c>
      <x:c r="L1061" s="7" t="n">
        <x:v>16</x:v>
      </x:c>
      <x:c r="M1061" s="7" t="n">
        <x:v>19</x:v>
      </x:c>
      <x:c r="N1061" s="7" t="n">
        <x:v>4</x:v>
      </x:c>
      <x:c r="O1061" s="9" t="n">
        <x:f>IF(M1061=0,"n.a.",L1061/M1061)</x:f>
        <x:v>0.8421052631578947</x:v>
      </x:c>
      <x:c r="P1061" s="9" t="n">
        <x:f>IF(K1061=0,"n.a.",L1061/K1061)</x:f>
        <x:v>0.6666666666666666</x:v>
      </x:c>
      <x:c r="Q1061" s="9" t="n">
        <x:f>IF(K1061=0,"n.a.",M1061/K1061)</x:f>
        <x:v>0.7916666666666666</x:v>
      </x:c>
      <x:c r="R1061" s="9" t="n">
        <x:f>IF(K1061=0,"n.a.",N1061/K1061)</x:f>
        <x:v>0.16666666666666666</x:v>
      </x:c>
      <x:c r="S1061" s="7" t="n">
        <x:v>-42</x:v>
      </x:c>
      <x:c r="T1061" s="10" t="n">
        <x:v>0.27</x:v>
      </x:c>
      <x:c r="U1061" s="7" t="n">
        <x:v>191</x:v>
      </x:c>
      <x:c r="V1061" s="7" t="n">
        <x:v>464</x:v>
      </x:c>
    </x:row>
    <x:row r="1062" ht="16" customHeight="1">
      <x:c r="A1062" s="7" t="n">
        <x:v>1059</x:v>
      </x:c>
      <x:c r="B1062" s="8" t="n">
        <x:v>46276</x:v>
      </x:c>
      <x:c r="C1062" s="7" t="str">
        <x:v>Ascent</x:v>
      </x:c>
      <x:c r="D1062" s="7" t="str">
        <x:v>4th</x:v>
      </x:c>
      <x:c r="E1062" s="7" t="str">
        <x:v>Phoenix</x:v>
      </x:c>
      <x:c r="F1062" s="7" t="n">
        <x:v>6</x:v>
      </x:c>
      <x:c r="G1062" s="7" t="n">
        <x:v>13</x:v>
      </x:c>
      <x:c r="H1062" s="7" t="str">
        <x:f>IF(F1062&gt;G1062,"Win",IF(F1062&lt;G1062,"Loss","Draw"))</x:f>
        <x:v>Loss</x:v>
      </x:c>
      <x:c r="I1062" s="7" t="n">
        <x:f>IF(H1062="Win",1,0)</x:f>
        <x:v>0</x:v>
      </x:c>
      <x:c r="J1062" s="7" t="n">
        <x:f>F1062-G1062</x:f>
        <x:v>-7</x:v>
      </x:c>
      <x:c r="K1062" s="7" t="n">
        <x:f>F1062+G1062</x:f>
        <x:v>19</x:v>
      </x:c>
      <x:c r="L1062" s="7" t="n">
        <x:v>16</x:v>
      </x:c>
      <x:c r="M1062" s="7" t="n">
        <x:v>18</x:v>
      </x:c>
      <x:c r="N1062" s="7" t="n">
        <x:v>2</x:v>
      </x:c>
      <x:c r="O1062" s="9" t="n">
        <x:f>IF(M1062=0,"n.a.",L1062/M1062)</x:f>
        <x:v>0.8888888888888888</x:v>
      </x:c>
      <x:c r="P1062" s="9" t="n">
        <x:f>IF(K1062=0,"n.a.",L1062/K1062)</x:f>
        <x:v>0.8421052631578947</x:v>
      </x:c>
      <x:c r="Q1062" s="9" t="n">
        <x:f>IF(K1062=0,"n.a.",M1062/K1062)</x:f>
        <x:v>0.9473684210526315</x:v>
      </x:c>
      <x:c r="R1062" s="9" t="n">
        <x:f>IF(K1062=0,"n.a.",N1062/K1062)</x:f>
        <x:v>0.10526315789473684</x:v>
      </x:c>
      <x:c r="S1062" s="7" t="n">
        <x:v>-38</x:v>
      </x:c>
      <x:c r="T1062" s="10" t="n">
        <x:v>0.25</x:v>
      </x:c>
      <x:c r="U1062" s="7" t="n">
        <x:v>252</x:v>
      </x:c>
      <x:c r="V1062" s="7" t="n">
        <x:v>409</x:v>
      </x:c>
    </x:row>
    <x:row r="1063" ht="16" customHeight="1">
      <x:c r="A1063" s="7" t="n">
        <x:v>1060</x:v>
      </x:c>
      <x:c r="B1063" s="8" t="n">
        <x:v>46276</x:v>
      </x:c>
      <x:c r="C1063" s="7" t="str">
        <x:v>Haven</x:v>
      </x:c>
      <x:c r="D1063" s="7" t="str">
        <x:v>7th</x:v>
      </x:c>
      <x:c r="E1063" s="7" t="str">
        <x:v>Clove</x:v>
      </x:c>
      <x:c r="F1063" s="7" t="n">
        <x:v>8</x:v>
      </x:c>
      <x:c r="G1063" s="7" t="n">
        <x:v>13</x:v>
      </x:c>
      <x:c r="H1063" s="7" t="str">
        <x:f>IF(F1063&gt;G1063,"Win",IF(F1063&lt;G1063,"Loss","Draw"))</x:f>
        <x:v>Loss</x:v>
      </x:c>
      <x:c r="I1063" s="7" t="n">
        <x:f>IF(H1063="Win",1,0)</x:f>
        <x:v>0</x:v>
      </x:c>
      <x:c r="J1063" s="7" t="n">
        <x:f>F1063-G1063</x:f>
        <x:v>-5</x:v>
      </x:c>
      <x:c r="K1063" s="7" t="n">
        <x:f>F1063+G1063</x:f>
        <x:v>21</x:v>
      </x:c>
      <x:c r="L1063" s="7" t="n">
        <x:v>13</x:v>
      </x:c>
      <x:c r="M1063" s="7" t="n">
        <x:v>21</x:v>
      </x:c>
      <x:c r="N1063" s="7" t="n">
        <x:v>3</x:v>
      </x:c>
      <x:c r="O1063" s="9" t="n">
        <x:f>IF(M1063=0,"n.a.",L1063/M1063)</x:f>
        <x:v>0.6190476190476191</x:v>
      </x:c>
      <x:c r="P1063" s="9" t="n">
        <x:f>IF(K1063=0,"n.a.",L1063/K1063)</x:f>
        <x:v>0.6190476190476191</x:v>
      </x:c>
      <x:c r="Q1063" s="9" t="n">
        <x:f>IF(K1063=0,"n.a.",M1063/K1063)</x:f>
        <x:v>1</x:v>
      </x:c>
      <x:c r="R1063" s="9" t="n">
        <x:f>IF(K1063=0,"n.a.",N1063/K1063)</x:f>
        <x:v>0.14285714285714285</x:v>
      </x:c>
      <x:c r="S1063" s="7" t="n">
        <x:v>-58</x:v>
      </x:c>
      <x:c r="T1063" s="10" t="n">
        <x:v>0.41</x:v>
      </x:c>
      <x:c r="U1063" s="7" t="n">
        <x:v>177</x:v>
      </x:c>
      <x:c r="V1063" s="7" t="n">
        <x:v>297</x:v>
      </x:c>
    </x:row>
    <x:row r="1064" ht="16" customHeight="1">
      <x:c r="A1064" s="7" t="n">
        <x:v>1061</x:v>
      </x:c>
      <x:c r="B1064" s="8" t="n">
        <x:v>46276</x:v>
      </x:c>
      <x:c r="C1064" s="7" t="str">
        <x:v>Summit</x:v>
      </x:c>
      <x:c r="D1064" s="7" t="str">
        <x:v>MVP</x:v>
      </x:c>
      <x:c r="E1064" s="7" t="str">
        <x:v>Clove</x:v>
      </x:c>
      <x:c r="F1064" s="7" t="n">
        <x:v>8</x:v>
      </x:c>
      <x:c r="G1064" s="7" t="n">
        <x:v>13</x:v>
      </x:c>
      <x:c r="H1064" s="7" t="str">
        <x:f>IF(F1064&gt;G1064,"Win",IF(F1064&lt;G1064,"Loss","Draw"))</x:f>
        <x:v>Loss</x:v>
      </x:c>
      <x:c r="I1064" s="7" t="n">
        <x:f>IF(H1064="Win",1,0)</x:f>
        <x:v>0</x:v>
      </x:c>
      <x:c r="J1064" s="7" t="n">
        <x:f>F1064-G1064</x:f>
        <x:v>-5</x:v>
      </x:c>
      <x:c r="K1064" s="7" t="n">
        <x:f>F1064+G1064</x:f>
        <x:v>21</x:v>
      </x:c>
      <x:c r="L1064" s="7" t="n">
        <x:v>32</x:v>
      </x:c>
      <x:c r="M1064" s="7" t="n">
        <x:v>22</x:v>
      </x:c>
      <x:c r="N1064" s="7" t="n">
        <x:v>6</x:v>
      </x:c>
      <x:c r="O1064" s="9" t="n">
        <x:f>IF(M1064=0,"n.a.",L1064/M1064)</x:f>
        <x:v>1.4545454545454546</x:v>
      </x:c>
      <x:c r="P1064" s="9" t="n">
        <x:f>IF(K1064=0,"n.a.",L1064/K1064)</x:f>
        <x:v>1.5238095238095237</x:v>
      </x:c>
      <x:c r="Q1064" s="9" t="n">
        <x:f>IF(K1064=0,"n.a.",M1064/K1064)</x:f>
        <x:v>1.0476190476190477</x:v>
      </x:c>
      <x:c r="R1064" s="9" t="n">
        <x:f>IF(K1064=0,"n.a.",N1064/K1064)</x:f>
        <x:v>0.2857142857142857</x:v>
      </x:c>
      <x:c r="S1064" s="7" t="n">
        <x:v>90</x:v>
      </x:c>
      <x:c r="T1064" s="10" t="n">
        <x:v>0.42</x:v>
      </x:c>
      <x:c r="U1064" s="7" t="n">
        <x:v>444</x:v>
      </x:c>
      <x:c r="V1064" s="7" t="n">
        <x:v>896</x:v>
      </x:c>
    </x:row>
    <x:row r="1065" ht="16" customHeight="1">
      <x:c r="A1065" s="7" t="n">
        <x:v>1062</x:v>
      </x:c>
      <x:c r="B1065" s="8" t="n">
        <x:v>46276</x:v>
      </x:c>
      <x:c r="C1065" s="7" t="str">
        <x:v>Split</x:v>
      </x:c>
      <x:c r="D1065" s="7" t="str">
        <x:v>5th</x:v>
      </x:c>
      <x:c r="E1065" s="7" t="str">
        <x:v>Neon</x:v>
      </x:c>
      <x:c r="F1065" s="7" t="n">
        <x:v>11</x:v>
      </x:c>
      <x:c r="G1065" s="7" t="n">
        <x:v>13</x:v>
      </x:c>
      <x:c r="H1065" s="7" t="str">
        <x:f>IF(F1065&gt;G1065,"Win",IF(F1065&lt;G1065,"Loss","Draw"))</x:f>
        <x:v>Loss</x:v>
      </x:c>
      <x:c r="I1065" s="7" t="n">
        <x:f>IF(H1065="Win",1,0)</x:f>
        <x:v>0</x:v>
      </x:c>
      <x:c r="J1065" s="7" t="n">
        <x:f>F1065-G1065</x:f>
        <x:v>-2</x:v>
      </x:c>
      <x:c r="K1065" s="7" t="n">
        <x:f>F1065+G1065</x:f>
        <x:v>24</x:v>
      </x:c>
      <x:c r="L1065" s="7" t="n">
        <x:v>19</x:v>
      </x:c>
      <x:c r="M1065" s="7" t="n">
        <x:v>21</x:v>
      </x:c>
      <x:c r="N1065" s="7" t="n">
        <x:v>4</x:v>
      </x:c>
      <x:c r="O1065" s="9" t="n">
        <x:f>IF(M1065=0,"n.a.",L1065/M1065)</x:f>
        <x:v>0.9047619047619048</x:v>
      </x:c>
      <x:c r="P1065" s="9" t="n">
        <x:f>IF(K1065=0,"n.a.",L1065/K1065)</x:f>
        <x:v>0.7916666666666666</x:v>
      </x:c>
      <x:c r="Q1065" s="9" t="n">
        <x:f>IF(K1065=0,"n.a.",M1065/K1065)</x:f>
        <x:v>0.875</x:v>
      </x:c>
      <x:c r="R1065" s="9" t="n">
        <x:f>IF(K1065=0,"n.a.",N1065/K1065)</x:f>
        <x:v>0.16666666666666666</x:v>
      </x:c>
      <x:c r="S1065" s="7" t="n">
        <x:v>-26</x:v>
      </x:c>
      <x:c r="T1065" s="10" t="n">
        <x:v>0.26</x:v>
      </x:c>
      <x:c r="U1065" s="7" t="n">
        <x:v>224</x:v>
      </x:c>
      <x:c r="V1065" s="7" t="n">
        <x:v>439</x:v>
      </x:c>
    </x:row>
    <x:row r="1066" ht="16" customHeight="1">
      <x:c r="A1066" s="7" t="n">
        <x:v>1063</x:v>
      </x:c>
      <x:c r="B1066" s="8" t="n">
        <x:v>46277</x:v>
      </x:c>
      <x:c r="C1066" s="7" t="str">
        <x:v>Summit</x:v>
      </x:c>
      <x:c r="D1066" s="7" t="str">
        <x:v>2nd</x:v>
      </x:c>
      <x:c r="E1066" s="7" t="str">
        <x:v>Neon</x:v>
      </x:c>
      <x:c r="F1066" s="7" t="n">
        <x:v>13</x:v>
      </x:c>
      <x:c r="G1066" s="7" t="n">
        <x:v>11</x:v>
      </x:c>
      <x:c r="H1066" s="7" t="str">
        <x:f>IF(F1066&gt;G1066,"Win",IF(F1066&lt;G1066,"Loss","Draw"))</x:f>
        <x:v>Win</x:v>
      </x:c>
      <x:c r="I1066" s="7" t="n">
        <x:f>IF(H1066="Win",1,0)</x:f>
        <x:v>1</x:v>
      </x:c>
      <x:c r="J1066" s="7" t="n">
        <x:f>F1066-G1066</x:f>
        <x:v>2</x:v>
      </x:c>
      <x:c r="K1066" s="7" t="n">
        <x:f>F1066+G1066</x:f>
        <x:v>24</x:v>
      </x:c>
      <x:c r="L1066" s="7" t="n">
        <x:v>23</x:v>
      </x:c>
      <x:c r="M1066" s="7" t="n">
        <x:v>17</x:v>
      </x:c>
      <x:c r="N1066" s="7" t="n">
        <x:v>2</x:v>
      </x:c>
      <x:c r="O1066" s="9" t="n">
        <x:f>IF(M1066=0,"n.a.",L1066/M1066)</x:f>
        <x:v>1.3529411764705883</x:v>
      </x:c>
      <x:c r="P1066" s="9" t="n">
        <x:f>IF(K1066=0,"n.a.",L1066/K1066)</x:f>
        <x:v>0.9583333333333334</x:v>
      </x:c>
      <x:c r="Q1066" s="9" t="n">
        <x:f>IF(K1066=0,"n.a.",M1066/K1066)</x:f>
        <x:v>0.7083333333333334</x:v>
      </x:c>
      <x:c r="R1066" s="9" t="n">
        <x:f>IF(K1066=0,"n.a.",N1066/K1066)</x:f>
        <x:v>0.08333333333333333</x:v>
      </x:c>
      <x:c r="S1066" s="7" t="n">
        <x:v>12</x:v>
      </x:c>
      <x:c r="T1066" s="10" t="n">
        <x:v>0.24</x:v>
      </x:c>
      <x:c r="U1066" s="7" t="n">
        <x:v>246</x:v>
      </x:c>
      <x:c r="V1066" s="7" t="n">
        <x:v>537</x:v>
      </x:c>
    </x:row>
    <x:row r="1067" ht="16" customHeight="1">
      <x:c r="A1067" s="7" t="n">
        <x:v>1064</x:v>
      </x:c>
      <x:c r="B1067" s="8" t="n">
        <x:v>46277</x:v>
      </x:c>
      <x:c r="C1067" s="7" t="str">
        <x:v>Lotus</x:v>
      </x:c>
      <x:c r="D1067" s="7" t="str">
        <x:v>8th</x:v>
      </x:c>
      <x:c r="E1067" s="7" t="str">
        <x:v>Clove</x:v>
      </x:c>
      <x:c r="F1067" s="7" t="n">
        <x:v>13</x:v>
      </x:c>
      <x:c r="G1067" s="7" t="n">
        <x:v>9</x:v>
      </x:c>
      <x:c r="H1067" s="7" t="str">
        <x:f>IF(F1067&gt;G1067,"Win",IF(F1067&lt;G1067,"Loss","Draw"))</x:f>
        <x:v>Win</x:v>
      </x:c>
      <x:c r="I1067" s="7" t="n">
        <x:f>IF(H1067="Win",1,0)</x:f>
        <x:v>1</x:v>
      </x:c>
      <x:c r="J1067" s="7" t="n">
        <x:f>F1067-G1067</x:f>
        <x:v>4</x:v>
      </x:c>
      <x:c r="K1067" s="7" t="n">
        <x:f>F1067+G1067</x:f>
        <x:v>22</x:v>
      </x:c>
      <x:c r="L1067" s="7" t="n">
        <x:v>12</x:v>
      </x:c>
      <x:c r="M1067" s="7" t="n">
        <x:v>20</x:v>
      </x:c>
      <x:c r="N1067" s="7" t="n">
        <x:v>7</x:v>
      </x:c>
      <x:c r="O1067" s="9" t="n">
        <x:f>IF(M1067=0,"n.a.",L1067/M1067)</x:f>
        <x:v>0.6</x:v>
      </x:c>
      <x:c r="P1067" s="9" t="n">
        <x:f>IF(K1067=0,"n.a.",L1067/K1067)</x:f>
        <x:v>0.5454545454545454</x:v>
      </x:c>
      <x:c r="Q1067" s="9" t="n">
        <x:f>IF(K1067=0,"n.a.",M1067/K1067)</x:f>
        <x:v>0.9090909090909091</x:v>
      </x:c>
      <x:c r="R1067" s="9" t="n">
        <x:f>IF(K1067=0,"n.a.",N1067/K1067)</x:f>
        <x:v>0.3181818181818182</x:v>
      </x:c>
      <x:c r="S1067" s="7" t="n">
        <x:v>-32</x:v>
      </x:c>
      <x:c r="T1067" s="10" t="n">
        <x:v>0.33</x:v>
      </x:c>
      <x:c r="U1067" s="7" t="n">
        <x:v>168</x:v>
      </x:c>
      <x:c r="V1067" s="7" t="n">
        <x:v>440</x:v>
      </x:c>
    </x:row>
    <x:row r="1068" ht="16" customHeight="1">
      <x:c r="A1068" s="7" t="n">
        <x:v>1065</x:v>
      </x:c>
      <x:c r="B1068" s="8" t="n">
        <x:v>46277</x:v>
      </x:c>
      <x:c r="C1068" s="7" t="str">
        <x:v>Haven</x:v>
      </x:c>
      <x:c r="D1068" s="7" t="str">
        <x:v>10th</x:v>
      </x:c>
      <x:c r="E1068" s="7" t="str">
        <x:v>Neon</x:v>
      </x:c>
      <x:c r="F1068" s="7" t="n">
        <x:v>13</x:v>
      </x:c>
      <x:c r="G1068" s="7" t="n">
        <x:v>9</x:v>
      </x:c>
      <x:c r="H1068" s="7" t="str">
        <x:f>IF(F1068&gt;G1068,"Win",IF(F1068&lt;G1068,"Loss","Draw"))</x:f>
        <x:v>Win</x:v>
      </x:c>
      <x:c r="I1068" s="7" t="n">
        <x:f>IF(H1068="Win",1,0)</x:f>
        <x:v>1</x:v>
      </x:c>
      <x:c r="J1068" s="7" t="n">
        <x:f>F1068-G1068</x:f>
        <x:v>4</x:v>
      </x:c>
      <x:c r="K1068" s="7" t="n">
        <x:f>F1068+G1068</x:f>
        <x:v>22</x:v>
      </x:c>
      <x:c r="L1068" s="7" t="n">
        <x:v>13</x:v>
      </x:c>
      <x:c r="M1068" s="7" t="n">
        <x:v>20</x:v>
      </x:c>
      <x:c r="N1068" s="7" t="n">
        <x:v>2</x:v>
      </x:c>
      <x:c r="O1068" s="9" t="n">
        <x:f>IF(M1068=0,"n.a.",L1068/M1068)</x:f>
        <x:v>0.65</x:v>
      </x:c>
      <x:c r="P1068" s="9" t="n">
        <x:f>IF(K1068=0,"n.a.",L1068/K1068)</x:f>
        <x:v>0.5909090909090909</x:v>
      </x:c>
      <x:c r="Q1068" s="9" t="n">
        <x:f>IF(K1068=0,"n.a.",M1068/K1068)</x:f>
        <x:v>0.9090909090909091</x:v>
      </x:c>
      <x:c r="R1068" s="9" t="n">
        <x:f>IF(K1068=0,"n.a.",N1068/K1068)</x:f>
        <x:v>0.09090909090909091</x:v>
      </x:c>
      <x:c r="S1068" s="7" t="n">
        <x:v>-70</x:v>
      </x:c>
      <x:c r="T1068" s="10" t="n">
        <x:v>0.18</x:v>
      </x:c>
      <x:c r="U1068" s="7" t="n">
        <x:v>157</x:v>
      </x:c>
      <x:c r="V1068" s="7" t="n">
        <x:v>301</x:v>
      </x:c>
    </x:row>
    <x:row r="1069" ht="16" customHeight="1">
      <x:c r="A1069" s="7" t="n">
        <x:v>1066</x:v>
      </x:c>
      <x:c r="B1069" s="8" t="n">
        <x:v>46278</x:v>
      </x:c>
      <x:c r="C1069" s="7" t="str">
        <x:v>Lotus</x:v>
      </x:c>
      <x:c r="D1069" s="7" t="str">
        <x:v>3rd</x:v>
      </x:c>
      <x:c r="E1069" s="7" t="str">
        <x:v>Clove</x:v>
      </x:c>
      <x:c r="F1069" s="7" t="n">
        <x:v>13</x:v>
      </x:c>
      <x:c r="G1069" s="7" t="n">
        <x:v>4</x:v>
      </x:c>
      <x:c r="H1069" s="7" t="str">
        <x:f>IF(F1069&gt;G1069,"Win",IF(F1069&lt;G1069,"Loss","Draw"))</x:f>
        <x:v>Win</x:v>
      </x:c>
      <x:c r="I1069" s="7" t="n">
        <x:f>IF(H1069="Win",1,0)</x:f>
        <x:v>1</x:v>
      </x:c>
      <x:c r="J1069" s="7" t="n">
        <x:f>F1069-G1069</x:f>
        <x:v>9</x:v>
      </x:c>
      <x:c r="K1069" s="7" t="n">
        <x:f>F1069+G1069</x:f>
        <x:v>17</x:v>
      </x:c>
      <x:c r="L1069" s="7" t="n">
        <x:v>18</x:v>
      </x:c>
      <x:c r="M1069" s="7" t="n">
        <x:v>16</x:v>
      </x:c>
      <x:c r="N1069" s="7" t="n">
        <x:v>1</x:v>
      </x:c>
      <x:c r="O1069" s="9" t="n">
        <x:f>IF(M1069=0,"n.a.",L1069/M1069)</x:f>
        <x:v>1.125</x:v>
      </x:c>
      <x:c r="P1069" s="9" t="n">
        <x:f>IF(K1069=0,"n.a.",L1069/K1069)</x:f>
        <x:v>1.0588235294117647</x:v>
      </x:c>
      <x:c r="Q1069" s="9" t="n">
        <x:f>IF(K1069=0,"n.a.",M1069/K1069)</x:f>
        <x:v>0.9411764705882353</x:v>
      </x:c>
      <x:c r="R1069" s="9" t="n">
        <x:f>IF(K1069=0,"n.a.",N1069/K1069)</x:f>
        <x:v>0.058823529411764705</x:v>
      </x:c>
      <x:c r="S1069" s="7" t="n">
        <x:v>3</x:v>
      </x:c>
      <x:c r="T1069" s="10" t="n">
        <x:v>0.49</x:v>
      </x:c>
      <x:c r="U1069" s="7" t="n">
        <x:v>265</x:v>
      </x:c>
      <x:c r="V1069" s="7" t="n">
        <x:v>596</x:v>
      </x:c>
    </x:row>
    <x:row r="1070" ht="16" customHeight="1">
      <x:c r="A1070" s="7" t="n">
        <x:v>1067</x:v>
      </x:c>
      <x:c r="B1070" s="8" t="n">
        <x:v>46278</x:v>
      </x:c>
      <x:c r="C1070" s="7" t="str">
        <x:v>Abyss</x:v>
      </x:c>
      <x:c r="D1070" s="7" t="str">
        <x:v>4th</x:v>
      </x:c>
      <x:c r="E1070" s="7" t="str">
        <x:v>Clove</x:v>
      </x:c>
      <x:c r="F1070" s="7" t="n">
        <x:v>13</x:v>
      </x:c>
      <x:c r="G1070" s="7" t="n">
        <x:v>4</x:v>
      </x:c>
      <x:c r="H1070" s="7" t="str">
        <x:f>IF(F1070&gt;G1070,"Win",IF(F1070&lt;G1070,"Loss","Draw"))</x:f>
        <x:v>Win</x:v>
      </x:c>
      <x:c r="I1070" s="7" t="n">
        <x:f>IF(H1070="Win",1,0)</x:f>
        <x:v>1</x:v>
      </x:c>
      <x:c r="J1070" s="7" t="n">
        <x:f>F1070-G1070</x:f>
        <x:v>9</x:v>
      </x:c>
      <x:c r="K1070" s="7" t="n">
        <x:f>F1070+G1070</x:f>
        <x:v>17</x:v>
      </x:c>
      <x:c r="L1070" s="7" t="n">
        <x:v>17</x:v>
      </x:c>
      <x:c r="M1070" s="7" t="n">
        <x:v>13</x:v>
      </x:c>
      <x:c r="N1070" s="7" t="n">
        <x:v>2</x:v>
      </x:c>
      <x:c r="O1070" s="9" t="n">
        <x:f>IF(M1070=0,"n.a.",L1070/M1070)</x:f>
        <x:v>1.3076923076923077</x:v>
      </x:c>
      <x:c r="P1070" s="9" t="n">
        <x:f>IF(K1070=0,"n.a.",L1070/K1070)</x:f>
        <x:v>1</x:v>
      </x:c>
      <x:c r="Q1070" s="9" t="n">
        <x:f>IF(K1070=0,"n.a.",M1070/K1070)</x:f>
        <x:v>0.7647058823529411</x:v>
      </x:c>
      <x:c r="R1070" s="9" t="n">
        <x:f>IF(K1070=0,"n.a.",N1070/K1070)</x:f>
        <x:v>0.11764705882352941</x:v>
      </x:c>
      <x:c r="S1070" s="7" t="n">
        <x:v>-17</x:v>
      </x:c>
      <x:c r="T1070" s="10" t="n">
        <x:v>0.39</x:v>
      </x:c>
      <x:c r="U1070" s="7" t="n">
        <x:v>241</x:v>
      </x:c>
      <x:c r="V1070" s="7" t="n">
        <x:v>672</x:v>
      </x:c>
    </x:row>
    <x:row r="1071" ht="16" customHeight="1">
      <x:c r="A1071" s="7" t="n">
        <x:v>1068</x:v>
      </x:c>
      <x:c r="B1071" s="8" t="n">
        <x:v>46278</x:v>
      </x:c>
      <x:c r="C1071" s="7" t="str">
        <x:v>Split</x:v>
      </x:c>
      <x:c r="D1071" s="7" t="str">
        <x:v>4th</x:v>
      </x:c>
      <x:c r="E1071" s="7" t="str">
        <x:v>Neon</x:v>
      </x:c>
      <x:c r="F1071" s="7" t="n">
        <x:v>12</x:v>
      </x:c>
      <x:c r="G1071" s="7" t="n">
        <x:v>14</x:v>
      </x:c>
      <x:c r="H1071" s="7" t="str">
        <x:f>IF(F1071&gt;G1071,"Win",IF(F1071&lt;G1071,"Loss","Draw"))</x:f>
        <x:v>Loss</x:v>
      </x:c>
      <x:c r="I1071" s="7" t="n">
        <x:f>IF(H1071="Win",1,0)</x:f>
        <x:v>0</x:v>
      </x:c>
      <x:c r="J1071" s="7" t="n">
        <x:f>F1071-G1071</x:f>
        <x:v>-2</x:v>
      </x:c>
      <x:c r="K1071" s="7" t="n">
        <x:f>F1071+G1071</x:f>
        <x:v>26</x:v>
      </x:c>
      <x:c r="L1071" s="7" t="n">
        <x:v>23</x:v>
      </x:c>
      <x:c r="M1071" s="7" t="n">
        <x:v>22</x:v>
      </x:c>
      <x:c r="N1071" s="7" t="n">
        <x:v>5</x:v>
      </x:c>
      <x:c r="O1071" s="9" t="n">
        <x:f>IF(M1071=0,"n.a.",L1071/M1071)</x:f>
        <x:v>1.0454545454545454</x:v>
      </x:c>
      <x:c r="P1071" s="9" t="n">
        <x:f>IF(K1071=0,"n.a.",L1071/K1071)</x:f>
        <x:v>0.8846153846153846</x:v>
      </x:c>
      <x:c r="Q1071" s="9" t="n">
        <x:f>IF(K1071=0,"n.a.",M1071/K1071)</x:f>
        <x:v>0.8461538461538461</x:v>
      </x:c>
      <x:c r="R1071" s="9" t="n">
        <x:f>IF(K1071=0,"n.a.",N1071/K1071)</x:f>
        <x:v>0.19230769230769232</x:v>
      </x:c>
      <x:c r="S1071" s="7" t="n">
        <x:v>4</x:v>
      </x:c>
      <x:c r="T1071" s="10" t="n">
        <x:v>0.22</x:v>
      </x:c>
      <x:c r="U1071" s="7" t="n">
        <x:v>262</x:v>
      </x:c>
      <x:c r="V1071" s="7" t="n">
        <x:v>687</x:v>
      </x:c>
    </x:row>
    <x:row r="1072" ht="16" customHeight="1">
      <x:c r="A1072" s="7" t="n">
        <x:v>1069</x:v>
      </x:c>
      <x:c r="B1072" s="8" t="n">
        <x:v>46278</x:v>
      </x:c>
      <x:c r="C1072" s="7" t="str">
        <x:v>Sunset</x:v>
      </x:c>
      <x:c r="D1072" s="7" t="str">
        <x:v>9th</x:v>
      </x:c>
      <x:c r="E1072" s="7" t="str">
        <x:v>Neon</x:v>
      </x:c>
      <x:c r="F1072" s="7" t="n">
        <x:v>10</x:v>
      </x:c>
      <x:c r="G1072" s="7" t="n">
        <x:v>13</x:v>
      </x:c>
      <x:c r="H1072" s="7" t="str">
        <x:f>IF(F1072&gt;G1072,"Win",IF(F1072&lt;G1072,"Loss","Draw"))</x:f>
        <x:v>Loss</x:v>
      </x:c>
      <x:c r="I1072" s="7" t="n">
        <x:f>IF(H1072="Win",1,0)</x:f>
        <x:v>0</x:v>
      </x:c>
      <x:c r="J1072" s="7" t="n">
        <x:f>F1072-G1072</x:f>
        <x:v>-3</x:v>
      </x:c>
      <x:c r="K1072" s="7" t="n">
        <x:f>F1072+G1072</x:f>
        <x:v>23</x:v>
      </x:c>
      <x:c r="L1072" s="7" t="n">
        <x:v>13</x:v>
      </x:c>
      <x:c r="M1072" s="7" t="n">
        <x:v>19</x:v>
      </x:c>
      <x:c r="N1072" s="7" t="n">
        <x:v>1</x:v>
      </x:c>
      <x:c r="O1072" s="9" t="n">
        <x:f>IF(M1072=0,"n.a.",L1072/M1072)</x:f>
        <x:v>0.6842105263157895</x:v>
      </x:c>
      <x:c r="P1072" s="9" t="n">
        <x:f>IF(K1072=0,"n.a.",L1072/K1072)</x:f>
        <x:v>0.5652173913043478</x:v>
      </x:c>
      <x:c r="Q1072" s="9" t="n">
        <x:f>IF(K1072=0,"n.a.",M1072/K1072)</x:f>
        <x:v>0.8260869565217391</x:v>
      </x:c>
      <x:c r="R1072" s="9" t="n">
        <x:f>IF(K1072=0,"n.a.",N1072/K1072)</x:f>
        <x:v>0.043478260869565216</x:v>
      </x:c>
      <x:c r="S1072" s="7" t="n">
        <x:v>-45</x:v>
      </x:c>
      <x:c r="T1072" s="10" t="n">
        <x:v>0.42</x:v>
      </x:c>
      <x:c r="U1072" s="7" t="n">
        <x:v>159</x:v>
      </x:c>
      <x:c r="V1072" s="7" t="n">
        <x:v>234</x:v>
      </x:c>
    </x:row>
    <x:row r="1073" ht="16" customHeight="1">
      <x:c r="A1073" s="7" t="n">
        <x:v>1070</x:v>
      </x:c>
      <x:c r="B1073" s="8" t="n">
        <x:v>46278</x:v>
      </x:c>
      <x:c r="C1073" s="7" t="str">
        <x:v>Sunset</x:v>
      </x:c>
      <x:c r="D1073" s="7" t="str">
        <x:v>6th</x:v>
      </x:c>
      <x:c r="E1073" s="7" t="str">
        <x:v>Neon</x:v>
      </x:c>
      <x:c r="F1073" s="7" t="n">
        <x:v>13</x:v>
      </x:c>
      <x:c r="G1073" s="7" t="n">
        <x:v>6</x:v>
      </x:c>
      <x:c r="H1073" s="7" t="str">
        <x:f>IF(F1073&gt;G1073,"Win",IF(F1073&lt;G1073,"Loss","Draw"))</x:f>
        <x:v>Win</x:v>
      </x:c>
      <x:c r="I1073" s="7" t="n">
        <x:f>IF(H1073="Win",1,0)</x:f>
        <x:v>1</x:v>
      </x:c>
      <x:c r="J1073" s="7" t="n">
        <x:f>F1073-G1073</x:f>
        <x:v>7</x:v>
      </x:c>
      <x:c r="K1073" s="7" t="n">
        <x:f>F1073+G1073</x:f>
        <x:v>19</x:v>
      </x:c>
      <x:c r="L1073" s="7" t="n">
        <x:v>15</x:v>
      </x:c>
      <x:c r="M1073" s="7" t="n">
        <x:v>16</x:v>
      </x:c>
      <x:c r="N1073" s="7" t="n">
        <x:v>2</x:v>
      </x:c>
      <x:c r="O1073" s="9" t="n">
        <x:f>IF(M1073=0,"n.a.",L1073/M1073)</x:f>
        <x:v>0.9375</x:v>
      </x:c>
      <x:c r="P1073" s="9" t="n">
        <x:f>IF(K1073=0,"n.a.",L1073/K1073)</x:f>
        <x:v>0.7894736842105263</x:v>
      </x:c>
      <x:c r="Q1073" s="9" t="n">
        <x:f>IF(K1073=0,"n.a.",M1073/K1073)</x:f>
        <x:v>0.8421052631578947</x:v>
      </x:c>
      <x:c r="R1073" s="9" t="n">
        <x:f>IF(K1073=0,"n.a.",N1073/K1073)</x:f>
        <x:v>0.10526315789473684</x:v>
      </x:c>
      <x:c r="S1073" s="7" t="n">
        <x:v>-1</x:v>
      </x:c>
      <x:c r="T1073" s="10" t="n">
        <x:v>0.25</x:v>
      </x:c>
      <x:c r="U1073" s="7" t="n">
        <x:v>231</x:v>
      </x:c>
      <x:c r="V1073" s="7" t="n">
        <x:v>666</x:v>
      </x:c>
    </x:row>
    <x:row r="1074" ht="16" customHeight="1">
      <x:c r="A1074" s="7" t="n">
        <x:v>1071</x:v>
      </x:c>
      <x:c r="B1074" s="8" t="n">
        <x:v>46279</x:v>
      </x:c>
      <x:c r="C1074" s="7" t="str">
        <x:v>Abyss</x:v>
      </x:c>
      <x:c r="D1074" s="7" t="str">
        <x:v>5th</x:v>
      </x:c>
      <x:c r="E1074" s="7" t="str">
        <x:v>Clove</x:v>
      </x:c>
      <x:c r="F1074" s="7" t="n">
        <x:v>10</x:v>
      </x:c>
      <x:c r="G1074" s="7" t="n">
        <x:v>13</x:v>
      </x:c>
      <x:c r="H1074" s="7" t="str">
        <x:f>IF(F1074&gt;G1074,"Win",IF(F1074&lt;G1074,"Loss","Draw"))</x:f>
        <x:v>Loss</x:v>
      </x:c>
      <x:c r="I1074" s="7" t="n">
        <x:f>IF(H1074="Win",1,0)</x:f>
        <x:v>0</x:v>
      </x:c>
      <x:c r="J1074" s="7" t="n">
        <x:f>F1074-G1074</x:f>
        <x:v>-3</x:v>
      </x:c>
      <x:c r="K1074" s="7" t="n">
        <x:f>F1074+G1074</x:f>
        <x:v>23</x:v>
      </x:c>
      <x:c r="L1074" s="7" t="n">
        <x:v>16</x:v>
      </x:c>
      <x:c r="M1074" s="7" t="n">
        <x:v>23</x:v>
      </x:c>
      <x:c r="N1074" s="7" t="n">
        <x:v>7</x:v>
      </x:c>
      <x:c r="O1074" s="9" t="n">
        <x:f>IF(M1074=0,"n.a.",L1074/M1074)</x:f>
        <x:v>0.6956521739130435</x:v>
      </x:c>
      <x:c r="P1074" s="9" t="n">
        <x:f>IF(K1074=0,"n.a.",L1074/K1074)</x:f>
        <x:v>0.6956521739130435</x:v>
      </x:c>
      <x:c r="Q1074" s="9" t="n">
        <x:f>IF(K1074=0,"n.a.",M1074/K1074)</x:f>
        <x:v>1</x:v>
      </x:c>
      <x:c r="R1074" s="9" t="n">
        <x:f>IF(K1074=0,"n.a.",N1074/K1074)</x:f>
        <x:v>0.30434782608695654</x:v>
      </x:c>
      <x:c r="S1074" s="7" t="n">
        <x:v>-12</x:v>
      </x:c>
      <x:c r="T1074" s="10" t="n">
        <x:v>0.26</x:v>
      </x:c>
      <x:c r="U1074" s="7" t="n">
        <x:v>226</x:v>
      </x:c>
      <x:c r="V1074" s="7" t="n">
        <x:v>447</x:v>
      </x:c>
    </x:row>
    <x:row r="1075" ht="16" customHeight="1">
      <x:c r="A1075" s="7" t="n">
        <x:v>1072</x:v>
      </x:c>
      <x:c r="B1075" s="8" t="n">
        <x:v>46279</x:v>
      </x:c>
      <x:c r="C1075" s="7" t="str">
        <x:v>Ascent</x:v>
      </x:c>
      <x:c r="D1075" s="7" t="str">
        <x:v>7th</x:v>
      </x:c>
      <x:c r="E1075" s="7" t="str">
        <x:v>Clove</x:v>
      </x:c>
      <x:c r="F1075" s="7" t="n">
        <x:v>13</x:v>
      </x:c>
      <x:c r="G1075" s="7" t="n">
        <x:v>6</x:v>
      </x:c>
      <x:c r="H1075" s="7" t="str">
        <x:f>IF(F1075&gt;G1075,"Win",IF(F1075&lt;G1075,"Loss","Draw"))</x:f>
        <x:v>Win</x:v>
      </x:c>
      <x:c r="I1075" s="7" t="n">
        <x:f>IF(H1075="Win",1,0)</x:f>
        <x:v>1</x:v>
      </x:c>
      <x:c r="J1075" s="7" t="n">
        <x:f>F1075-G1075</x:f>
        <x:v>7</x:v>
      </x:c>
      <x:c r="K1075" s="7" t="n">
        <x:f>F1075+G1075</x:f>
        <x:v>19</x:v>
      </x:c>
      <x:c r="L1075" s="7" t="n">
        <x:v>14</x:v>
      </x:c>
      <x:c r="M1075" s="7" t="n">
        <x:v>18</x:v>
      </x:c>
      <x:c r="N1075" s="7" t="n">
        <x:v>8</x:v>
      </x:c>
      <x:c r="O1075" s="9" t="n">
        <x:f>IF(M1075=0,"n.a.",L1075/M1075)</x:f>
        <x:v>0.7777777777777778</x:v>
      </x:c>
      <x:c r="P1075" s="9" t="n">
        <x:f>IF(K1075=0,"n.a.",L1075/K1075)</x:f>
        <x:v>0.7368421052631579</x:v>
      </x:c>
      <x:c r="Q1075" s="9" t="n">
        <x:f>IF(K1075=0,"n.a.",M1075/K1075)</x:f>
        <x:v>0.9473684210526315</x:v>
      </x:c>
      <x:c r="R1075" s="9" t="n">
        <x:f>IF(K1075=0,"n.a.",N1075/K1075)</x:f>
        <x:v>0.42105263157894735</x:v>
      </x:c>
      <x:c r="S1075" s="7" t="n">
        <x:v>-34</x:v>
      </x:c>
      <x:c r="T1075" s="10" t="n">
        <x:v>0.17</x:v>
      </x:c>
      <x:c r="U1075" s="7" t="n">
        <x:v>201</x:v>
      </x:c>
      <x:c r="V1075" s="7" t="n">
        <x:v>491</x:v>
      </x:c>
    </x:row>
    <x:row r="1076" ht="16" customHeight="1">
      <x:c r="A1076" s="7" t="n">
        <x:v>1073</x:v>
      </x:c>
      <x:c r="B1076" s="8" t="n">
        <x:v>46279</x:v>
      </x:c>
      <x:c r="C1076" s="7" t="str">
        <x:v>Lotus</x:v>
      </x:c>
      <x:c r="D1076" s="7" t="str">
        <x:v>MVP</x:v>
      </x:c>
      <x:c r="E1076" s="7" t="str">
        <x:v>Clove</x:v>
      </x:c>
      <x:c r="F1076" s="7" t="n">
        <x:v>13</x:v>
      </x:c>
      <x:c r="G1076" s="7" t="n">
        <x:v>9</x:v>
      </x:c>
      <x:c r="H1076" s="7" t="str">
        <x:f>IF(F1076&gt;G1076,"Win",IF(F1076&lt;G1076,"Loss","Draw"))</x:f>
        <x:v>Win</x:v>
      </x:c>
      <x:c r="I1076" s="7" t="n">
        <x:f>IF(H1076="Win",1,0)</x:f>
        <x:v>1</x:v>
      </x:c>
      <x:c r="J1076" s="7" t="n">
        <x:f>F1076-G1076</x:f>
        <x:v>4</x:v>
      </x:c>
      <x:c r="K1076" s="7" t="n">
        <x:f>F1076+G1076</x:f>
        <x:v>22</x:v>
      </x:c>
      <x:c r="L1076" s="7" t="n">
        <x:v>26</x:v>
      </x:c>
      <x:c r="M1076" s="7" t="n">
        <x:v>17</x:v>
      </x:c>
      <x:c r="N1076" s="7" t="n">
        <x:v>4</x:v>
      </x:c>
      <x:c r="O1076" s="9" t="n">
        <x:f>IF(M1076=0,"n.a.",L1076/M1076)</x:f>
        <x:v>1.5294117647058822</x:v>
      </x:c>
      <x:c r="P1076" s="9" t="n">
        <x:f>IF(K1076=0,"n.a.",L1076/K1076)</x:f>
        <x:v>1.1818181818181819</x:v>
      </x:c>
      <x:c r="Q1076" s="9" t="n">
        <x:f>IF(K1076=0,"n.a.",M1076/K1076)</x:f>
        <x:v>0.7727272727272727</x:v>
      </x:c>
      <x:c r="R1076" s="9" t="n">
        <x:f>IF(K1076=0,"n.a.",N1076/K1076)</x:f>
        <x:v>0.18181818181818182</x:v>
      </x:c>
      <x:c r="S1076" s="7" t="n">
        <x:v>38</x:v>
      </x:c>
      <x:c r="T1076" s="10" t="n">
        <x:v>0.45</x:v>
      </x:c>
      <x:c r="U1076" s="7" t="n">
        <x:v>292</x:v>
      </x:c>
      <x:c r="V1076" s="7" t="n">
        <x:v>880</x:v>
      </x:c>
    </x:row>
    <x:row r="1077" ht="16" customHeight="1">
      <x:c r="A1077" s="7" t="n">
        <x:v>1074</x:v>
      </x:c>
      <x:c r="B1077" s="8" t="n">
        <x:v>46280</x:v>
      </x:c>
      <x:c r="C1077" s="7" t="str">
        <x:v>Haven</x:v>
      </x:c>
      <x:c r="D1077" s="7" t="str">
        <x:v>4th</x:v>
      </x:c>
      <x:c r="E1077" s="7" t="str">
        <x:v>Clove</x:v>
      </x:c>
      <x:c r="F1077" s="7" t="n">
        <x:v>13</x:v>
      </x:c>
      <x:c r="G1077" s="7" t="n">
        <x:v>10</x:v>
      </x:c>
      <x:c r="H1077" s="7" t="str">
        <x:f>IF(F1077&gt;G1077,"Win",IF(F1077&lt;G1077,"Loss","Draw"))</x:f>
        <x:v>Win</x:v>
      </x:c>
      <x:c r="I1077" s="7" t="n">
        <x:f>IF(H1077="Win",1,0)</x:f>
        <x:v>1</x:v>
      </x:c>
      <x:c r="J1077" s="7" t="n">
        <x:f>F1077-G1077</x:f>
        <x:v>3</x:v>
      </x:c>
      <x:c r="K1077" s="7" t="n">
        <x:f>F1077+G1077</x:f>
        <x:v>23</x:v>
      </x:c>
      <x:c r="L1077" s="7" t="n">
        <x:v>22</x:v>
      </x:c>
      <x:c r="M1077" s="7" t="n">
        <x:v>23</x:v>
      </x:c>
      <x:c r="N1077" s="7" t="n">
        <x:v>4</x:v>
      </x:c>
      <x:c r="O1077" s="9" t="n">
        <x:f>IF(M1077=0,"n.a.",L1077/M1077)</x:f>
        <x:v>0.9565217391304348</x:v>
      </x:c>
      <x:c r="P1077" s="9" t="n">
        <x:f>IF(K1077=0,"n.a.",L1077/K1077)</x:f>
        <x:v>0.9565217391304348</x:v>
      </x:c>
      <x:c r="Q1077" s="9" t="n">
        <x:f>IF(K1077=0,"n.a.",M1077/K1077)</x:f>
        <x:v>1</x:v>
      </x:c>
      <x:c r="R1077" s="9" t="n">
        <x:f>IF(K1077=0,"n.a.",N1077/K1077)</x:f>
        <x:v>0.17391304347826086</x:v>
      </x:c>
      <x:c r="S1077" s="7" t="n">
        <x:v>-5</x:v>
      </x:c>
      <x:c r="T1077" s="10" t="n">
        <x:v>0.4</x:v>
      </x:c>
      <x:c r="U1077" s="7" t="n">
        <x:v>274</x:v>
      </x:c>
      <x:c r="V1077" s="7" t="n">
        <x:v>618</x:v>
      </x:c>
    </x:row>
    <x:row r="1078" ht="16" customHeight="1">
      <x:c r="A1078" s="7" t="n">
        <x:v>1075</x:v>
      </x:c>
      <x:c r="B1078" s="8" t="n">
        <x:v>46281</x:v>
      </x:c>
      <x:c r="C1078" s="7" t="str">
        <x:v>Ascent</x:v>
      </x:c>
      <x:c r="D1078" s="7" t="str">
        <x:v>5th</x:v>
      </x:c>
      <x:c r="E1078" s="7" t="str">
        <x:v>Brimstone</x:v>
      </x:c>
      <x:c r="F1078" s="7" t="n">
        <x:v>10</x:v>
      </x:c>
      <x:c r="G1078" s="7" t="n">
        <x:v>13</x:v>
      </x:c>
      <x:c r="H1078" s="7" t="str">
        <x:f>IF(F1078&gt;G1078,"Win",IF(F1078&lt;G1078,"Loss","Draw"))</x:f>
        <x:v>Loss</x:v>
      </x:c>
      <x:c r="I1078" s="7" t="n">
        <x:f>IF(H1078="Win",1,0)</x:f>
        <x:v>0</x:v>
      </x:c>
      <x:c r="J1078" s="7" t="n">
        <x:f>F1078-G1078</x:f>
        <x:v>-3</x:v>
      </x:c>
      <x:c r="K1078" s="7" t="n">
        <x:f>F1078+G1078</x:f>
        <x:v>23</x:v>
      </x:c>
      <x:c r="L1078" s="7" t="n">
        <x:v>14</x:v>
      </x:c>
      <x:c r="M1078" s="7" t="n">
        <x:v>21</x:v>
      </x:c>
      <x:c r="N1078" s="7" t="n">
        <x:v>9</x:v>
      </x:c>
      <x:c r="O1078" s="9" t="n">
        <x:f>IF(M1078=0,"n.a.",L1078/M1078)</x:f>
        <x:v>0.6666666666666666</x:v>
      </x:c>
      <x:c r="P1078" s="9" t="n">
        <x:f>IF(K1078=0,"n.a.",L1078/K1078)</x:f>
        <x:v>0.6086956521739131</x:v>
      </x:c>
      <x:c r="Q1078" s="9" t="n">
        <x:f>IF(K1078=0,"n.a.",M1078/K1078)</x:f>
        <x:v>0.9130434782608695</x:v>
      </x:c>
      <x:c r="R1078" s="9" t="n">
        <x:f>IF(K1078=0,"n.a.",N1078/K1078)</x:f>
        <x:v>0.391304347826087</x:v>
      </x:c>
      <x:c r="S1078" s="7" t="n">
        <x:v>-38</x:v>
      </x:c>
      <x:c r="T1078" s="10" t="n">
        <x:v>0.33</x:v>
      </x:c>
      <x:c r="U1078" s="7" t="n">
        <x:v>198</x:v>
      </x:c>
      <x:c r="V1078" s="7" t="n">
        <x:v>420</x:v>
      </x:c>
    </x:row>
    <x:row r="1079" ht="16" customHeight="1">
      <x:c r="A1079" s="7" t="n">
        <x:v>1076</x:v>
      </x:c>
      <x:c r="B1079" s="8" t="n">
        <x:v>46281</x:v>
      </x:c>
      <x:c r="C1079" s="7" t="str">
        <x:v>Haven</x:v>
      </x:c>
      <x:c r="D1079" s="7" t="str">
        <x:v>9th</x:v>
      </x:c>
      <x:c r="E1079" s="7" t="str">
        <x:v>Clove</x:v>
      </x:c>
      <x:c r="F1079" s="7" t="n">
        <x:v>13</x:v>
      </x:c>
      <x:c r="G1079" s="7" t="n">
        <x:v>7</x:v>
      </x:c>
      <x:c r="H1079" s="7" t="str">
        <x:f>IF(F1079&gt;G1079,"Win",IF(F1079&lt;G1079,"Loss","Draw"))</x:f>
        <x:v>Win</x:v>
      </x:c>
      <x:c r="I1079" s="7" t="n">
        <x:f>IF(H1079="Win",1,0)</x:f>
        <x:v>1</x:v>
      </x:c>
      <x:c r="J1079" s="7" t="n">
        <x:f>F1079-G1079</x:f>
        <x:v>6</x:v>
      </x:c>
      <x:c r="K1079" s="7" t="n">
        <x:f>F1079+G1079</x:f>
        <x:v>20</x:v>
      </x:c>
      <x:c r="L1079" s="7" t="n">
        <x:v>10</x:v>
      </x:c>
      <x:c r="M1079" s="7" t="n">
        <x:v>15</x:v>
      </x:c>
      <x:c r="N1079" s="7" t="n">
        <x:v>1</x:v>
      </x:c>
      <x:c r="O1079" s="9" t="n">
        <x:f>IF(M1079=0,"n.a.",L1079/M1079)</x:f>
        <x:v>0.6666666666666666</x:v>
      </x:c>
      <x:c r="P1079" s="9" t="n">
        <x:f>IF(K1079=0,"n.a.",L1079/K1079)</x:f>
        <x:v>0.5</x:v>
      </x:c>
      <x:c r="Q1079" s="9" t="n">
        <x:f>IF(K1079=0,"n.a.",M1079/K1079)</x:f>
        <x:v>0.75</x:v>
      </x:c>
      <x:c r="R1079" s="9" t="n">
        <x:f>IF(K1079=0,"n.a.",N1079/K1079)</x:f>
        <x:v>0.05</x:v>
      </x:c>
      <x:c r="S1079" s="7" t="n">
        <x:v>-44</x:v>
      </x:c>
      <x:c r="T1079" s="10" t="n">
        <x:v>0.58</x:v>
      </x:c>
      <x:c r="U1079" s="7" t="n">
        <x:v>135</x:v>
      </x:c>
      <x:c r="V1079" s="7" t="n">
        <x:v>341</x:v>
      </x:c>
    </x:row>
    <x:row r="1080" ht="16" customHeight="1">
      <x:c r="A1080" s="7" t="n">
        <x:v>1077</x:v>
      </x:c>
      <x:c r="B1080" s="8" t="n">
        <x:v>46284</x:v>
      </x:c>
      <x:c r="C1080" s="7" t="str">
        <x:v>Ascent</x:v>
      </x:c>
      <x:c r="D1080" s="7" t="str">
        <x:v>9th</x:v>
      </x:c>
      <x:c r="E1080" s="7" t="str">
        <x:v>Clove</x:v>
      </x:c>
      <x:c r="F1080" s="7" t="n">
        <x:v>3</x:v>
      </x:c>
      <x:c r="G1080" s="7" t="n">
        <x:v>13</x:v>
      </x:c>
      <x:c r="H1080" s="7" t="str">
        <x:f>IF(F1080&gt;G1080,"Win",IF(F1080&lt;G1080,"Loss","Draw"))</x:f>
        <x:v>Loss</x:v>
      </x:c>
      <x:c r="I1080" s="7" t="n">
        <x:f>IF(H1080="Win",1,0)</x:f>
        <x:v>0</x:v>
      </x:c>
      <x:c r="J1080" s="7" t="n">
        <x:f>F1080-G1080</x:f>
        <x:v>-10</x:v>
      </x:c>
      <x:c r="K1080" s="7" t="n">
        <x:f>F1080+G1080</x:f>
        <x:v>16</x:v>
      </x:c>
      <x:c r="L1080" s="7" t="n">
        <x:v>6</x:v>
      </x:c>
      <x:c r="M1080" s="7" t="n">
        <x:v>15</x:v>
      </x:c>
      <x:c r="N1080" s="7" t="n">
        <x:v>6</x:v>
      </x:c>
      <x:c r="O1080" s="9" t="n">
        <x:f>IF(M1080=0,"n.a.",L1080/M1080)</x:f>
        <x:v>0.4</x:v>
      </x:c>
      <x:c r="P1080" s="9" t="n">
        <x:f>IF(K1080=0,"n.a.",L1080/K1080)</x:f>
        <x:v>0.375</x:v>
      </x:c>
      <x:c r="Q1080" s="9" t="n">
        <x:f>IF(K1080=0,"n.a.",M1080/K1080)</x:f>
        <x:v>0.9375</x:v>
      </x:c>
      <x:c r="R1080" s="9" t="n">
        <x:f>IF(K1080=0,"n.a.",N1080/K1080)</x:f>
        <x:v>0.375</x:v>
      </x:c>
      <x:c r="S1080" s="7" t="n">
        <x:v>-67</x:v>
      </x:c>
      <x:c r="T1080" s="10" t="n">
        <x:v>0.38</x:v>
      </x:c>
      <x:c r="U1080" s="7" t="n">
        <x:v>126</x:v>
      </x:c>
      <x:c r="V1080" s="7" t="n">
        <x:v>109</x:v>
      </x:c>
    </x:row>
    <x:row r="1081" ht="16" customHeight="1">
      <x:c r="A1081" s="7" t="n">
        <x:v>1078</x:v>
      </x:c>
      <x:c r="B1081" s="8" t="n">
        <x:v>46284</x:v>
      </x:c>
      <x:c r="C1081" s="7" t="str">
        <x:v>Sunset</x:v>
      </x:c>
      <x:c r="D1081" s="7" t="str">
        <x:v>MVP</x:v>
      </x:c>
      <x:c r="E1081" s="7" t="str">
        <x:v>Neon</x:v>
      </x:c>
      <x:c r="F1081" s="7" t="n">
        <x:v>13</x:v>
      </x:c>
      <x:c r="G1081" s="7" t="n">
        <x:v>6</x:v>
      </x:c>
      <x:c r="H1081" s="7" t="str">
        <x:f>IF(F1081&gt;G1081,"Win",IF(F1081&lt;G1081,"Loss","Draw"))</x:f>
        <x:v>Win</x:v>
      </x:c>
      <x:c r="I1081" s="7" t="n">
        <x:f>IF(H1081="Win",1,0)</x:f>
        <x:v>1</x:v>
      </x:c>
      <x:c r="J1081" s="7" t="n">
        <x:f>F1081-G1081</x:f>
        <x:v>7</x:v>
      </x:c>
      <x:c r="K1081" s="7" t="n">
        <x:f>F1081+G1081</x:f>
        <x:v>19</x:v>
      </x:c>
      <x:c r="L1081" s="7" t="n">
        <x:v>23</x:v>
      </x:c>
      <x:c r="M1081" s="7" t="n">
        <x:v>16</x:v>
      </x:c>
      <x:c r="N1081" s="7" t="n">
        <x:v>4</x:v>
      </x:c>
      <x:c r="O1081" s="9" t="n">
        <x:f>IF(M1081=0,"n.a.",L1081/M1081)</x:f>
        <x:v>1.4375</x:v>
      </x:c>
      <x:c r="P1081" s="9" t="n">
        <x:f>IF(K1081=0,"n.a.",L1081/K1081)</x:f>
        <x:v>1.2105263157894737</x:v>
      </x:c>
      <x:c r="Q1081" s="9" t="n">
        <x:f>IF(K1081=0,"n.a.",M1081/K1081)</x:f>
        <x:v>0.8421052631578947</x:v>
      </x:c>
      <x:c r="R1081" s="9" t="n">
        <x:f>IF(K1081=0,"n.a.",N1081/K1081)</x:f>
        <x:v>0.21052631578947367</x:v>
      </x:c>
      <x:c r="S1081" s="7" t="n">
        <x:v>57</x:v>
      </x:c>
      <x:c r="T1081" s="10" t="n">
        <x:v>0.26</x:v>
      </x:c>
      <x:c r="U1081" s="7" t="n">
        <x:v>356</x:v>
      </x:c>
      <x:c r="V1081" s="7" t="n">
        <x:v>760</x:v>
      </x:c>
    </x:row>
    <x:row r="1082" ht="16" customHeight="1">
      <x:c r="A1082" s="7" t="n">
        <x:v>1079</x:v>
      </x:c>
      <x:c r="B1082" s="8" t="n">
        <x:v>46284</x:v>
      </x:c>
      <x:c r="C1082" s="7" t="str">
        <x:v>Lotus</x:v>
      </x:c>
      <x:c r="D1082" s="7" t="str">
        <x:v>2nd</x:v>
      </x:c>
      <x:c r="E1082" s="7" t="str">
        <x:v>Chamber</x:v>
      </x:c>
      <x:c r="F1082" s="7" t="n">
        <x:v>7</x:v>
      </x:c>
      <x:c r="G1082" s="7" t="n">
        <x:v>13</x:v>
      </x:c>
      <x:c r="H1082" s="7" t="str">
        <x:f>IF(F1082&gt;G1082,"Win",IF(F1082&lt;G1082,"Loss","Draw"))</x:f>
        <x:v>Loss</x:v>
      </x:c>
      <x:c r="I1082" s="7" t="n">
        <x:f>IF(H1082="Win",1,0)</x:f>
        <x:v>0</x:v>
      </x:c>
      <x:c r="J1082" s="7" t="n">
        <x:f>F1082-G1082</x:f>
        <x:v>-6</x:v>
      </x:c>
      <x:c r="K1082" s="7" t="n">
        <x:f>F1082+G1082</x:f>
        <x:v>20</x:v>
      </x:c>
      <x:c r="L1082" s="7" t="n">
        <x:v>21</x:v>
      </x:c>
      <x:c r="M1082" s="7" t="n">
        <x:v>17</x:v>
      </x:c>
      <x:c r="N1082" s="7" t="n">
        <x:v>3</x:v>
      </x:c>
      <x:c r="O1082" s="9" t="n">
        <x:f>IF(M1082=0,"n.a.",L1082/M1082)</x:f>
        <x:v>1.2352941176470589</x:v>
      </x:c>
      <x:c r="P1082" s="9" t="n">
        <x:f>IF(K1082=0,"n.a.",L1082/K1082)</x:f>
        <x:v>1.05</x:v>
      </x:c>
      <x:c r="Q1082" s="9" t="n">
        <x:f>IF(K1082=0,"n.a.",M1082/K1082)</x:f>
        <x:v>0.85</x:v>
      </x:c>
      <x:c r="R1082" s="9" t="n">
        <x:f>IF(K1082=0,"n.a.",N1082/K1082)</x:f>
        <x:v>0.15</x:v>
      </x:c>
      <x:c r="S1082" s="7" t="n">
        <x:v>12</x:v>
      </x:c>
      <x:c r="T1082" s="10" t="n">
        <x:v>0.28</x:v>
      </x:c>
      <x:c r="U1082" s="7" t="n">
        <x:v>287</x:v>
      </x:c>
      <x:c r="V1082" s="7" t="n">
        <x:v>604</x:v>
      </x:c>
    </x:row>
    <x:row r="1083" ht="16" customHeight="1">
      <x:c r="A1083" s="7" t="n">
        <x:v>1080</x:v>
      </x:c>
      <x:c r="B1083" s="8" t="n">
        <x:v>46284</x:v>
      </x:c>
      <x:c r="C1083" s="7" t="str">
        <x:v>Abyss</x:v>
      </x:c>
      <x:c r="D1083" s="7" t="str">
        <x:v>10th</x:v>
      </x:c>
      <x:c r="E1083" s="7" t="str">
        <x:v>Breach</x:v>
      </x:c>
      <x:c r="F1083" s="7" t="n">
        <x:v>13</x:v>
      </x:c>
      <x:c r="G1083" s="7" t="n">
        <x:v>7</x:v>
      </x:c>
      <x:c r="H1083" s="7" t="str">
        <x:f>IF(F1083&gt;G1083,"Win",IF(F1083&lt;G1083,"Loss","Draw"))</x:f>
        <x:v>Win</x:v>
      </x:c>
      <x:c r="I1083" s="7" t="n">
        <x:f>IF(H1083="Win",1,0)</x:f>
        <x:v>1</x:v>
      </x:c>
      <x:c r="J1083" s="7" t="n">
        <x:f>F1083-G1083</x:f>
        <x:v>6</x:v>
      </x:c>
      <x:c r="K1083" s="7" t="n">
        <x:f>F1083+G1083</x:f>
        <x:v>20</x:v>
      </x:c>
      <x:c r="L1083" s="7" t="n">
        <x:v>8</x:v>
      </x:c>
      <x:c r="M1083" s="7" t="n">
        <x:v>20</x:v>
      </x:c>
      <x:c r="N1083" s="7" t="n">
        <x:v>2</x:v>
      </x:c>
      <x:c r="O1083" s="9" t="n">
        <x:f>IF(M1083=0,"n.a.",L1083/M1083)</x:f>
        <x:v>0.4</x:v>
      </x:c>
      <x:c r="P1083" s="9" t="n">
        <x:f>IF(K1083=0,"n.a.",L1083/K1083)</x:f>
        <x:v>0.4</x:v>
      </x:c>
      <x:c r="Q1083" s="9" t="n">
        <x:f>IF(K1083=0,"n.a.",M1083/K1083)</x:f>
        <x:v>1</x:v>
      </x:c>
      <x:c r="R1083" s="9" t="n">
        <x:f>IF(K1083=0,"n.a.",N1083/K1083)</x:f>
        <x:v>0.1</x:v>
      </x:c>
      <x:c r="S1083" s="7" t="n">
        <x:v>-95</x:v>
      </x:c>
      <x:c r="T1083" s="10" t="n">
        <x:v>0.27</x:v>
      </x:c>
      <x:c r="U1083" s="7" t="n">
        <x:v>118</x:v>
      </x:c>
      <x:c r="V1083" s="7" t="n">
        <x:v>188</x:v>
      </x:c>
    </x:row>
  </x:sheetData>
  <x:conditionalFormatting sqref="H4:H1083">
    <x:cfRule type="containsText" dxfId="0" priority="1" operator="containsText" text="Win"/>
    <x:cfRule type="containsText" dxfId="1" priority="2" operator="containsText" text="Loss"/>
    <x:cfRule type="containsText" dxfId="2" priority="3" operator="containsText" text="Draw"/>
  </x:conditionalFormatting>
  <x:pageMargins left="0.7" right="0.7" top="0.75" bottom="0.75" header="0.3" footer="0.3"/>
</x:worksheet>
</file>