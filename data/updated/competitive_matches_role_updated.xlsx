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b2324beb1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es" sheetId="1" r:id="R9fab6f60ea59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\-mm\-dd"/>
    <x:numFmt numFmtId="165" formatCode="0.0%"/>
    <x:numFmt numFmtId="200" formatCode="0.00"/>
    <x:numFmt numFmtId="201" formatCode="0"/>
    <x:numFmt numFmtId="202" formatCode="yyyy-mm-dd"/>
  </x:numFmts>
  <x:fonts count="5">
    <x:font>
      <x:sz val="11"/>
      <x:name val="Carlito"/>
    </x:font>
    <x:font>
      <x:b/>
      <x:sz val="14"/>
      <x:color theme="1"/>
      <x:name val="Carlito"/>
    </x:font>
    <x:font>
      <x:sz val="11"/>
      <x:color theme="1"/>
      <x:name val="Carlito"/>
    </x:font>
    <x:font>
      <x:b/>
      <x:sz val="11"/>
      <x:color theme="1"/>
      <x:name val="Carlito"/>
    </x:font>
    <x:font>
      <x:sz val="11"/>
      <x:color theme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2">
    <x:border/>
    <x:border/>
  </x:borders>
  <x:cellStyleXfs count="2">
    <x:xf numFmtId="0" fontId="0" fillId="0" borderId="0"/>
    <x:xf numFmtId="0" fontId="4" fillId="0" borderId="0" applyNumberFormat="0" applyFill="0" applyBorder="0" applyAlignment="0" applyProtection="0"/>
  </x:cellStyleXfs>
  <x:cellXfs count="29">
    <x:xf numFmtId="0" fontId="0" fillId="0" borderId="0" xfId="0"/>
    <x:xf numFmtId="0" fontId="0" fillId="0" borderId="0" xfId="0" applyAlignment="1">
      <x:alignment vertical="center"/>
    </x:xf>
    <x:xf numFmtId="164" fontId="0" fillId="0" borderId="0" xfId="0" applyNumberFormat="1" applyAlignment="1">
      <x:alignment vertical="center"/>
    </x:xf>
    <x:xf numFmtId="2" fontId="0" fillId="0" borderId="0" xfId="0" applyNumberFormat="1" applyAlignment="1">
      <x:alignment vertical="center"/>
    </x:xf>
    <x:xf numFmtId="165" fontId="0" fillId="0" borderId="0" xfId="0" applyNumberFormat="1" applyAlignment="1">
      <x:alignment vertical="center"/>
    </x:xf>
    <x:xf numFmtId="0" fontId="2" fillId="2" borderId="0" xfId="0" applyFont="1" applyFill="1"/>
    <x:xf numFmtId="0" fontId="3" fillId="2" borderId="0" xfId="0" applyFont="1" applyFill="1"/>
    <x:xf numFmtId="0" fontId="3" fillId="2" borderId="0" xfId="0" applyFont="1" applyFill="1" applyAlignment="1">
      <x:alignment horizontal="center" vertical="center" wrapText="1"/>
    </x:xf>
    <x:xf numFmtId="14" fontId="0" fillId="0" borderId="0" xfId="0" applyNumberFormat="1"/>
    <x:xf numFmtId="0" fontId="1" fillId="2" borderId="0" xfId="0" applyFont="1" applyFill="1" applyAlignment="1">
      <x:alignment vertical="center"/>
    </x:xf>
    <x:xf numFmtId="0" fontId="4" fillId="2" borderId="0" xfId="1" applyFill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164" fontId="0" fillId="0" borderId="1" xfId="0" applyNumberFormat="1" applyFont="1" applyFill="1" applyBorder="1" applyAlignment="1">
      <x:alignment vertical="center"/>
    </x:xf>
    <x:xf numFmtId="2" fontId="0" fillId="0" borderId="1" xfId="0" applyNumberFormat="1" applyFont="1" applyFill="1" applyBorder="1" applyAlignment="1">
      <x:alignment vertical="center"/>
    </x:xf>
    <x:xf numFmtId="165" fontId="0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14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165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</x:cellXfs>
  <x:cellStyles count="2">
    <x:cellStyle name="Hyperlink" xfId="1"/>
    <x:cellStyle name="Normal" xfId="0"/>
  </x:cellStyles>
  <x:dxfs count="3"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787f0255d4bdc" /><Relationship Type="http://schemas.openxmlformats.org/officeDocument/2006/relationships/theme" Target="/xl/theme/theme1.xml" Id="Ra7a673d30396434c" /><Relationship Type="http://schemas.openxmlformats.org/officeDocument/2006/relationships/sharedStrings" Target="/xl/sharedStrings.xml" Id="Rd7dd2f1a35ae4e30" /><Relationship Type="http://schemas.openxmlformats.org/officeDocument/2006/relationships/worksheet" Target="/xl/worksheets/sheet1.xml" Id="R9fab6f60ea5940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tracker.gg/valorant/profile/riot/jalebi%23zara/matches?platform=pc&amp;playlist=competitive" TargetMode="External" Id="R6c4dd6e3632f4eae" /></Relationships>
</file>

<file path=xl/worksheets/sheet1.xml><?xml version="1.0" encoding="utf-8"?>
<x:worksheet xmlns:x="http://schemas.openxmlformats.org/spreadsheetml/2006/main">
  <x:sheetFormatPr defaultRowHeight="13.5"/>
  <x:cols>
    <x:col min="1" max="1" width="9" customWidth="1"/>
    <x:col min="2" max="3" width="12" customWidth="1"/>
    <x:col min="4" max="4" width="10" customWidth="1"/>
    <x:col min="5" max="5" width="12" customWidth="1"/>
    <x:col min="6" max="7" width="11" customWidth="1"/>
    <x:col min="8" max="8" width="10" customWidth="1"/>
    <x:col min="9" max="9" width="9" customWidth="1"/>
    <x:col min="10" max="11" width="12" customWidth="1"/>
    <x:col min="12" max="14" width="9" customWidth="1"/>
    <x:col min="15" max="18" width="13" customWidth="1"/>
    <x:col min="19" max="19" width="30" customWidth="1"/>
    <x:col min="20" max="21" width="24" customWidth="1"/>
    <x:col min="22" max="22" width="18" customWidth="1"/>
    <x:col min="24" max="24" width="45" customWidth="1"/>
    <x:col min="6" max="6" width="14" hidden="0" customWidth="1"/>
  </x:cols>
  <x:sheetData>
    <x:row r="1" s="5" customFormat="1" ht="25.899999618530273" customHeight="1">
      <x:c r="A1" s="9" t="str">
        <x:v>VALORANT Personal Coach — Competitive Match History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/>
      <x:c r="X1" s="6" t="str">
        <x:v>Data source</x:v>
      </x:c>
    </x:row>
    <x:row r="2" s="5" customFormat="1" ht="27.75">
      <x:c r="A2" s="7" t="str">
        <x:v>Match id</x:v>
      </x:c>
      <x:c r="B2" s="7" t="str">
        <x:v>Date</x:v>
      </x:c>
      <x:c r="C2" s="7" t="str">
        <x:v>Map</x:v>
      </x:c>
      <x:c r="D2" s="7" t="str">
        <x:v>Placement</x:v>
      </x:c>
      <x:c r="E2" s="7" t="str">
        <x:v>Agent</x:v>
      </x:c>
      <x:c r="F2" s="7" t="str">
        <x:v>Role</x:v>
      </x:c>
      <x:c r="G2" s="7" t="str">
        <x:v>Team Score</x:v>
      </x:c>
      <x:c r="H2" s="7" t="str">
        <x:v>Opponent Score</x:v>
      </x:c>
      <x:c r="I2" s="7" t="str">
        <x:v>Result</x:v>
      </x:c>
      <x:c r="J2" s="7" t="str">
        <x:v>Win Flag</x:v>
      </x:c>
      <x:c r="K2" s="7" t="str">
        <x:v>Score Margin</x:v>
      </x:c>
      <x:c r="L2" s="7" t="str">
        <x:v>Rounds Played</x:v>
      </x:c>
      <x:c r="M2" s="7" t="str">
        <x:v>Kills</x:v>
      </x:c>
      <x:c r="N2" s="7" t="str">
        <x:v>Deaths</x:v>
      </x:c>
      <x:c r="O2" s="7" t="str">
        <x:v>Assists</x:v>
      </x:c>
      <x:c r="P2" s="7" t="str">
        <x:v>K/D</x:v>
      </x:c>
      <x:c r="Q2" s="7" t="str">
        <x:v>Kills/Round</x:v>
      </x:c>
      <x:c r="R2" s="7" t="str">
        <x:v>Deaths/Round</x:v>
      </x:c>
      <x:c r="S2" s="7" t="str">
        <x:v>Assists/Round</x:v>
      </x:c>
      <x:c r="T2" s="7" t="str">
        <x:v>DDΔ (Average Damage Delta per Round)</x:v>
      </x:c>
      <x:c r="U2" s="7" t="str">
        <x:v>HS% (Headshot Percentage)</x:v>
      </x:c>
      <x:c r="V2" s="7" t="str">
        <x:v>ACS (Average Combat Score)</x:v>
      </x:c>
      <x:c r="W2"/>
      <x:c r="X2" s="10" t="str">
        <x:v>https://tracker.gg/valorant/profile/riot/jalebi%23zara/matches?platform=pc&amp;playlist=competitive</x:v>
      </x:c>
    </x:row>
    <x:row r="3">
      <x:c r="A3" s="1" t="n">
        <x:v>1</x:v>
      </x:c>
      <x:c r="B3" s="27" t="n">
        <x:v>45603</x:v>
      </x:c>
      <x:c r="C3" s="1" t="str">
        <x:v>Sunset</x:v>
      </x:c>
      <x:c r="D3" s="1" t="str">
        <x:v>6th</x:v>
      </x:c>
      <x:c r="E3" s="1" t="str">
        <x:v>Sage</x:v>
      </x:c>
      <x:c r="F3" s="1" t="str">
        <x:v>Sentinel</x:v>
      </x:c>
      <x:c r="G3" s="1" t="n">
        <x:v>8</x:v>
      </x:c>
      <x:c r="H3" s="1" t="n">
        <x:f t="shared" ref="H3:H66" si="0">IF(F3&gt;G3,"Win",IF(F3&lt;G3,"Loss","Draw"))</x:f>
        <x:v>13</x:v>
      </x:c>
      <x:c r="I3" s="1" t="str">
        <x:f t="shared" ref="I3:I66" si="1">IF(G3&gt;H3,"Win",IF(G3&lt;H3,"Loss","Draw"))</x:f>
        <x:v>Loss</x:v>
      </x:c>
      <x:c r="J3" s="1" t="n">
        <x:f t="shared" ref="J3:J66" si="2">IF(I3="Win",1,IF(I3="Loss",0,""))</x:f>
        <x:v>0</x:v>
      </x:c>
      <x:c r="K3" s="1" t="n">
        <x:f t="shared" ref="K3:K66" si="3">G3-H3</x:f>
        <x:v>-5</x:v>
      </x:c>
      <x:c r="L3" s="1" t="n">
        <x:f>G3+H3</x:f>
        <x:v>21</x:v>
      </x:c>
      <x:c r="M3" s="1" t="n">
        <x:v>16</x:v>
      </x:c>
      <x:c r="N3" s="1" t="n">
        <x:v>16</x:v>
      </x:c>
      <x:c r="O3" s="3" t="n">
        <x:f t="shared" ref="O3:O66" si="4">IF(M3=0,"",L3/M3)</x:f>
        <x:v>3</x:v>
      </x:c>
      <x:c r="P3" s="22" t="n">
        <x:f t="shared" ref="P3:P66" si="5">IF(N3=0,"",M3/N3)</x:f>
        <x:v>1</x:v>
      </x:c>
      <x:c r="Q3" s="22" t="n">
        <x:f t="shared" ref="Q3:Q66" si="6">IF(L3=0,"",M3/L3)</x:f>
        <x:v>0.7619047619047619</x:v>
      </x:c>
      <x:c r="R3" s="22" t="n">
        <x:f t="shared" ref="R3:R66" si="7">IF(L3=0,"",N3/L3)</x:f>
        <x:v>0.7619047619047619</x:v>
      </x:c>
      <x:c r="S3" s="22" t="n">
        <x:f>IF(L3=0,"",O3/L3)</x:f>
        <x:v>0.14285714285714285</x:v>
      </x:c>
      <x:c r="T3" s="24" t="n">
        <x:v>-11</x:v>
      </x:c>
      <x:c r="U3" s="26" t="n">
        <x:v>0.1</x:v>
      </x:c>
      <x:c r="V3" s="24" t="n">
        <x:v>210</x:v>
      </x:c>
      <x:c r="W3"/>
      <x:c r="X3"/>
    </x:row>
    <x:row r="4">
      <x:c r="A4" s="1" t="n">
        <x:v>2</x:v>
      </x:c>
      <x:c r="B4" s="27" t="n">
        <x:v>45603</x:v>
      </x:c>
      <x:c r="C4" s="1" t="str">
        <x:v>Split</x:v>
      </x:c>
      <x:c r="D4" s="1" t="str">
        <x:v>9th</x:v>
      </x:c>
      <x:c r="E4" s="1" t="str">
        <x:v>Clove</x:v>
      </x:c>
      <x:c r="F4" s="1" t="str">
        <x:v>Controller</x:v>
      </x:c>
      <x:c r="G4" s="1" t="n">
        <x:v>5</x:v>
      </x:c>
      <x:c r="H4" s="1" t="n">
        <x:f t="shared" si="0"/>
        <x:v>13</x:v>
      </x:c>
      <x:c r="I4" s="1" t="str">
        <x:f t="shared" si="1">IF(G4&gt;H4,"Win",IF(G4&lt;H4,"Loss","Draw"))</x:f>
        <x:v>Loss</x:v>
      </x:c>
      <x:c r="J4" s="1" t="n">
        <x:f t="shared" si="2">IF(I4="Win",1,IF(I4="Loss",0,""))</x:f>
        <x:v>0</x:v>
      </x:c>
      <x:c r="K4" s="1" t="n">
        <x:f t="shared" si="3">G4-H4</x:f>
        <x:v>-8</x:v>
      </x:c>
      <x:c r="L4" s="1" t="n">
        <x:f>G4+H4</x:f>
        <x:v>18</x:v>
      </x:c>
      <x:c r="M4" s="1" t="n">
        <x:v>7</x:v>
      </x:c>
      <x:c r="N4" s="1" t="n">
        <x:v>9</x:v>
      </x:c>
      <x:c r="O4" s="3" t="n">
        <x:f t="shared" si="4"/>
        <x:v>2</x:v>
      </x:c>
      <x:c r="P4" s="22" t="n">
        <x:f t="shared" si="5">IF(N4=0,"",M4/N4)</x:f>
        <x:v>0.7777777777777778</x:v>
      </x:c>
      <x:c r="Q4" s="22" t="n">
        <x:f t="shared" si="6">IF(L4=0,"",M4/L4)</x:f>
        <x:v>0.3888888888888889</x:v>
      </x:c>
      <x:c r="R4" s="22" t="n">
        <x:f t="shared" si="7">IF(L4=0,"",N4/L4)</x:f>
        <x:v>0.5</x:v>
      </x:c>
      <x:c r="S4" s="22" t="n">
        <x:f>IF(L4=0,"",O4/L4)</x:f>
        <x:v>0.1111111111111111</x:v>
      </x:c>
      <x:c r="T4" s="24" t="n">
        <x:v>-9</x:v>
      </x:c>
      <x:c r="U4" s="26" t="n">
        <x:v>0.1</x:v>
      </x:c>
      <x:c r="V4" s="24" t="n">
        <x:v>117</x:v>
      </x:c>
      <x:c r="W4"/>
      <x:c r="X4"/>
    </x:row>
    <x:row r="5">
      <x:c r="A5" s="1" t="n">
        <x:v>3</x:v>
      </x:c>
      <x:c r="B5" s="27" t="n">
        <x:v>45604</x:v>
      </x:c>
      <x:c r="C5" s="1" t="str">
        <x:v>Pearl</x:v>
      </x:c>
      <x:c r="D5" s="1" t="str">
        <x:v>4th</x:v>
      </x:c>
      <x:c r="E5" s="1" t="str">
        <x:v>Clove</x:v>
      </x:c>
      <x:c r="F5" s="1" t="str">
        <x:v>Controller</x:v>
      </x:c>
      <x:c r="G5" s="1" t="n">
        <x:v>13</x:v>
      </x:c>
      <x:c r="H5" s="1" t="n">
        <x:f t="shared" si="0"/>
        <x:v>10</x:v>
      </x:c>
      <x:c r="I5" s="1" t="str">
        <x:f t="shared" si="1">IF(G5&gt;H5,"Win",IF(G5&lt;H5,"Loss","Draw"))</x:f>
        <x:v>Win</x:v>
      </x:c>
      <x:c r="J5" s="1" t="n">
        <x:f t="shared" si="2">IF(I5="Win",1,IF(I5="Loss",0,""))</x:f>
        <x:v>1</x:v>
      </x:c>
      <x:c r="K5" s="1" t="n">
        <x:f t="shared" si="3">G5-H5</x:f>
        <x:v>3</x:v>
      </x:c>
      <x:c r="L5" s="1" t="n">
        <x:f>G5+H5</x:f>
        <x:v>23</x:v>
      </x:c>
      <x:c r="M5" s="1" t="n">
        <x:v>20</x:v>
      </x:c>
      <x:c r="N5" s="1" t="n">
        <x:v>15</x:v>
      </x:c>
      <x:c r="O5" s="3" t="n">
        <x:f t="shared" si="4"/>
        <x:v>2</x:v>
      </x:c>
      <x:c r="P5" s="22" t="n">
        <x:f t="shared" si="5">IF(N5=0,"",M5/N5)</x:f>
        <x:v>1.3333333333333333</x:v>
      </x:c>
      <x:c r="Q5" s="22" t="n">
        <x:f t="shared" si="6">IF(L5=0,"",M5/L5)</x:f>
        <x:v>0.8695652173913043</x:v>
      </x:c>
      <x:c r="R5" s="22" t="n">
        <x:f t="shared" si="7">IF(L5=0,"",N5/L5)</x:f>
        <x:v>0.6521739130434783</x:v>
      </x:c>
      <x:c r="S5" s="22" t="n">
        <x:f>IF(L5=0,"",O5/L5)</x:f>
        <x:v>0.08695652173913043</x:v>
      </x:c>
      <x:c r="T5" s="24" t="n">
        <x:v>19</x:v>
      </x:c>
      <x:c r="U5" s="26" t="n">
        <x:v>0.09</x:v>
      </x:c>
      <x:c r="V5" s="24" t="n">
        <x:v>229</x:v>
      </x:c>
      <x:c r="W5"/>
      <x:c r="X5"/>
    </x:row>
    <x:row r="6">
      <x:c r="A6" s="1" t="n">
        <x:v>4</x:v>
      </x:c>
      <x:c r="B6" s="27" t="n">
        <x:v>45604</x:v>
      </x:c>
      <x:c r="C6" s="1" t="str">
        <x:v>Sunset</x:v>
      </x:c>
      <x:c r="D6" s="1" t="str">
        <x:v>3rd</x:v>
      </x:c>
      <x:c r="E6" s="1" t="str">
        <x:v>Sage</x:v>
      </x:c>
      <x:c r="F6" s="1" t="str">
        <x:v>Sentinel</x:v>
      </x:c>
      <x:c r="G6" s="1" t="n">
        <x:v>9</x:v>
      </x:c>
      <x:c r="H6" s="1" t="n">
        <x:f t="shared" si="0"/>
        <x:v>11</x:v>
      </x:c>
      <x:c r="I6" s="1" t="str">
        <x:f t="shared" si="1">IF(G6&gt;H6,"Win",IF(G6&lt;H6,"Loss","Draw"))</x:f>
        <x:v>Loss</x:v>
      </x:c>
      <x:c r="J6" s="1" t="n">
        <x:f t="shared" si="2">IF(I6="Win",1,IF(I6="Loss",0,""))</x:f>
        <x:v>0</x:v>
      </x:c>
      <x:c r="K6" s="1" t="n">
        <x:f t="shared" si="3">G6-H6</x:f>
        <x:v>-2</x:v>
      </x:c>
      <x:c r="L6" s="1" t="n">
        <x:f>G6+H6</x:f>
        <x:v>20</x:v>
      </x:c>
      <x:c r="M6" s="1" t="n">
        <x:v>14</x:v>
      </x:c>
      <x:c r="N6" s="1" t="n">
        <x:v>15</x:v>
      </x:c>
      <x:c r="O6" s="3" t="n">
        <x:f t="shared" si="4"/>
        <x:v>6</x:v>
      </x:c>
      <x:c r="P6" s="22" t="n">
        <x:f t="shared" si="5">IF(N6=0,"",M6/N6)</x:f>
        <x:v>0.9333333333333333</x:v>
      </x:c>
      <x:c r="Q6" s="22" t="n">
        <x:f t="shared" si="6">IF(L6=0,"",M6/L6)</x:f>
        <x:v>0.7</x:v>
      </x:c>
      <x:c r="R6" s="22" t="n">
        <x:f t="shared" si="7">IF(L6=0,"",N6/L6)</x:f>
        <x:v>0.75</x:v>
      </x:c>
      <x:c r="S6" s="22" t="n">
        <x:f>IF(L6=0,"",O6/L6)</x:f>
        <x:v>0.3</x:v>
      </x:c>
      <x:c r="T6" s="24" t="n">
        <x:v>11</x:v>
      </x:c>
      <x:c r="U6" s="26" t="n">
        <x:v>0.05</x:v>
      </x:c>
      <x:c r="V6" s="24" t="n">
        <x:v>237</x:v>
      </x:c>
      <x:c r="W6"/>
      <x:c r="X6"/>
    </x:row>
    <x:row r="7">
      <x:c r="A7" s="1" t="n">
        <x:v>5</x:v>
      </x:c>
      <x:c r="B7" s="27" t="n">
        <x:v>45605</x:v>
      </x:c>
      <x:c r="C7" s="1" t="str">
        <x:v>Haven</x:v>
      </x:c>
      <x:c r="D7" s="1" t="str">
        <x:v>7th</x:v>
      </x:c>
      <x:c r="E7" s="1" t="str">
        <x:v>Clove</x:v>
      </x:c>
      <x:c r="F7" s="1" t="str">
        <x:v>Controller</x:v>
      </x:c>
      <x:c r="G7" s="1" t="n">
        <x:v>4</x:v>
      </x:c>
      <x:c r="H7" s="1" t="n">
        <x:f t="shared" si="0"/>
        <x:v>13</x:v>
      </x:c>
      <x:c r="I7" s="1" t="str">
        <x:f t="shared" si="1">IF(G7&gt;H7,"Win",IF(G7&lt;H7,"Loss","Draw"))</x:f>
        <x:v>Loss</x:v>
      </x:c>
      <x:c r="J7" s="1" t="n">
        <x:f t="shared" si="2">IF(I7="Win",1,IF(I7="Loss",0,""))</x:f>
        <x:v>0</x:v>
      </x:c>
      <x:c r="K7" s="1" t="n">
        <x:f t="shared" si="3">G7-H7</x:f>
        <x:v>-9</x:v>
      </x:c>
      <x:c r="L7" s="1" t="n">
        <x:f>G7+H7</x:f>
        <x:v>17</x:v>
      </x:c>
      <x:c r="M7" s="1" t="n">
        <x:v>9</x:v>
      </x:c>
      <x:c r="N7" s="1" t="n">
        <x:v>16</x:v>
      </x:c>
      <x:c r="O7" s="3" t="n">
        <x:f t="shared" si="4"/>
        <x:v>2</x:v>
      </x:c>
      <x:c r="P7" s="22" t="n">
        <x:f t="shared" si="5">IF(N7=0,"",M7/N7)</x:f>
        <x:v>0.5625</x:v>
      </x:c>
      <x:c r="Q7" s="22" t="n">
        <x:f t="shared" si="6">IF(L7=0,"",M7/L7)</x:f>
        <x:v>0.5294117647058824</x:v>
      </x:c>
      <x:c r="R7" s="22" t="n">
        <x:f t="shared" si="7">IF(L7=0,"",N7/L7)</x:f>
        <x:v>0.9411764705882353</x:v>
      </x:c>
      <x:c r="S7" s="22" t="n">
        <x:f>IF(L7=0,"",O7/L7)</x:f>
        <x:v>0.11764705882352941</x:v>
      </x:c>
      <x:c r="T7" s="24" t="n">
        <x:v>-51</x:v>
      </x:c>
      <x:c r="U7" s="26" t="n">
        <x:v>0.1</x:v>
      </x:c>
      <x:c r="V7" s="24" t="n">
        <x:v>163</x:v>
      </x:c>
      <x:c r="W7"/>
      <x:c r="X7"/>
    </x:row>
    <x:row r="8">
      <x:c r="A8" s="1" t="n">
        <x:v>6</x:v>
      </x:c>
      <x:c r="B8" s="27" t="n">
        <x:v>45605</x:v>
      </x:c>
      <x:c r="C8" s="1" t="str">
        <x:v>Pearl</x:v>
      </x:c>
      <x:c r="D8" s="1" t="str">
        <x:v>10th</x:v>
      </x:c>
      <x:c r="E8" s="1" t="str">
        <x:v>Sage</x:v>
      </x:c>
      <x:c r="F8" s="1" t="str">
        <x:v>Sentinel</x:v>
      </x:c>
      <x:c r="G8" s="1" t="n">
        <x:v>10</x:v>
      </x:c>
      <x:c r="H8" s="1" t="n">
        <x:f t="shared" si="0"/>
        <x:v>13</x:v>
      </x:c>
      <x:c r="I8" s="1" t="str">
        <x:f t="shared" si="1">IF(G8&gt;H8,"Win",IF(G8&lt;H8,"Loss","Draw"))</x:f>
        <x:v>Loss</x:v>
      </x:c>
      <x:c r="J8" s="1" t="n">
        <x:f t="shared" si="2">IF(I8="Win",1,IF(I8="Loss",0,""))</x:f>
        <x:v>0</x:v>
      </x:c>
      <x:c r="K8" s="1" t="n">
        <x:f t="shared" si="3">G8-H8</x:f>
        <x:v>-3</x:v>
      </x:c>
      <x:c r="L8" s="1" t="n">
        <x:f>G8+H8</x:f>
        <x:v>23</x:v>
      </x:c>
      <x:c r="M8" s="1" t="n">
        <x:v>7</x:v>
      </x:c>
      <x:c r="N8" s="1" t="n">
        <x:v>17</x:v>
      </x:c>
      <x:c r="O8" s="3" t="n">
        <x:f t="shared" si="4"/>
        <x:v>8</x:v>
      </x:c>
      <x:c r="P8" s="22" t="n">
        <x:f t="shared" si="5">IF(N8=0,"",M8/N8)</x:f>
        <x:v>0.4117647058823529</x:v>
      </x:c>
      <x:c r="Q8" s="22" t="n">
        <x:f t="shared" si="6">IF(L8=0,"",M8/L8)</x:f>
        <x:v>0.30434782608695654</x:v>
      </x:c>
      <x:c r="R8" s="22" t="n">
        <x:f t="shared" si="7">IF(L8=0,"",N8/L8)</x:f>
        <x:v>0.7391304347826086</x:v>
      </x:c>
      <x:c r="S8" s="22" t="n">
        <x:f>IF(L8=0,"",O8/L8)</x:f>
        <x:v>0.34782608695652173</x:v>
      </x:c>
      <x:c r="T8" s="24" t="n">
        <x:v>-69</x:v>
      </x:c>
      <x:c r="U8" s="26" t="n">
        <x:v>0.04</x:v>
      </x:c>
      <x:c r="V8" s="24" t="n">
        <x:v>102</x:v>
      </x:c>
      <x:c r="W8"/>
      <x:c r="X8"/>
    </x:row>
    <x:row r="9">
      <x:c r="A9" s="1" t="n">
        <x:v>7</x:v>
      </x:c>
      <x:c r="B9" s="27" t="n">
        <x:v>45605</x:v>
      </x:c>
      <x:c r="C9" s="1" t="str">
        <x:v>Pearl</x:v>
      </x:c>
      <x:c r="D9" s="1" t="str">
        <x:v>8th</x:v>
      </x:c>
      <x:c r="E9" s="1" t="str">
        <x:v>Breach</x:v>
      </x:c>
      <x:c r="F9" s="1" t="str">
        <x:v>Initiator</x:v>
      </x:c>
      <x:c r="G9" s="1" t="n">
        <x:v>13</x:v>
      </x:c>
      <x:c r="H9" s="1" t="n">
        <x:f t="shared" si="0"/>
        <x:v>6</x:v>
      </x:c>
      <x:c r="I9" s="1" t="str">
        <x:f t="shared" si="1">IF(G9&gt;H9,"Win",IF(G9&lt;H9,"Loss","Draw"))</x:f>
        <x:v>Win</x:v>
      </x:c>
      <x:c r="J9" s="1" t="n">
        <x:f t="shared" si="2">IF(I9="Win",1,IF(I9="Loss",0,""))</x:f>
        <x:v>1</x:v>
      </x:c>
      <x:c r="K9" s="1" t="n">
        <x:f t="shared" si="3">G9-H9</x:f>
        <x:v>7</x:v>
      </x:c>
      <x:c r="L9" s="1" t="n">
        <x:f>G9+H9</x:f>
        <x:v>19</x:v>
      </x:c>
      <x:c r="M9" s="1" t="n">
        <x:v>8</x:v>
      </x:c>
      <x:c r="N9" s="1" t="n">
        <x:v>13</x:v>
      </x:c>
      <x:c r="O9" s="3" t="n">
        <x:f t="shared" si="4"/>
        <x:v>1</x:v>
      </x:c>
      <x:c r="P9" s="22" t="n">
        <x:f t="shared" si="5">IF(N9=0,"",M9/N9)</x:f>
        <x:v>0.6153846153846154</x:v>
      </x:c>
      <x:c r="Q9" s="22" t="n">
        <x:f t="shared" si="6">IF(L9=0,"",M9/L9)</x:f>
        <x:v>0.42105263157894735</x:v>
      </x:c>
      <x:c r="R9" s="22" t="n">
        <x:f t="shared" si="7">IF(L9=0,"",N9/L9)</x:f>
        <x:v>0.6842105263157895</x:v>
      </x:c>
      <x:c r="S9" s="22" t="n">
        <x:f>IF(L9=0,"",O9/L9)</x:f>
        <x:v>0.05263157894736842</x:v>
      </x:c>
      <x:c r="T9" s="24" t="n">
        <x:v>-34</x:v>
      </x:c>
      <x:c r="U9" s="26" t="n">
        <x:v>0.11</x:v>
      </x:c>
      <x:c r="V9" s="24" t="n">
        <x:v>122</x:v>
      </x:c>
      <x:c r="W9"/>
      <x:c r="X9"/>
    </x:row>
    <x:row r="10">
      <x:c r="A10" s="1" t="n">
        <x:v>8</x:v>
      </x:c>
      <x:c r="B10" s="27" t="n">
        <x:v>45606</x:v>
      </x:c>
      <x:c r="C10" s="1" t="str">
        <x:v>Abyss</x:v>
      </x:c>
      <x:c r="D10" s="1" t="str">
        <x:v>7th</x:v>
      </x:c>
      <x:c r="E10" s="1" t="str">
        <x:v>Sage</x:v>
      </x:c>
      <x:c r="F10" s="1" t="str">
        <x:v>Sentinel</x:v>
      </x:c>
      <x:c r="G10" s="1" t="n">
        <x:v>11</x:v>
      </x:c>
      <x:c r="H10" s="1" t="n">
        <x:f t="shared" si="0"/>
        <x:v>13</x:v>
      </x:c>
      <x:c r="I10" s="1" t="str">
        <x:f t="shared" si="1">IF(G10&gt;H10,"Win",IF(G10&lt;H10,"Loss","Draw"))</x:f>
        <x:v>Loss</x:v>
      </x:c>
      <x:c r="J10" s="1" t="n">
        <x:f t="shared" si="2">IF(I10="Win",1,IF(I10="Loss",0,""))</x:f>
        <x:v>0</x:v>
      </x:c>
      <x:c r="K10" s="1" t="n">
        <x:f t="shared" si="3">G10-H10</x:f>
        <x:v>-2</x:v>
      </x:c>
      <x:c r="L10" s="1" t="n">
        <x:f>G10+H10</x:f>
        <x:v>24</x:v>
      </x:c>
      <x:c r="M10" s="1" t="n">
        <x:v>16</x:v>
      </x:c>
      <x:c r="N10" s="1" t="n">
        <x:v>19</x:v>
      </x:c>
      <x:c r="O10" s="3" t="n">
        <x:f t="shared" si="4"/>
        <x:v>11</x:v>
      </x:c>
      <x:c r="P10" s="22" t="n">
        <x:f t="shared" si="5">IF(N10=0,"",M10/N10)</x:f>
        <x:v>0.8421052631578947</x:v>
      </x:c>
      <x:c r="Q10" s="22" t="n">
        <x:f t="shared" si="6">IF(L10=0,"",M10/L10)</x:f>
        <x:v>0.6666666666666666</x:v>
      </x:c>
      <x:c r="R10" s="22" t="n">
        <x:f t="shared" si="7">IF(L10=0,"",N10/L10)</x:f>
        <x:v>0.7916666666666666</x:v>
      </x:c>
      <x:c r="S10" s="22" t="n">
        <x:f>IF(L10=0,"",O10/L10)</x:f>
        <x:v>0.4583333333333333</x:v>
      </x:c>
      <x:c r="T10" s="24" t="n">
        <x:v>-27</x:v>
      </x:c>
      <x:c r="U10" s="26" t="n">
        <x:v>0.06</x:v>
      </x:c>
      <x:c r="V10" s="24" t="n">
        <x:v>198</x:v>
      </x:c>
      <x:c r="W10"/>
      <x:c r="X10"/>
    </x:row>
    <x:row r="11">
      <x:c r="A11" s="1" t="n">
        <x:v>9</x:v>
      </x:c>
      <x:c r="B11" s="27" t="n">
        <x:v>45606</x:v>
      </x:c>
      <x:c r="C11" s="1" t="str">
        <x:v>Ascent</x:v>
      </x:c>
      <x:c r="D11" s="1" t="str">
        <x:v>4th</x:v>
      </x:c>
      <x:c r="E11" s="1" t="str">
        <x:v>Sage</x:v>
      </x:c>
      <x:c r="F11" s="1" t="str">
        <x:v>Sentinel</x:v>
      </x:c>
      <x:c r="G11" s="1" t="n">
        <x:v>10</x:v>
      </x:c>
      <x:c r="H11" s="1" t="n">
        <x:f t="shared" si="0"/>
        <x:v>3</x:v>
      </x:c>
      <x:c r="I11" s="1" t="str">
        <x:f t="shared" si="1">IF(G11&gt;H11,"Win",IF(G11&lt;H11,"Loss","Draw"))</x:f>
        <x:v>Win</x:v>
      </x:c>
      <x:c r="J11" s="1" t="n">
        <x:f t="shared" si="2">IF(I11="Win",1,IF(I11="Loss",0,""))</x:f>
        <x:v>1</x:v>
      </x:c>
      <x:c r="K11" s="1" t="n">
        <x:f t="shared" si="3">G11-H11</x:f>
        <x:v>7</x:v>
      </x:c>
      <x:c r="L11" s="1" t="n">
        <x:f>G11+H11</x:f>
        <x:v>13</x:v>
      </x:c>
      <x:c r="M11" s="1" t="n">
        <x:v>11</x:v>
      </x:c>
      <x:c r="N11" s="1" t="n">
        <x:v>5</x:v>
      </x:c>
      <x:c r="O11" s="3" t="n">
        <x:f t="shared" si="4"/>
        <x:v>1</x:v>
      </x:c>
      <x:c r="P11" s="22" t="n">
        <x:f t="shared" si="5">IF(N11=0,"",M11/N11)</x:f>
        <x:v>2.2</x:v>
      </x:c>
      <x:c r="Q11" s="22" t="n">
        <x:f t="shared" si="6">IF(L11=0,"",M11/L11)</x:f>
        <x:v>0.8461538461538461</x:v>
      </x:c>
      <x:c r="R11" s="22" t="n">
        <x:f t="shared" si="7">IF(L11=0,"",N11/L11)</x:f>
        <x:v>0.38461538461538464</x:v>
      </x:c>
      <x:c r="S11" s="22" t="n">
        <x:f>IF(L11=0,"",O11/L11)</x:f>
        <x:v>0.07692307692307693</x:v>
      </x:c>
      <x:c r="T11" s="24" t="n">
        <x:v>62</x:v>
      </x:c>
      <x:c r="U11" s="26" t="n">
        <x:v>0.11</x:v>
      </x:c>
      <x:c r="V11" s="24" t="n">
        <x:v>230</x:v>
      </x:c>
      <x:c r="W11"/>
      <x:c r="X11"/>
    </x:row>
    <x:row r="12">
      <x:c r="A12" s="1" t="n">
        <x:v>10</x:v>
      </x:c>
      <x:c r="B12" s="27" t="n">
        <x:v>45607</x:v>
      </x:c>
      <x:c r="C12" s="1" t="str">
        <x:v>Split</x:v>
      </x:c>
      <x:c r="D12" s="1" t="str">
        <x:v>10th</x:v>
      </x:c>
      <x:c r="E12" s="1" t="str">
        <x:v>Sage</x:v>
      </x:c>
      <x:c r="F12" s="1" t="str">
        <x:v>Sentinel</x:v>
      </x:c>
      <x:c r="G12" s="1" t="n">
        <x:v>8</x:v>
      </x:c>
      <x:c r="H12" s="1" t="n">
        <x:f t="shared" si="0"/>
        <x:v>13</x:v>
      </x:c>
      <x:c r="I12" s="1" t="str">
        <x:f t="shared" si="1">IF(G12&gt;H12,"Win",IF(G12&lt;H12,"Loss","Draw"))</x:f>
        <x:v>Loss</x:v>
      </x:c>
      <x:c r="J12" s="1" t="n">
        <x:f t="shared" si="2">IF(I12="Win",1,IF(I12="Loss",0,""))</x:f>
        <x:v>0</x:v>
      </x:c>
      <x:c r="K12" s="1" t="n">
        <x:f t="shared" si="3">G12-H12</x:f>
        <x:v>-5</x:v>
      </x:c>
      <x:c r="L12" s="1" t="n">
        <x:f>G12+H12</x:f>
        <x:v>21</x:v>
      </x:c>
      <x:c r="M12" s="1" t="n">
        <x:v>6</x:v>
      </x:c>
      <x:c r="N12" s="1" t="n">
        <x:v>19</x:v>
      </x:c>
      <x:c r="O12" s="3" t="n">
        <x:f t="shared" si="4"/>
        <x:v>3</x:v>
      </x:c>
      <x:c r="P12" s="22" t="n">
        <x:f t="shared" si="5">IF(N12=0,"",M12/N12)</x:f>
        <x:v>0.3157894736842105</x:v>
      </x:c>
      <x:c r="Q12" s="22" t="n">
        <x:f t="shared" si="6">IF(L12=0,"",M12/L12)</x:f>
        <x:v>0.2857142857142857</x:v>
      </x:c>
      <x:c r="R12" s="22" t="n">
        <x:f t="shared" si="7">IF(L12=0,"",N12/L12)</x:f>
        <x:v>0.9047619047619048</x:v>
      </x:c>
      <x:c r="S12" s="22" t="n">
        <x:f>IF(L12=0,"",O12/L12)</x:f>
        <x:v>0.14285714285714285</x:v>
      </x:c>
      <x:c r="T12" s="24" t="n">
        <x:v>-91</x:v>
      </x:c>
      <x:c r="U12" s="26" t="n">
        <x:v>0.07</x:v>
      </x:c>
      <x:c r="V12" s="24" t="n">
        <x:v>96</x:v>
      </x:c>
      <x:c r="W12"/>
      <x:c r="X12"/>
    </x:row>
    <x:row r="13">
      <x:c r="A13" s="1" t="n">
        <x:v>11</x:v>
      </x:c>
      <x:c r="B13" s="27" t="n">
        <x:v>45607</x:v>
      </x:c>
      <x:c r="C13" s="1" t="str">
        <x:v>Ascent</x:v>
      </x:c>
      <x:c r="D13" s="1" t="str">
        <x:v>10th</x:v>
      </x:c>
      <x:c r="E13" s="1" t="str">
        <x:v>Sage</x:v>
      </x:c>
      <x:c r="F13" s="1" t="str">
        <x:v>Sentinel</x:v>
      </x:c>
      <x:c r="G13" s="1" t="n">
        <x:v>13</x:v>
      </x:c>
      <x:c r="H13" s="1" t="n">
        <x:f t="shared" si="0"/>
        <x:v>10</x:v>
      </x:c>
      <x:c r="I13" s="1" t="str">
        <x:f t="shared" si="1">IF(G13&gt;H13,"Win",IF(G13&lt;H13,"Loss","Draw"))</x:f>
        <x:v>Win</x:v>
      </x:c>
      <x:c r="J13" s="1" t="n">
        <x:f t="shared" si="2">IF(I13="Win",1,IF(I13="Loss",0,""))</x:f>
        <x:v>1</x:v>
      </x:c>
      <x:c r="K13" s="1" t="n">
        <x:f t="shared" si="3">G13-H13</x:f>
        <x:v>3</x:v>
      </x:c>
      <x:c r="L13" s="1" t="n">
        <x:f>G13+H13</x:f>
        <x:v>23</x:v>
      </x:c>
      <x:c r="M13" s="1" t="n">
        <x:v>4</x:v>
      </x:c>
      <x:c r="N13" s="1" t="n">
        <x:v>19</x:v>
      </x:c>
      <x:c r="O13" s="3" t="n">
        <x:f t="shared" si="4"/>
        <x:v>5</x:v>
      </x:c>
      <x:c r="P13" s="22" t="n">
        <x:f t="shared" si="5">IF(N13=0,"",M13/N13)</x:f>
        <x:v>0.21052631578947367</x:v>
      </x:c>
      <x:c r="Q13" s="22" t="n">
        <x:f t="shared" si="6">IF(L13=0,"",M13/L13)</x:f>
        <x:v>0.17391304347826086</x:v>
      </x:c>
      <x:c r="R13" s="22" t="n">
        <x:f t="shared" si="7">IF(L13=0,"",N13/L13)</x:f>
        <x:v>0.8260869565217391</x:v>
      </x:c>
      <x:c r="S13" s="22" t="n">
        <x:f>IF(L13=0,"",O13/L13)</x:f>
        <x:v>0.21739130434782608</x:v>
      </x:c>
      <x:c r="T13" s="24" t="n">
        <x:v>-97</x:v>
      </x:c>
      <x:c r="U13" s="26" t="n">
        <x:v>0.06</x:v>
      </x:c>
      <x:c r="V13" s="24" t="n">
        <x:v>65</x:v>
      </x:c>
      <x:c r="W13"/>
      <x:c r="X13"/>
    </x:row>
    <x:row r="14">
      <x:c r="A14" s="1" t="n">
        <x:v>12</x:v>
      </x:c>
      <x:c r="B14" s="27" t="n">
        <x:v>45607</x:v>
      </x:c>
      <x:c r="C14" s="1" t="str">
        <x:v>Haven</x:v>
      </x:c>
      <x:c r="D14" s="1" t="str">
        <x:v>6th</x:v>
      </x:c>
      <x:c r="E14" s="1" t="str">
        <x:v>Clove</x:v>
      </x:c>
      <x:c r="F14" s="1" t="str">
        <x:v>Controller</x:v>
      </x:c>
      <x:c r="G14" s="1" t="n">
        <x:v>13</x:v>
      </x:c>
      <x:c r="H14" s="1" t="n">
        <x:f t="shared" si="0"/>
        <x:v>9</x:v>
      </x:c>
      <x:c r="I14" s="1" t="str">
        <x:f t="shared" si="1">IF(G14&gt;H14,"Win",IF(G14&lt;H14,"Loss","Draw"))</x:f>
        <x:v>Win</x:v>
      </x:c>
      <x:c r="J14" s="1" t="n">
        <x:f t="shared" si="2">IF(I14="Win",1,IF(I14="Loss",0,""))</x:f>
        <x:v>1</x:v>
      </x:c>
      <x:c r="K14" s="1" t="n">
        <x:f t="shared" si="3">G14-H14</x:f>
        <x:v>4</x:v>
      </x:c>
      <x:c r="L14" s="1" t="n">
        <x:f>G14+H14</x:f>
        <x:v>22</x:v>
      </x:c>
      <x:c r="M14" s="1" t="n">
        <x:v>17</x:v>
      </x:c>
      <x:c r="N14" s="1" t="n">
        <x:v>18</x:v>
      </x:c>
      <x:c r="O14" s="3" t="n">
        <x:f t="shared" si="4"/>
        <x:v>3</x:v>
      </x:c>
      <x:c r="P14" s="22" t="n">
        <x:f t="shared" si="5">IF(N14=0,"",M14/N14)</x:f>
        <x:v>0.9444444444444444</x:v>
      </x:c>
      <x:c r="Q14" s="22" t="n">
        <x:f t="shared" si="6">IF(L14=0,"",M14/L14)</x:f>
        <x:v>0.7727272727272727</x:v>
      </x:c>
      <x:c r="R14" s="22" t="n">
        <x:f t="shared" si="7">IF(L14=0,"",N14/L14)</x:f>
        <x:v>0.8181818181818182</x:v>
      </x:c>
      <x:c r="S14" s="22" t="n">
        <x:f>IF(L14=0,"",O14/L14)</x:f>
        <x:v>0.13636363636363635</x:v>
      </x:c>
      <x:c r="T14" s="24" t="n">
        <x:v>-20</x:v>
      </x:c>
      <x:c r="U14" s="26" t="n">
        <x:v>0.04</x:v>
      </x:c>
      <x:c r="V14" s="24" t="n">
        <x:v>197</x:v>
      </x:c>
      <x:c r="W14"/>
      <x:c r="X14"/>
    </x:row>
    <x:row r="15">
      <x:c r="A15" s="1" t="n">
        <x:v>13</x:v>
      </x:c>
      <x:c r="B15" s="27" t="n">
        <x:v>45607</x:v>
      </x:c>
      <x:c r="C15" s="1" t="str">
        <x:v>Bind</x:v>
      </x:c>
      <x:c r="D15" s="1" t="str">
        <x:v>6th</x:v>
      </x:c>
      <x:c r="E15" s="1" t="str">
        <x:v>Clove</x:v>
      </x:c>
      <x:c r="F15" s="1" t="str">
        <x:v>Controller</x:v>
      </x:c>
      <x:c r="G15" s="1" t="n">
        <x:v>13</x:v>
      </x:c>
      <x:c r="H15" s="1" t="n">
        <x:f t="shared" si="0"/>
        <x:v>3</x:v>
      </x:c>
      <x:c r="I15" s="1" t="str">
        <x:f t="shared" si="1">IF(G15&gt;H15,"Win",IF(G15&lt;H15,"Loss","Draw"))</x:f>
        <x:v>Win</x:v>
      </x:c>
      <x:c r="J15" s="1" t="n">
        <x:f t="shared" si="2">IF(I15="Win",1,IF(I15="Loss",0,""))</x:f>
        <x:v>1</x:v>
      </x:c>
      <x:c r="K15" s="1" t="n">
        <x:f t="shared" si="3">G15-H15</x:f>
        <x:v>10</x:v>
      </x:c>
      <x:c r="L15" s="1" t="n">
        <x:f>G15+H15</x:f>
        <x:v>16</x:v>
      </x:c>
      <x:c r="M15" s="1" t="n">
        <x:v>4</x:v>
      </x:c>
      <x:c r="N15" s="1" t="n">
        <x:v>8</x:v>
      </x:c>
      <x:c r="O15" s="3" t="n">
        <x:f t="shared" si="4"/>
        <x:v>4</x:v>
      </x:c>
      <x:c r="P15" s="22" t="n">
        <x:f t="shared" si="5">IF(N15=0,"",M15/N15)</x:f>
        <x:v>0.5</x:v>
      </x:c>
      <x:c r="Q15" s="22" t="n">
        <x:f t="shared" si="6">IF(L15=0,"",M15/L15)</x:f>
        <x:v>0.25</x:v>
      </x:c>
      <x:c r="R15" s="22" t="n">
        <x:f t="shared" si="7">IF(L15=0,"",N15/L15)</x:f>
        <x:v>0.5</x:v>
      </x:c>
      <x:c r="S15" s="22" t="n">
        <x:f>IF(L15=0,"",O15/L15)</x:f>
        <x:v>0.25</x:v>
      </x:c>
      <x:c r="T15" s="24" t="n">
        <x:v>-32</x:v>
      </x:c>
      <x:c r="U15" s="26" t="n">
        <x:v>0.11</x:v>
      </x:c>
      <x:c r="V15" s="24" t="n">
        <x:v>67</x:v>
      </x:c>
      <x:c r="W15"/>
      <x:c r="X15"/>
    </x:row>
    <x:row r="16">
      <x:c r="A16" s="1" t="n">
        <x:v>14</x:v>
      </x:c>
      <x:c r="B16" s="27" t="n">
        <x:v>45614</x:v>
      </x:c>
      <x:c r="C16" s="1" t="str">
        <x:v>Pearl</x:v>
      </x:c>
      <x:c r="D16" s="1" t="str">
        <x:v>10th</x:v>
      </x:c>
      <x:c r="E16" s="1" t="str">
        <x:v>Clove</x:v>
      </x:c>
      <x:c r="F16" s="1" t="str">
        <x:v>Controller</x:v>
      </x:c>
      <x:c r="G16" s="1" t="n">
        <x:v>5</x:v>
      </x:c>
      <x:c r="H16" s="1" t="n">
        <x:f t="shared" si="0"/>
        <x:v>13</x:v>
      </x:c>
      <x:c r="I16" s="1" t="str">
        <x:f t="shared" si="1">IF(G16&gt;H16,"Win",IF(G16&lt;H16,"Loss","Draw"))</x:f>
        <x:v>Loss</x:v>
      </x:c>
      <x:c r="J16" s="1" t="n">
        <x:f t="shared" si="2">IF(I16="Win",1,IF(I16="Loss",0,""))</x:f>
        <x:v>0</x:v>
      </x:c>
      <x:c r="K16" s="1" t="n">
        <x:f t="shared" si="3">G16-H16</x:f>
        <x:v>-8</x:v>
      </x:c>
      <x:c r="L16" s="1" t="n">
        <x:f>G16+H16</x:f>
        <x:v>18</x:v>
      </x:c>
      <x:c r="M16" s="1" t="n">
        <x:v>5</x:v>
      </x:c>
      <x:c r="N16" s="1" t="n">
        <x:v>15</x:v>
      </x:c>
      <x:c r="O16" s="3" t="n">
        <x:f t="shared" si="4"/>
        <x:v>1</x:v>
      </x:c>
      <x:c r="P16" s="22" t="n">
        <x:f t="shared" si="5">IF(N16=0,"",M16/N16)</x:f>
        <x:v>0.3333333333333333</x:v>
      </x:c>
      <x:c r="Q16" s="22" t="n">
        <x:f t="shared" si="6">IF(L16=0,"",M16/L16)</x:f>
        <x:v>0.2777777777777778</x:v>
      </x:c>
      <x:c r="R16" s="22" t="n">
        <x:f t="shared" si="7">IF(L16=0,"",N16/L16)</x:f>
        <x:v>0.8333333333333334</x:v>
      </x:c>
      <x:c r="S16" s="22" t="n">
        <x:f>IF(L16=0,"",O16/L16)</x:f>
        <x:v>0.05555555555555555</x:v>
      </x:c>
      <x:c r="T16" s="24" t="n">
        <x:v>-96</x:v>
      </x:c>
      <x:c r="U16" s="26" t="n">
        <x:v>0.09</x:v>
      </x:c>
      <x:c r="V16" s="24" t="n">
        <x:v>79</x:v>
      </x:c>
      <x:c r="W16"/>
      <x:c r="X16"/>
    </x:row>
    <x:row r="17">
      <x:c r="A17" s="1" t="n">
        <x:v>15</x:v>
      </x:c>
      <x:c r="B17" s="27" t="n">
        <x:v>45618</x:v>
      </x:c>
      <x:c r="C17" s="1" t="str">
        <x:v>Pearl</x:v>
      </x:c>
      <x:c r="D17" s="1" t="str">
        <x:v>9th</x:v>
      </x:c>
      <x:c r="E17" s="1" t="str">
        <x:v>Clove</x:v>
      </x:c>
      <x:c r="F17" s="1" t="str">
        <x:v>Controller</x:v>
      </x:c>
      <x:c r="G17" s="1" t="n">
        <x:v>11</x:v>
      </x:c>
      <x:c r="H17" s="1" t="n">
        <x:f t="shared" si="0"/>
        <x:v>13</x:v>
      </x:c>
      <x:c r="I17" s="1" t="str">
        <x:f t="shared" si="1">IF(G17&gt;H17,"Win",IF(G17&lt;H17,"Loss","Draw"))</x:f>
        <x:v>Loss</x:v>
      </x:c>
      <x:c r="J17" s="1" t="n">
        <x:f t="shared" si="2">IF(I17="Win",1,IF(I17="Loss",0,""))</x:f>
        <x:v>0</x:v>
      </x:c>
      <x:c r="K17" s="1" t="n">
        <x:f t="shared" si="3">G17-H17</x:f>
        <x:v>-2</x:v>
      </x:c>
      <x:c r="L17" s="1" t="n">
        <x:f>G17+H17</x:f>
        <x:v>24</x:v>
      </x:c>
      <x:c r="M17" s="1" t="n">
        <x:v>8</x:v>
      </x:c>
      <x:c r="N17" s="1" t="n">
        <x:v>20</x:v>
      </x:c>
      <x:c r="O17" s="3" t="n">
        <x:f t="shared" si="4"/>
        <x:v>2</x:v>
      </x:c>
      <x:c r="P17" s="22" t="n">
        <x:f t="shared" si="5">IF(N17=0,"",M17/N17)</x:f>
        <x:v>0.4</x:v>
      </x:c>
      <x:c r="Q17" s="22" t="n">
        <x:f t="shared" si="6">IF(L17=0,"",M17/L17)</x:f>
        <x:v>0.3333333333333333</x:v>
      </x:c>
      <x:c r="R17" s="22" t="n">
        <x:f t="shared" si="7">IF(L17=0,"",N17/L17)</x:f>
        <x:v>0.8333333333333334</x:v>
      </x:c>
      <x:c r="S17" s="22" t="n">
        <x:f>IF(L17=0,"",O17/L17)</x:f>
        <x:v>0.08333333333333333</x:v>
      </x:c>
      <x:c r="T17" s="24" t="n">
        <x:v>-86</x:v>
      </x:c>
      <x:c r="U17" s="26" t="n">
        <x:v>0.07</x:v>
      </x:c>
      <x:c r="V17" s="24" t="n">
        <x:v>99</x:v>
      </x:c>
      <x:c r="W17"/>
      <x:c r="X17"/>
    </x:row>
    <x:row r="18">
      <x:c r="A18" s="1" t="n">
        <x:v>16</x:v>
      </x:c>
      <x:c r="B18" s="27" t="n">
        <x:v>45618</x:v>
      </x:c>
      <x:c r="C18" s="1" t="str">
        <x:v>Ascent</x:v>
      </x:c>
      <x:c r="D18" s="1" t="str">
        <x:v>8th</x:v>
      </x:c>
      <x:c r="E18" s="1" t="str">
        <x:v>Sage</x:v>
      </x:c>
      <x:c r="F18" s="1" t="str">
        <x:v>Sentinel</x:v>
      </x:c>
      <x:c r="G18" s="1" t="n">
        <x:v>13</x:v>
      </x:c>
      <x:c r="H18" s="1" t="n">
        <x:f t="shared" si="0"/>
        <x:v>3</x:v>
      </x:c>
      <x:c r="I18" s="1" t="str">
        <x:f t="shared" si="1">IF(G18&gt;H18,"Win",IF(G18&lt;H18,"Loss","Draw"))</x:f>
        <x:v>Win</x:v>
      </x:c>
      <x:c r="J18" s="1" t="n">
        <x:f t="shared" si="2">IF(I18="Win",1,IF(I18="Loss",0,""))</x:f>
        <x:v>1</x:v>
      </x:c>
      <x:c r="K18" s="1" t="n">
        <x:f t="shared" si="3">G18-H18</x:f>
        <x:v>10</x:v>
      </x:c>
      <x:c r="L18" s="1" t="n">
        <x:f>G18+H18</x:f>
        <x:v>16</x:v>
      </x:c>
      <x:c r="M18" s="1" t="n">
        <x:v>6</x:v>
      </x:c>
      <x:c r="N18" s="1" t="n">
        <x:v>6</x:v>
      </x:c>
      <x:c r="O18" s="3" t="n">
        <x:f t="shared" si="4"/>
        <x:v>4</x:v>
      </x:c>
      <x:c r="P18" s="22" t="n">
        <x:f t="shared" si="5">IF(N18=0,"",M18/N18)</x:f>
        <x:v>1</x:v>
      </x:c>
      <x:c r="Q18" s="22" t="n">
        <x:f t="shared" si="6">IF(L18=0,"",M18/L18)</x:f>
        <x:v>0.375</x:v>
      </x:c>
      <x:c r="R18" s="22" t="n">
        <x:f t="shared" si="7">IF(L18=0,"",N18/L18)</x:f>
        <x:v>0.375</x:v>
      </x:c>
      <x:c r="S18" s="22" t="n">
        <x:f>IF(L18=0,"",O18/L18)</x:f>
        <x:v>0.25</x:v>
      </x:c>
      <x:c r="T18" s="24" t="n">
        <x:v>-15</x:v>
      </x:c>
      <x:c r="U18" s="26" t="n">
        <x:v>0.04</x:v>
      </x:c>
      <x:c r="V18" s="24" t="n">
        <x:v>100</x:v>
      </x:c>
      <x:c r="W18"/>
      <x:c r="X18"/>
    </x:row>
    <x:row r="19">
      <x:c r="A19" s="1" t="n">
        <x:v>17</x:v>
      </x:c>
      <x:c r="B19" s="27" t="n">
        <x:v>45618</x:v>
      </x:c>
      <x:c r="C19" s="1" t="str">
        <x:v>Ascent</x:v>
      </x:c>
      <x:c r="D19" s="1" t="str">
        <x:v>4th</x:v>
      </x:c>
      <x:c r="E19" s="1" t="str">
        <x:v>Clove</x:v>
      </x:c>
      <x:c r="F19" s="1" t="str">
        <x:v>Controller</x:v>
      </x:c>
      <x:c r="G19" s="1" t="n">
        <x:v>9</x:v>
      </x:c>
      <x:c r="H19" s="1" t="n">
        <x:f t="shared" si="0"/>
        <x:v>13</x:v>
      </x:c>
      <x:c r="I19" s="1" t="str">
        <x:f t="shared" si="1">IF(G19&gt;H19,"Win",IF(G19&lt;H19,"Loss","Draw"))</x:f>
        <x:v>Loss</x:v>
      </x:c>
      <x:c r="J19" s="1" t="n">
        <x:f t="shared" si="2">IF(I19="Win",1,IF(I19="Loss",0,""))</x:f>
        <x:v>0</x:v>
      </x:c>
      <x:c r="K19" s="1" t="n">
        <x:f t="shared" si="3">G19-H19</x:f>
        <x:v>-4</x:v>
      </x:c>
      <x:c r="L19" s="1" t="n">
        <x:f>G19+H19</x:f>
        <x:v>22</x:v>
      </x:c>
      <x:c r="M19" s="1" t="n">
        <x:v>18</x:v>
      </x:c>
      <x:c r="N19" s="1" t="n">
        <x:v>23</x:v>
      </x:c>
      <x:c r="O19" s="3" t="n">
        <x:f t="shared" si="4"/>
        <x:v>4</x:v>
      </x:c>
      <x:c r="P19" s="22" t="n">
        <x:f t="shared" si="5">IF(N19=0,"",M19/N19)</x:f>
        <x:v>0.782608695652174</x:v>
      </x:c>
      <x:c r="Q19" s="22" t="n">
        <x:f t="shared" si="6">IF(L19=0,"",M19/L19)</x:f>
        <x:v>0.8181818181818182</x:v>
      </x:c>
      <x:c r="R19" s="22" t="n">
        <x:f t="shared" si="7">IF(L19=0,"",N19/L19)</x:f>
        <x:v>1.0454545454545454</x:v>
      </x:c>
      <x:c r="S19" s="22" t="n">
        <x:f>IF(L19=0,"",O19/L19)</x:f>
        <x:v>0.18181818181818182</x:v>
      </x:c>
      <x:c r="T19" s="24" t="n">
        <x:v>-45</x:v>
      </x:c>
      <x:c r="U19" s="26" t="n">
        <x:v>0.08</x:v>
      </x:c>
      <x:c r="V19" s="24" t="n">
        <x:v>236</x:v>
      </x:c>
      <x:c r="W19"/>
      <x:c r="X19"/>
    </x:row>
    <x:row r="20">
      <x:c r="A20" s="1" t="n">
        <x:v>18</x:v>
      </x:c>
      <x:c r="B20" s="27" t="n">
        <x:v>45619</x:v>
      </x:c>
      <x:c r="C20" s="1" t="str">
        <x:v>Bind</x:v>
      </x:c>
      <x:c r="D20" s="1" t="str">
        <x:v>7th</x:v>
      </x:c>
      <x:c r="E20" s="1" t="str">
        <x:v>Clove</x:v>
      </x:c>
      <x:c r="F20" s="1" t="str">
        <x:v>Controller</x:v>
      </x:c>
      <x:c r="G20" s="1" t="n">
        <x:v>8</x:v>
      </x:c>
      <x:c r="H20" s="1" t="n">
        <x:f t="shared" si="0"/>
        <x:v>13</x:v>
      </x:c>
      <x:c r="I20" s="1" t="str">
        <x:f t="shared" si="1">IF(G20&gt;H20,"Win",IF(G20&lt;H20,"Loss","Draw"))</x:f>
        <x:v>Loss</x:v>
      </x:c>
      <x:c r="J20" s="1" t="n">
        <x:f t="shared" si="2">IF(I20="Win",1,IF(I20="Loss",0,""))</x:f>
        <x:v>0</x:v>
      </x:c>
      <x:c r="K20" s="1" t="n">
        <x:f t="shared" si="3">G20-H20</x:f>
        <x:v>-5</x:v>
      </x:c>
      <x:c r="L20" s="1" t="n">
        <x:f>G20+H20</x:f>
        <x:v>21</x:v>
      </x:c>
      <x:c r="M20" s="1" t="n">
        <x:v>15</x:v>
      </x:c>
      <x:c r="N20" s="1" t="n">
        <x:v>21</x:v>
      </x:c>
      <x:c r="O20" s="3" t="n">
        <x:f t="shared" si="4"/>
        <x:v>4</x:v>
      </x:c>
      <x:c r="P20" s="22" t="n">
        <x:f t="shared" si="5">IF(N20=0,"",M20/N20)</x:f>
        <x:v>0.7142857142857143</x:v>
      </x:c>
      <x:c r="Q20" s="22" t="n">
        <x:f t="shared" si="6">IF(L20=0,"",M20/L20)</x:f>
        <x:v>0.7142857142857143</x:v>
      </x:c>
      <x:c r="R20" s="22" t="n">
        <x:f t="shared" si="7">IF(L20=0,"",N20/L20)</x:f>
        <x:v>1</x:v>
      </x:c>
      <x:c r="S20" s="22" t="n">
        <x:f>IF(L20=0,"",O20/L20)</x:f>
        <x:v>0.19047619047619047</x:v>
      </x:c>
      <x:c r="T20" s="24" t="n">
        <x:v>-39</x:v>
      </x:c>
      <x:c r="U20" s="26" t="n">
        <x:v>0.12</x:v>
      </x:c>
      <x:c r="V20" s="24" t="n">
        <x:v>196</x:v>
      </x:c>
      <x:c r="W20"/>
      <x:c r="X20"/>
    </x:row>
    <x:row r="21">
      <x:c r="A21" s="1" t="n">
        <x:v>19</x:v>
      </x:c>
      <x:c r="B21" s="27" t="n">
        <x:v>45620</x:v>
      </x:c>
      <x:c r="C21" s="1" t="str">
        <x:v>Pearl</x:v>
      </x:c>
      <x:c r="D21" s="1" t="str">
        <x:v>9th</x:v>
      </x:c>
      <x:c r="E21" s="1" t="str">
        <x:v>Reyna</x:v>
      </x:c>
      <x:c r="F21" s="1" t="str">
        <x:v>Duelist</x:v>
      </x:c>
      <x:c r="G21" s="1" t="n">
        <x:v>3</x:v>
      </x:c>
      <x:c r="H21" s="1" t="n">
        <x:f t="shared" si="0"/>
        <x:v>11</x:v>
      </x:c>
      <x:c r="I21" s="1" t="str">
        <x:f t="shared" si="1">IF(G21&gt;H21,"Win",IF(G21&lt;H21,"Loss","Draw"))</x:f>
        <x:v>Loss</x:v>
      </x:c>
      <x:c r="J21" s="1" t="n">
        <x:f t="shared" si="2">IF(I21="Win",1,IF(I21="Loss",0,""))</x:f>
        <x:v>0</x:v>
      </x:c>
      <x:c r="K21" s="1" t="n">
        <x:f t="shared" si="3">G21-H21</x:f>
        <x:v>-8</x:v>
      </x:c>
      <x:c r="L21" s="1" t="n">
        <x:f>G21+H21</x:f>
        <x:v>14</x:v>
      </x:c>
      <x:c r="M21" s="1" t="n">
        <x:v>6</x:v>
      </x:c>
      <x:c r="N21" s="1" t="n">
        <x:v>11</x:v>
      </x:c>
      <x:c r="O21" s="3" t="n">
        <x:f t="shared" si="4"/>
        <x:v>3</x:v>
      </x:c>
      <x:c r="P21" s="22" t="n">
        <x:f t="shared" si="5">IF(N21=0,"",M21/N21)</x:f>
        <x:v>0.5454545454545454</x:v>
      </x:c>
      <x:c r="Q21" s="22" t="n">
        <x:f t="shared" si="6">IF(L21=0,"",M21/L21)</x:f>
        <x:v>0.42857142857142855</x:v>
      </x:c>
      <x:c r="R21" s="22" t="n">
        <x:f t="shared" si="7">IF(L21=0,"",N21/L21)</x:f>
        <x:v>0.7857142857142857</x:v>
      </x:c>
      <x:c r="S21" s="22" t="n">
        <x:f>IF(L21=0,"",O21/L21)</x:f>
        <x:v>0.21428571428571427</x:v>
      </x:c>
      <x:c r="T21" s="24" t="n">
        <x:v>-45</x:v>
      </x:c>
      <x:c r="U21" s="26" t="n">
        <x:v>0</x:v>
      </x:c>
      <x:c r="V21" s="24" t="n">
        <x:v>134</x:v>
      </x:c>
      <x:c r="W21"/>
      <x:c r="X21"/>
    </x:row>
    <x:row r="22">
      <x:c r="A22" s="1" t="n">
        <x:v>20</x:v>
      </x:c>
      <x:c r="B22" s="27" t="n">
        <x:v>45624</x:v>
      </x:c>
      <x:c r="C22" s="1" t="str">
        <x:v>Haven</x:v>
      </x:c>
      <x:c r="D22" s="1" t="str">
        <x:v>9th</x:v>
      </x:c>
      <x:c r="E22" s="1" t="str">
        <x:v>Clove</x:v>
      </x:c>
      <x:c r="F22" s="1" t="str">
        <x:v>Controller</x:v>
      </x:c>
      <x:c r="G22" s="1" t="n">
        <x:v>13</x:v>
      </x:c>
      <x:c r="H22" s="1" t="n">
        <x:f t="shared" si="0"/>
        <x:v>10</x:v>
      </x:c>
      <x:c r="I22" s="1" t="str">
        <x:f t="shared" si="1">IF(G22&gt;H22,"Win",IF(G22&lt;H22,"Loss","Draw"))</x:f>
        <x:v>Win</x:v>
      </x:c>
      <x:c r="J22" s="1" t="n">
        <x:f t="shared" si="2">IF(I22="Win",1,IF(I22="Loss",0,""))</x:f>
        <x:v>1</x:v>
      </x:c>
      <x:c r="K22" s="1" t="n">
        <x:f t="shared" si="3">G22-H22</x:f>
        <x:v>3</x:v>
      </x:c>
      <x:c r="L22" s="1" t="n">
        <x:f>G22+H22</x:f>
        <x:v>23</x:v>
      </x:c>
      <x:c r="M22" s="1" t="n">
        <x:v>7</x:v>
      </x:c>
      <x:c r="N22" s="1" t="n">
        <x:v>19</x:v>
      </x:c>
      <x:c r="O22" s="3" t="n">
        <x:f t="shared" si="4"/>
        <x:v>3</x:v>
      </x:c>
      <x:c r="P22" s="22" t="n">
        <x:f t="shared" si="5">IF(N22=0,"",M22/N22)</x:f>
        <x:v>0.3684210526315789</x:v>
      </x:c>
      <x:c r="Q22" s="22" t="n">
        <x:f t="shared" si="6">IF(L22=0,"",M22/L22)</x:f>
        <x:v>0.30434782608695654</x:v>
      </x:c>
      <x:c r="R22" s="22" t="n">
        <x:f t="shared" si="7">IF(L22=0,"",N22/L22)</x:f>
        <x:v>0.8260869565217391</x:v>
      </x:c>
      <x:c r="S22" s="22" t="n">
        <x:f>IF(L22=0,"",O22/L22)</x:f>
        <x:v>0.13043478260869565</x:v>
      </x:c>
      <x:c r="T22" s="24" t="n">
        <x:v>-93</x:v>
      </x:c>
      <x:c r="U22" s="26" t="n">
        <x:v>0.06</x:v>
      </x:c>
      <x:c r="V22" s="24" t="n">
        <x:v>82</x:v>
      </x:c>
      <x:c r="W22"/>
      <x:c r="X22"/>
    </x:row>
    <x:row r="23">
      <x:c r="A23" s="1" t="n">
        <x:v>21</x:v>
      </x:c>
      <x:c r="B23" s="27" t="n">
        <x:v>45624</x:v>
      </x:c>
      <x:c r="C23" s="1" t="str">
        <x:v>Abyss</x:v>
      </x:c>
      <x:c r="D23" s="1" t="str">
        <x:v>8th</x:v>
      </x:c>
      <x:c r="E23" s="1" t="str">
        <x:v>Breach</x:v>
      </x:c>
      <x:c r="F23" s="1" t="str">
        <x:v>Initiator</x:v>
      </x:c>
      <x:c r="G23" s="1" t="n">
        <x:v>5</x:v>
      </x:c>
      <x:c r="H23" s="1" t="n">
        <x:f t="shared" si="0"/>
        <x:v>13</x:v>
      </x:c>
      <x:c r="I23" s="1" t="str">
        <x:f t="shared" si="1">IF(G23&gt;H23,"Win",IF(G23&lt;H23,"Loss","Draw"))</x:f>
        <x:v>Loss</x:v>
      </x:c>
      <x:c r="J23" s="1" t="n">
        <x:f t="shared" si="2">IF(I23="Win",1,IF(I23="Loss",0,""))</x:f>
        <x:v>0</x:v>
      </x:c>
      <x:c r="K23" s="1" t="n">
        <x:f t="shared" si="3">G23-H23</x:f>
        <x:v>-8</x:v>
      </x:c>
      <x:c r="L23" s="1" t="n">
        <x:f>G23+H23</x:f>
        <x:v>18</x:v>
      </x:c>
      <x:c r="M23" s="1" t="n">
        <x:v>11</x:v>
      </x:c>
      <x:c r="N23" s="1" t="n">
        <x:v>13</x:v>
      </x:c>
      <x:c r="O23" s="3" t="n">
        <x:f t="shared" si="4"/>
        <x:v>2</x:v>
      </x:c>
      <x:c r="P23" s="22" t="n">
        <x:f t="shared" si="5">IF(N23=0,"",M23/N23)</x:f>
        <x:v>0.8461538461538461</x:v>
      </x:c>
      <x:c r="Q23" s="22" t="n">
        <x:f t="shared" si="6">IF(L23=0,"",M23/L23)</x:f>
        <x:v>0.6111111111111112</x:v>
      </x:c>
      <x:c r="R23" s="22" t="n">
        <x:f t="shared" si="7">IF(L23=0,"",N23/L23)</x:f>
        <x:v>0.7222222222222222</x:v>
      </x:c>
      <x:c r="S23" s="22" t="n">
        <x:f>IF(L23=0,"",O23/L23)</x:f>
        <x:v>0.1111111111111111</x:v>
      </x:c>
      <x:c r="T23" s="24" t="n">
        <x:v>-29</x:v>
      </x:c>
      <x:c r="U23" s="26" t="n">
        <x:v>0.04</x:v>
      </x:c>
      <x:c r="V23" s="24" t="n">
        <x:v>170</x:v>
      </x:c>
      <x:c r="W23"/>
      <x:c r="X23"/>
    </x:row>
    <x:row r="24">
      <x:c r="A24" s="1" t="n">
        <x:v>22</x:v>
      </x:c>
      <x:c r="B24" s="27" t="n">
        <x:v>45625</x:v>
      </x:c>
      <x:c r="C24" s="1" t="str">
        <x:v>Split</x:v>
      </x:c>
      <x:c r="D24" s="1" t="str">
        <x:v>10th</x:v>
      </x:c>
      <x:c r="E24" s="1" t="str">
        <x:v>Breach</x:v>
      </x:c>
      <x:c r="F24" s="1" t="str">
        <x:v>Initiator</x:v>
      </x:c>
      <x:c r="G24" s="1" t="n">
        <x:v>8</x:v>
      </x:c>
      <x:c r="H24" s="1" t="n">
        <x:f t="shared" si="0"/>
        <x:v>13</x:v>
      </x:c>
      <x:c r="I24" s="1" t="str">
        <x:f t="shared" si="1">IF(G24&gt;H24,"Win",IF(G24&lt;H24,"Loss","Draw"))</x:f>
        <x:v>Loss</x:v>
      </x:c>
      <x:c r="J24" s="1" t="n">
        <x:f t="shared" si="2">IF(I24="Win",1,IF(I24="Loss",0,""))</x:f>
        <x:v>0</x:v>
      </x:c>
      <x:c r="K24" s="1" t="n">
        <x:f t="shared" si="3">G24-H24</x:f>
        <x:v>-5</x:v>
      </x:c>
      <x:c r="L24" s="1" t="n">
        <x:f>G24+H24</x:f>
        <x:v>21</x:v>
      </x:c>
      <x:c r="M24" s="1" t="n">
        <x:v>5</x:v>
      </x:c>
      <x:c r="N24" s="1" t="n">
        <x:v>17</x:v>
      </x:c>
      <x:c r="O24" s="3" t="n">
        <x:f t="shared" si="4"/>
        <x:v>2</x:v>
      </x:c>
      <x:c r="P24" s="22" t="n">
        <x:f t="shared" si="5">IF(N24=0,"",M24/N24)</x:f>
        <x:v>0.29411764705882354</x:v>
      </x:c>
      <x:c r="Q24" s="22" t="n">
        <x:f t="shared" si="6">IF(L24=0,"",M24/L24)</x:f>
        <x:v>0.23809523809523808</x:v>
      </x:c>
      <x:c r="R24" s="22" t="n">
        <x:f t="shared" si="7">IF(L24=0,"",N24/L24)</x:f>
        <x:v>0.8095238095238095</x:v>
      </x:c>
      <x:c r="S24" s="22" t="n">
        <x:f>IF(L24=0,"",O24/L24)</x:f>
        <x:v>0.09523809523809523</x:v>
      </x:c>
      <x:c r="T24" s="24" t="n">
        <x:v>-86</x:v>
      </x:c>
      <x:c r="U24" s="26" t="n">
        <x:v>0</x:v>
      </x:c>
      <x:c r="V24" s="24" t="n">
        <x:v>74</x:v>
      </x:c>
      <x:c r="W24"/>
      <x:c r="X24"/>
    </x:row>
    <x:row r="25">
      <x:c r="A25" s="1" t="n">
        <x:v>23</x:v>
      </x:c>
      <x:c r="B25" s="27" t="n">
        <x:v>45629</x:v>
      </x:c>
      <x:c r="C25" s="1" t="str">
        <x:v>Bind</x:v>
      </x:c>
      <x:c r="D25" s="1" t="str">
        <x:v>2nd</x:v>
      </x:c>
      <x:c r="E25" s="1" t="str">
        <x:v>Clove</x:v>
      </x:c>
      <x:c r="F25" s="1" t="str">
        <x:v>Controller</x:v>
      </x:c>
      <x:c r="G25" s="1" t="n">
        <x:v>12</x:v>
      </x:c>
      <x:c r="H25" s="1" t="n">
        <x:f t="shared" si="0"/>
        <x:v>14</x:v>
      </x:c>
      <x:c r="I25" s="1" t="str">
        <x:f t="shared" si="1">IF(G25&gt;H25,"Win",IF(G25&lt;H25,"Loss","Draw"))</x:f>
        <x:v>Loss</x:v>
      </x:c>
      <x:c r="J25" s="1" t="n">
        <x:f t="shared" si="2">IF(I25="Win",1,IF(I25="Loss",0,""))</x:f>
        <x:v>0</x:v>
      </x:c>
      <x:c r="K25" s="1" t="n">
        <x:f t="shared" si="3">G25-H25</x:f>
        <x:v>-2</x:v>
      </x:c>
      <x:c r="L25" s="1" t="n">
        <x:f>G25+H25</x:f>
        <x:v>26</x:v>
      </x:c>
      <x:c r="M25" s="1" t="n">
        <x:v>28</x:v>
      </x:c>
      <x:c r="N25" s="1" t="n">
        <x:v>23</x:v>
      </x:c>
      <x:c r="O25" s="3" t="n">
        <x:f t="shared" si="4"/>
        <x:v>3</x:v>
      </x:c>
      <x:c r="P25" s="22" t="n">
        <x:f t="shared" si="5">IF(N25=0,"",M25/N25)</x:f>
        <x:v>1.2173913043478262</x:v>
      </x:c>
      <x:c r="Q25" s="22" t="n">
        <x:f t="shared" si="6">IF(L25=0,"",M25/L25)</x:f>
        <x:v>1.0769230769230769</x:v>
      </x:c>
      <x:c r="R25" s="22" t="n">
        <x:f t="shared" si="7">IF(L25=0,"",N25/L25)</x:f>
        <x:v>0.8846153846153846</x:v>
      </x:c>
      <x:c r="S25" s="22" t="n">
        <x:f>IF(L25=0,"",O25/L25)</x:f>
        <x:v>0.11538461538461539</x:v>
      </x:c>
      <x:c r="T25" s="24" t="n">
        <x:v>24</x:v>
      </x:c>
      <x:c r="U25" s="26" t="n">
        <x:v>0.09</x:v>
      </x:c>
      <x:c r="V25" s="24" t="n">
        <x:v>301</x:v>
      </x:c>
      <x:c r="W25"/>
      <x:c r="X25"/>
    </x:row>
    <x:row r="26">
      <x:c r="A26" s="1" t="n">
        <x:v>24</x:v>
      </x:c>
      <x:c r="B26" s="27" t="n">
        <x:v>45636</x:v>
      </x:c>
      <x:c r="C26" s="1" t="str">
        <x:v>Abyss</x:v>
      </x:c>
      <x:c r="D26" s="1" t="str">
        <x:v>7th</x:v>
      </x:c>
      <x:c r="E26" s="1" t="str">
        <x:v>Sage</x:v>
      </x:c>
      <x:c r="F26" s="1" t="str">
        <x:v>Sentinel</x:v>
      </x:c>
      <x:c r="G26" s="1" t="n">
        <x:v>5</x:v>
      </x:c>
      <x:c r="H26" s="1" t="n">
        <x:f t="shared" si="0"/>
        <x:v>13</x:v>
      </x:c>
      <x:c r="I26" s="1" t="str">
        <x:f t="shared" si="1">IF(G26&gt;H26,"Win",IF(G26&lt;H26,"Loss","Draw"))</x:f>
        <x:v>Loss</x:v>
      </x:c>
      <x:c r="J26" s="1" t="n">
        <x:f t="shared" si="2">IF(I26="Win",1,IF(I26="Loss",0,""))</x:f>
        <x:v>0</x:v>
      </x:c>
      <x:c r="K26" s="1" t="n">
        <x:f t="shared" si="3">G26-H26</x:f>
        <x:v>-8</x:v>
      </x:c>
      <x:c r="L26" s="1" t="n">
        <x:f>G26+H26</x:f>
        <x:v>18</x:v>
      </x:c>
      <x:c r="M26" s="1" t="n">
        <x:v>11</x:v>
      </x:c>
      <x:c r="N26" s="1" t="n">
        <x:v>16</x:v>
      </x:c>
      <x:c r="O26" s="3" t="n">
        <x:f t="shared" si="4"/>
        <x:v>3</x:v>
      </x:c>
      <x:c r="P26" s="22" t="n">
        <x:f t="shared" si="5">IF(N26=0,"",M26/N26)</x:f>
        <x:v>0.6875</x:v>
      </x:c>
      <x:c r="Q26" s="22" t="n">
        <x:f t="shared" si="6">IF(L26=0,"",M26/L26)</x:f>
        <x:v>0.6111111111111112</x:v>
      </x:c>
      <x:c r="R26" s="22" t="n">
        <x:f t="shared" si="7">IF(L26=0,"",N26/L26)</x:f>
        <x:v>0.8888888888888888</x:v>
      </x:c>
      <x:c r="S26" s="22" t="n">
        <x:f>IF(L26=0,"",O26/L26)</x:f>
        <x:v>0.16666666666666666</x:v>
      </x:c>
      <x:c r="T26" s="24" t="n">
        <x:v>-25</x:v>
      </x:c>
      <x:c r="U26" s="26" t="n">
        <x:v>0.06</x:v>
      </x:c>
      <x:c r="V26" s="24" t="n">
        <x:v>204</x:v>
      </x:c>
      <x:c r="W26"/>
      <x:c r="X26"/>
    </x:row>
    <x:row r="27">
      <x:c r="A27" s="1" t="n">
        <x:v>25</x:v>
      </x:c>
      <x:c r="B27" s="27" t="n">
        <x:v>45636</x:v>
      </x:c>
      <x:c r="C27" s="1" t="str">
        <x:v>Pearl</x:v>
      </x:c>
      <x:c r="D27" s="1" t="str">
        <x:v>10th</x:v>
      </x:c>
      <x:c r="E27" s="1" t="str">
        <x:v>Clove</x:v>
      </x:c>
      <x:c r="F27" s="1" t="str">
        <x:v>Controller</x:v>
      </x:c>
      <x:c r="G27" s="1" t="n">
        <x:v>13</x:v>
      </x:c>
      <x:c r="H27" s="1" t="n">
        <x:f t="shared" si="0"/>
        <x:v>9</x:v>
      </x:c>
      <x:c r="I27" s="1" t="str">
        <x:f t="shared" si="1">IF(G27&gt;H27,"Win",IF(G27&lt;H27,"Loss","Draw"))</x:f>
        <x:v>Win</x:v>
      </x:c>
      <x:c r="J27" s="1" t="n">
        <x:f t="shared" si="2">IF(I27="Win",1,IF(I27="Loss",0,""))</x:f>
        <x:v>1</x:v>
      </x:c>
      <x:c r="K27" s="1" t="n">
        <x:f t="shared" si="3">G27-H27</x:f>
        <x:v>4</x:v>
      </x:c>
      <x:c r="L27" s="1" t="n">
        <x:f>G27+H27</x:f>
        <x:v>22</x:v>
      </x:c>
      <x:c r="M27" s="1" t="n">
        <x:v>7</x:v>
      </x:c>
      <x:c r="N27" s="1" t="n">
        <x:v>20</x:v>
      </x:c>
      <x:c r="O27" s="3" t="n">
        <x:f t="shared" si="4"/>
        <x:v>4</x:v>
      </x:c>
      <x:c r="P27" s="22" t="n">
        <x:f t="shared" si="5">IF(N27=0,"",M27/N27)</x:f>
        <x:v>0.35</x:v>
      </x:c>
      <x:c r="Q27" s="22" t="n">
        <x:f t="shared" si="6">IF(L27=0,"",M27/L27)</x:f>
        <x:v>0.3181818181818182</x:v>
      </x:c>
      <x:c r="R27" s="22" t="n">
        <x:f t="shared" si="7">IF(L27=0,"",N27/L27)</x:f>
        <x:v>0.9090909090909091</x:v>
      </x:c>
      <x:c r="S27" s="22" t="n">
        <x:f>IF(L27=0,"",O27/L27)</x:f>
        <x:v>0.18181818181818182</x:v>
      </x:c>
      <x:c r="T27" s="24" t="n">
        <x:v>-89</x:v>
      </x:c>
      <x:c r="U27" s="26" t="n">
        <x:v>0.08</x:v>
      </x:c>
      <x:c r="V27" s="24" t="n">
        <x:v>96</x:v>
      </x:c>
      <x:c r="W27"/>
      <x:c r="X27"/>
    </x:row>
    <x:row r="28">
      <x:c r="A28" s="1" t="n">
        <x:v>26</x:v>
      </x:c>
      <x:c r="B28" s="27" t="n">
        <x:v>45638</x:v>
      </x:c>
      <x:c r="C28" s="1" t="str">
        <x:v>Abyss</x:v>
      </x:c>
      <x:c r="D28" s="1" t="str">
        <x:v>6th</x:v>
      </x:c>
      <x:c r="E28" s="1" t="str">
        <x:v>Clove</x:v>
      </x:c>
      <x:c r="F28" s="1" t="str">
        <x:v>Controller</x:v>
      </x:c>
      <x:c r="G28" s="1" t="n">
        <x:v>13</x:v>
      </x:c>
      <x:c r="H28" s="1" t="n">
        <x:f t="shared" si="0"/>
        <x:v>4</x:v>
      </x:c>
      <x:c r="I28" s="1" t="str">
        <x:f t="shared" si="1">IF(G28&gt;H28,"Win",IF(G28&lt;H28,"Loss","Draw"))</x:f>
        <x:v>Win</x:v>
      </x:c>
      <x:c r="J28" s="1" t="n">
        <x:f t="shared" si="2">IF(I28="Win",1,IF(I28="Loss",0,""))</x:f>
        <x:v>1</x:v>
      </x:c>
      <x:c r="K28" s="1" t="n">
        <x:f t="shared" si="3">G28-H28</x:f>
        <x:v>9</x:v>
      </x:c>
      <x:c r="L28" s="1" t="n">
        <x:f>G28+H28</x:f>
        <x:v>17</x:v>
      </x:c>
      <x:c r="M28" s="1" t="n">
        <x:v>9</x:v>
      </x:c>
      <x:c r="N28" s="1" t="n">
        <x:v>9</x:v>
      </x:c>
      <x:c r="O28" s="3" t="n">
        <x:f t="shared" si="4"/>
        <x:v>7</x:v>
      </x:c>
      <x:c r="P28" s="22" t="n">
        <x:f t="shared" si="5">IF(N28=0,"",M28/N28)</x:f>
        <x:v>1</x:v>
      </x:c>
      <x:c r="Q28" s="22" t="n">
        <x:f t="shared" si="6">IF(L28=0,"",M28/L28)</x:f>
        <x:v>0.5294117647058824</x:v>
      </x:c>
      <x:c r="R28" s="22" t="n">
        <x:f t="shared" si="7">IF(L28=0,"",N28/L28)</x:f>
        <x:v>0.5294117647058824</x:v>
      </x:c>
      <x:c r="S28" s="22" t="n">
        <x:f>IF(L28=0,"",O28/L28)</x:f>
        <x:v>0.4117647058823529</x:v>
      </x:c>
      <x:c r="T28" s="24" t="n">
        <x:v>12</x:v>
      </x:c>
      <x:c r="U28" s="26" t="n">
        <x:v>0.04</x:v>
      </x:c>
      <x:c r="V28" s="24" t="n">
        <x:v>164</x:v>
      </x:c>
      <x:c r="W28"/>
      <x:c r="X28"/>
    </x:row>
    <x:row r="29">
      <x:c r="A29" s="1" t="n">
        <x:v>27</x:v>
      </x:c>
      <x:c r="B29" s="27" t="n">
        <x:v>45643</x:v>
      </x:c>
      <x:c r="C29" s="1" t="str">
        <x:v>Sunset</x:v>
      </x:c>
      <x:c r="D29" s="1" t="str">
        <x:v>9th</x:v>
      </x:c>
      <x:c r="E29" s="1" t="str">
        <x:v>Clove</x:v>
      </x:c>
      <x:c r="F29" s="1" t="str">
        <x:v>Controller</x:v>
      </x:c>
      <x:c r="G29" s="1" t="n">
        <x:v>10</x:v>
      </x:c>
      <x:c r="H29" s="1" t="n">
        <x:f t="shared" si="0"/>
        <x:v>13</x:v>
      </x:c>
      <x:c r="I29" s="1" t="str">
        <x:f t="shared" si="1">IF(G29&gt;H29,"Win",IF(G29&lt;H29,"Loss","Draw"))</x:f>
        <x:v>Loss</x:v>
      </x:c>
      <x:c r="J29" s="1" t="n">
        <x:f t="shared" si="2">IF(I29="Win",1,IF(I29="Loss",0,""))</x:f>
        <x:v>0</x:v>
      </x:c>
      <x:c r="K29" s="1" t="n">
        <x:f t="shared" si="3">G29-H29</x:f>
        <x:v>-3</x:v>
      </x:c>
      <x:c r="L29" s="1" t="n">
        <x:f>G29+H29</x:f>
        <x:v>23</x:v>
      </x:c>
      <x:c r="M29" s="1" t="n">
        <x:v>6</x:v>
      </x:c>
      <x:c r="N29" s="1" t="n">
        <x:v>22</x:v>
      </x:c>
      <x:c r="O29" s="3" t="n">
        <x:f t="shared" si="4"/>
        <x:v>2</x:v>
      </x:c>
      <x:c r="P29" s="22" t="n">
        <x:f t="shared" si="5">IF(N29=0,"",M29/N29)</x:f>
        <x:v>0.2727272727272727</x:v>
      </x:c>
      <x:c r="Q29" s="22" t="n">
        <x:f t="shared" si="6">IF(L29=0,"",M29/L29)</x:f>
        <x:v>0.2608695652173913</x:v>
      </x:c>
      <x:c r="R29" s="22" t="n">
        <x:f t="shared" si="7">IF(L29=0,"",N29/L29)</x:f>
        <x:v>0.9565217391304348</x:v>
      </x:c>
      <x:c r="S29" s="22" t="n">
        <x:f>IF(L29=0,"",O29/L29)</x:f>
        <x:v>0.08695652173913043</x:v>
      </x:c>
      <x:c r="T29" s="24" t="n">
        <x:v>-124</x:v>
      </x:c>
      <x:c r="U29" s="26" t="n">
        <x:v>0.02</x:v>
      </x:c>
      <x:c r="V29" s="24" t="n">
        <x:v>100</x:v>
      </x:c>
      <x:c r="W29"/>
      <x:c r="X29"/>
    </x:row>
    <x:row r="30">
      <x:c r="A30" s="1" t="n">
        <x:v>28</x:v>
      </x:c>
      <x:c r="B30" s="27" t="n">
        <x:v>45653</x:v>
      </x:c>
      <x:c r="C30" s="1" t="str">
        <x:v>Ascent</x:v>
      </x:c>
      <x:c r="D30" s="1" t="str">
        <x:v>7th</x:v>
      </x:c>
      <x:c r="E30" s="1" t="str">
        <x:v>Sage</x:v>
      </x:c>
      <x:c r="F30" s="1" t="str">
        <x:v>Sentinel</x:v>
      </x:c>
      <x:c r="G30" s="1" t="n">
        <x:v>7</x:v>
      </x:c>
      <x:c r="H30" s="1" t="n">
        <x:v>7</x:v>
      </x:c>
      <x:c r="I30" s="1" t="str">
        <x:f t="shared" si="1"/>
        <x:v>Win</x:v>
      </x:c>
      <x:c r="J30" s="1" t="n">
        <x:f t="shared" si="2"/>
        <x:v>1</x:v>
      </x:c>
      <x:c r="K30" s="1" t="n">
        <x:f t="shared" si="3">G30-H30</x:f>
        <x:v>0</x:v>
      </x:c>
      <x:c r="L30" s="1" t="n">
        <x:f>G30+H30</x:f>
        <x:v>14</x:v>
      </x:c>
      <x:c r="M30" s="1" t="n">
        <x:v>6</x:v>
      </x:c>
      <x:c r="N30" s="1" t="n">
        <x:v>9</x:v>
      </x:c>
      <x:c r="O30" s="3" t="n">
        <x:f t="shared" si="4"/>
        <x:v>3</x:v>
      </x:c>
      <x:c r="P30" s="22" t="n">
        <x:f t="shared" si="5">IF(N30=0,"",M30/N30)</x:f>
        <x:v>0.6666666666666666</x:v>
      </x:c>
      <x:c r="Q30" s="22" t="n">
        <x:f t="shared" si="6">IF(L30=0,"",M30/L30)</x:f>
        <x:v>0.42857142857142855</x:v>
      </x:c>
      <x:c r="R30" s="22" t="n">
        <x:f t="shared" si="7">IF(L30=0,"",N30/L30)</x:f>
        <x:v>0.6428571428571429</x:v>
      </x:c>
      <x:c r="S30" s="22" t="n">
        <x:f>IF(L30=0,"",O30/L30)</x:f>
        <x:v>0.21428571428571427</x:v>
      </x:c>
      <x:c r="T30" s="24" t="n">
        <x:v>-4</x:v>
      </x:c>
      <x:c r="U30" s="26" t="n">
        <x:v>0.05</x:v>
      </x:c>
      <x:c r="V30" s="24" t="n">
        <x:v>145</x:v>
      </x:c>
      <x:c r="W30"/>
      <x:c r="X30"/>
    </x:row>
    <x:row r="31">
      <x:c r="A31" s="1" t="n">
        <x:v>29</x:v>
      </x:c>
      <x:c r="B31" s="27" t="n">
        <x:v>45663</x:v>
      </x:c>
      <x:c r="C31" s="1" t="str">
        <x:v>Haven</x:v>
      </x:c>
      <x:c r="D31" s="1" t="str">
        <x:v>8th</x:v>
      </x:c>
      <x:c r="E31" s="1" t="str">
        <x:v>Sage</x:v>
      </x:c>
      <x:c r="F31" s="1" t="str">
        <x:v>Sentinel</x:v>
      </x:c>
      <x:c r="G31" s="1" t="n">
        <x:v>13</x:v>
      </x:c>
      <x:c r="H31" s="1" t="n">
        <x:f t="shared" si="0"/>
        <x:v>7</x:v>
      </x:c>
      <x:c r="I31" s="1" t="str">
        <x:f t="shared" si="1">IF(G31&gt;H31,"Win",IF(G31&lt;H31,"Loss","Draw"))</x:f>
        <x:v>Win</x:v>
      </x:c>
      <x:c r="J31" s="1" t="n">
        <x:f t="shared" si="2">IF(I31="Win",1,IF(I31="Loss",0,""))</x:f>
        <x:v>1</x:v>
      </x:c>
      <x:c r="K31" s="1" t="n">
        <x:f t="shared" si="3">G31-H31</x:f>
        <x:v>6</x:v>
      </x:c>
      <x:c r="L31" s="1" t="n">
        <x:f>G31+H31</x:f>
        <x:v>20</x:v>
      </x:c>
      <x:c r="M31" s="1" t="n">
        <x:v>14</x:v>
      </x:c>
      <x:c r="N31" s="1" t="n">
        <x:v>10</x:v>
      </x:c>
      <x:c r="O31" s="3" t="n">
        <x:f t="shared" si="4"/>
        <x:v>6</x:v>
      </x:c>
      <x:c r="P31" s="22" t="n">
        <x:f t="shared" si="5">IF(N31=0,"",M31/N31)</x:f>
        <x:v>1.4</x:v>
      </x:c>
      <x:c r="Q31" s="22" t="n">
        <x:f t="shared" si="6">IF(L31=0,"",M31/L31)</x:f>
        <x:v>0.7</x:v>
      </x:c>
      <x:c r="R31" s="22" t="n">
        <x:f t="shared" si="7">IF(L31=0,"",N31/L31)</x:f>
        <x:v>0.5</x:v>
      </x:c>
      <x:c r="S31" s="22" t="n">
        <x:f>IF(L31=0,"",O31/L31)</x:f>
        <x:v>0.3</x:v>
      </x:c>
      <x:c r="T31" s="24" t="n">
        <x:v>5</x:v>
      </x:c>
      <x:c r="U31" s="26" t="n">
        <x:v>0.07</x:v>
      </x:c>
      <x:c r="V31" s="24" t="n">
        <x:v>163</x:v>
      </x:c>
      <x:c r="W31"/>
      <x:c r="X31"/>
    </x:row>
    <x:row r="32">
      <x:c r="A32" s="1" t="n">
        <x:v>30</x:v>
      </x:c>
      <x:c r="B32" s="27" t="n">
        <x:v>45663</x:v>
      </x:c>
      <x:c r="C32" s="1" t="str">
        <x:v>Haven</x:v>
      </x:c>
      <x:c r="D32" s="1" t="str">
        <x:v>9th</x:v>
      </x:c>
      <x:c r="E32" s="1" t="str">
        <x:v>Sage</x:v>
      </x:c>
      <x:c r="F32" s="1" t="str">
        <x:v>Sentinel</x:v>
      </x:c>
      <x:c r="G32" s="1" t="n">
        <x:v>3</x:v>
      </x:c>
      <x:c r="H32" s="1" t="n">
        <x:f t="shared" si="0"/>
        <x:v>13</x:v>
      </x:c>
      <x:c r="I32" s="1" t="str">
        <x:f t="shared" si="1">IF(G32&gt;H32,"Win",IF(G32&lt;H32,"Loss","Draw"))</x:f>
        <x:v>Loss</x:v>
      </x:c>
      <x:c r="J32" s="1" t="n">
        <x:f t="shared" si="2">IF(I32="Win",1,IF(I32="Loss",0,""))</x:f>
        <x:v>0</x:v>
      </x:c>
      <x:c r="K32" s="1" t="n">
        <x:f t="shared" si="3">G32-H32</x:f>
        <x:v>-10</x:v>
      </x:c>
      <x:c r="L32" s="1" t="n">
        <x:f>G32+H32</x:f>
        <x:v>16</x:v>
      </x:c>
      <x:c r="M32" s="1" t="n">
        <x:v>5</x:v>
      </x:c>
      <x:c r="N32" s="1" t="n">
        <x:v>15</x:v>
      </x:c>
      <x:c r="O32" s="3" t="n">
        <x:f t="shared" si="4"/>
        <x:v>3</x:v>
      </x:c>
      <x:c r="P32" s="22" t="n">
        <x:f t="shared" si="5">IF(N32=0,"",M32/N32)</x:f>
        <x:v>0.3333333333333333</x:v>
      </x:c>
      <x:c r="Q32" s="22" t="n">
        <x:f t="shared" si="6">IF(L32=0,"",M32/L32)</x:f>
        <x:v>0.3125</x:v>
      </x:c>
      <x:c r="R32" s="22" t="n">
        <x:f t="shared" si="7">IF(L32=0,"",N32/L32)</x:f>
        <x:v>0.9375</x:v>
      </x:c>
      <x:c r="S32" s="22" t="n">
        <x:f>IF(L32=0,"",O32/L32)</x:f>
        <x:v>0.1875</x:v>
      </x:c>
      <x:c r="T32" s="24" t="n">
        <x:v>-93</x:v>
      </x:c>
      <x:c r="U32" s="26" t="n">
        <x:v>0.04</x:v>
      </x:c>
      <x:c r="V32" s="24" t="n">
        <x:v>112</x:v>
      </x:c>
      <x:c r="W32"/>
      <x:c r="X32"/>
    </x:row>
    <x:row r="33">
      <x:c r="A33" s="1" t="n">
        <x:v>31</x:v>
      </x:c>
      <x:c r="B33" s="27" t="n">
        <x:v>45663</x:v>
      </x:c>
      <x:c r="C33" s="1" t="str">
        <x:v>Split</x:v>
      </x:c>
      <x:c r="D33" s="1" t="str">
        <x:v>8th</x:v>
      </x:c>
      <x:c r="E33" s="1" t="str">
        <x:v>Sage</x:v>
      </x:c>
      <x:c r="F33" s="1" t="str">
        <x:v>Sentinel</x:v>
      </x:c>
      <x:c r="G33" s="1" t="n">
        <x:v>1</x:v>
      </x:c>
      <x:c r="H33" s="1" t="n">
        <x:f t="shared" si="0"/>
        <x:v>8</x:v>
      </x:c>
      <x:c r="I33" s="1" t="str">
        <x:f t="shared" si="1">IF(G33&gt;H33,"Win",IF(G33&lt;H33,"Loss","Draw"))</x:f>
        <x:v>Loss</x:v>
      </x:c>
      <x:c r="J33" s="1" t="n">
        <x:f t="shared" si="2">IF(I33="Win",1,IF(I33="Loss",0,""))</x:f>
        <x:v>0</x:v>
      </x:c>
      <x:c r="K33" s="1" t="n">
        <x:f t="shared" si="3">G33-H33</x:f>
        <x:v>-7</x:v>
      </x:c>
      <x:c r="L33" s="1" t="n">
        <x:f>G33+H33</x:f>
        <x:v>9</x:v>
      </x:c>
      <x:c r="M33" s="1" t="n">
        <x:v>3</x:v>
      </x:c>
      <x:c r="N33" s="1" t="n">
        <x:v>7</x:v>
      </x:c>
      <x:c r="O33" s="3" t="n">
        <x:f t="shared" si="4"/>
        <x:v>0</x:v>
      </x:c>
      <x:c r="P33" s="22" t="n">
        <x:f t="shared" si="5">IF(N33=0,"",M33/N33)</x:f>
        <x:v>0.42857142857142855</x:v>
      </x:c>
      <x:c r="Q33" s="22" t="n">
        <x:f t="shared" si="6">IF(L33=0,"",M33/L33)</x:f>
        <x:v>0.3333333333333333</x:v>
      </x:c>
      <x:c r="R33" s="22" t="n">
        <x:f t="shared" si="7">IF(L33=0,"",N33/L33)</x:f>
        <x:v>0.7777777777777778</x:v>
      </x:c>
      <x:c r="S33" s="22" t="n">
        <x:f>IF(L33=0,"",O33/L33)</x:f>
        <x:v>0</x:v>
      </x:c>
      <x:c r="T33" s="24" t="n">
        <x:v>-20</x:v>
      </x:c>
      <x:c r="U33" s="26" t="n">
        <x:v>0</x:v>
      </x:c>
      <x:c r="V33" s="24" t="n">
        <x:v>119</x:v>
      </x:c>
      <x:c r="W33"/>
      <x:c r="X33"/>
    </x:row>
    <x:row r="34">
      <x:c r="A34" s="1" t="n">
        <x:v>32</x:v>
      </x:c>
      <x:c r="B34" s="27" t="n">
        <x:v>45664</x:v>
      </x:c>
      <x:c r="C34" s="1" t="str">
        <x:v>Ascent</x:v>
      </x:c>
      <x:c r="D34" s="1" t="str">
        <x:v>8th</x:v>
      </x:c>
      <x:c r="E34" s="1" t="str">
        <x:v>Sage</x:v>
      </x:c>
      <x:c r="F34" s="1" t="str">
        <x:v>Sentinel</x:v>
      </x:c>
      <x:c r="G34" s="1" t="n">
        <x:v>13</x:v>
      </x:c>
      <x:c r="H34" s="1" t="n">
        <x:f t="shared" si="0"/>
        <x:v>9</x:v>
      </x:c>
      <x:c r="I34" s="1" t="str">
        <x:f t="shared" si="1">IF(G34&gt;H34,"Win",IF(G34&lt;H34,"Loss","Draw"))</x:f>
        <x:v>Win</x:v>
      </x:c>
      <x:c r="J34" s="1" t="n">
        <x:f t="shared" si="2">IF(I34="Win",1,IF(I34="Loss",0,""))</x:f>
        <x:v>1</x:v>
      </x:c>
      <x:c r="K34" s="1" t="n">
        <x:f t="shared" si="3">G34-H34</x:f>
        <x:v>4</x:v>
      </x:c>
      <x:c r="L34" s="1" t="n">
        <x:f>G34+H34</x:f>
        <x:v>22</x:v>
      </x:c>
      <x:c r="M34" s="1" t="n">
        <x:v>12</x:v>
      </x:c>
      <x:c r="N34" s="1" t="n">
        <x:v>15</x:v>
      </x:c>
      <x:c r="O34" s="3" t="n">
        <x:f t="shared" si="4"/>
        <x:v>10</x:v>
      </x:c>
      <x:c r="P34" s="22" t="n">
        <x:f t="shared" si="5">IF(N34=0,"",M34/N34)</x:f>
        <x:v>0.8</x:v>
      </x:c>
      <x:c r="Q34" s="22" t="n">
        <x:f t="shared" si="6">IF(L34=0,"",M34/L34)</x:f>
        <x:v>0.5454545454545454</x:v>
      </x:c>
      <x:c r="R34" s="22" t="n">
        <x:f t="shared" si="7">IF(L34=0,"",N34/L34)</x:f>
        <x:v>0.6818181818181818</x:v>
      </x:c>
      <x:c r="S34" s="22" t="n">
        <x:f>IF(L34=0,"",O34/L34)</x:f>
        <x:v>0.45454545454545453</x:v>
      </x:c>
      <x:c r="T34" s="24" t="n">
        <x:v>-3</x:v>
      </x:c>
      <x:c r="U34" s="26" t="n">
        <x:v>0.06</x:v>
      </x:c>
      <x:c r="V34" s="24" t="n">
        <x:v>171</x:v>
      </x:c>
      <x:c r="W34"/>
      <x:c r="X34"/>
    </x:row>
    <x:row r="35">
      <x:c r="A35" s="1" t="n">
        <x:v>33</x:v>
      </x:c>
      <x:c r="B35" s="27" t="n">
        <x:v>45664</x:v>
      </x:c>
      <x:c r="C35" s="1" t="str">
        <x:v>Sunset</x:v>
      </x:c>
      <x:c r="D35" s="1" t="str">
        <x:v>8th</x:v>
      </x:c>
      <x:c r="E35" s="1" t="str">
        <x:v>Sage</x:v>
      </x:c>
      <x:c r="F35" s="1" t="str">
        <x:v>Sentinel</x:v>
      </x:c>
      <x:c r="G35" s="1" t="n">
        <x:v>3</x:v>
      </x:c>
      <x:c r="H35" s="1" t="n">
        <x:f t="shared" si="0"/>
        <x:v>13</x:v>
      </x:c>
      <x:c r="I35" s="1" t="str">
        <x:f t="shared" si="1">IF(G35&gt;H35,"Win",IF(G35&lt;H35,"Loss","Draw"))</x:f>
        <x:v>Loss</x:v>
      </x:c>
      <x:c r="J35" s="1" t="n">
        <x:f t="shared" si="2">IF(I35="Win",1,IF(I35="Loss",0,""))</x:f>
        <x:v>0</x:v>
      </x:c>
      <x:c r="K35" s="1" t="n">
        <x:f t="shared" si="3">G35-H35</x:f>
        <x:v>-10</x:v>
      </x:c>
      <x:c r="L35" s="1" t="n">
        <x:f>G35+H35</x:f>
        <x:v>16</x:v>
      </x:c>
      <x:c r="M35" s="1" t="n">
        <x:v>9</x:v>
      </x:c>
      <x:c r="N35" s="1" t="n">
        <x:v>14</x:v>
      </x:c>
      <x:c r="O35" s="3" t="n">
        <x:f t="shared" si="4"/>
        <x:v>7</x:v>
      </x:c>
      <x:c r="P35" s="22" t="n">
        <x:f t="shared" si="5">IF(N35=0,"",M35/N35)</x:f>
        <x:v>0.6428571428571429</x:v>
      </x:c>
      <x:c r="Q35" s="22" t="n">
        <x:f t="shared" si="6">IF(L35=0,"",M35/L35)</x:f>
        <x:v>0.5625</x:v>
      </x:c>
      <x:c r="R35" s="22" t="n">
        <x:f t="shared" si="7">IF(L35=0,"",N35/L35)</x:f>
        <x:v>0.875</x:v>
      </x:c>
      <x:c r="S35" s="22" t="n">
        <x:f>IF(L35=0,"",O35/L35)</x:f>
        <x:v>0.4375</x:v>
      </x:c>
      <x:c r="T35" s="24" t="n">
        <x:v>-67</x:v>
      </x:c>
      <x:c r="U35" s="26" t="n">
        <x:v>0.05</x:v>
      </x:c>
      <x:c r="V35" s="24" t="n">
        <x:v>164</x:v>
      </x:c>
      <x:c r="W35"/>
      <x:c r="X35"/>
    </x:row>
    <x:row r="36">
      <x:c r="A36" s="1" t="n">
        <x:v>34</x:v>
      </x:c>
      <x:c r="B36" s="27" t="n">
        <x:v>45665</x:v>
      </x:c>
      <x:c r="C36" s="1" t="str">
        <x:v>Split</x:v>
      </x:c>
      <x:c r="D36" s="1" t="str">
        <x:v>8th</x:v>
      </x:c>
      <x:c r="E36" s="1" t="str">
        <x:v>Sage</x:v>
      </x:c>
      <x:c r="F36" s="1" t="str">
        <x:v>Sentinel</x:v>
      </x:c>
      <x:c r="G36" s="1" t="n">
        <x:v>13</x:v>
      </x:c>
      <x:c r="H36" s="1" t="n">
        <x:f t="shared" si="0"/>
        <x:v>10</x:v>
      </x:c>
      <x:c r="I36" s="1" t="str">
        <x:f t="shared" si="1">IF(G36&gt;H36,"Win",IF(G36&lt;H36,"Loss","Draw"))</x:f>
        <x:v>Win</x:v>
      </x:c>
      <x:c r="J36" s="1" t="n">
        <x:f t="shared" si="2">IF(I36="Win",1,IF(I36="Loss",0,""))</x:f>
        <x:v>1</x:v>
      </x:c>
      <x:c r="K36" s="1" t="n">
        <x:f t="shared" si="3">G36-H36</x:f>
        <x:v>3</x:v>
      </x:c>
      <x:c r="L36" s="1" t="n">
        <x:f>G36+H36</x:f>
        <x:v>23</x:v>
      </x:c>
      <x:c r="M36" s="1" t="n">
        <x:v>13</x:v>
      </x:c>
      <x:c r="N36" s="1" t="n">
        <x:v>15</x:v>
      </x:c>
      <x:c r="O36" s="3" t="n">
        <x:f t="shared" si="4"/>
        <x:v>6</x:v>
      </x:c>
      <x:c r="P36" s="22" t="n">
        <x:f t="shared" si="5">IF(N36=0,"",M36/N36)</x:f>
        <x:v>0.8666666666666667</x:v>
      </x:c>
      <x:c r="Q36" s="22" t="n">
        <x:f t="shared" si="6">IF(L36=0,"",M36/L36)</x:f>
        <x:v>0.5652173913043478</x:v>
      </x:c>
      <x:c r="R36" s="22" t="n">
        <x:f t="shared" si="7">IF(L36=0,"",N36/L36)</x:f>
        <x:v>0.6521739130434783</x:v>
      </x:c>
      <x:c r="S36" s="22" t="n">
        <x:f>IF(L36=0,"",O36/L36)</x:f>
        <x:v>0.2608695652173913</x:v>
      </x:c>
      <x:c r="T36" s="24" t="n">
        <x:v>0</x:v>
      </x:c>
      <x:c r="U36" s="26" t="n">
        <x:v>0.11</x:v>
      </x:c>
      <x:c r="V36" s="24" t="n">
        <x:v>156</x:v>
      </x:c>
      <x:c r="W36"/>
      <x:c r="X36"/>
    </x:row>
    <x:row r="37">
      <x:c r="A37" s="1" t="n">
        <x:v>35</x:v>
      </x:c>
      <x:c r="B37" s="27" t="n">
        <x:v>45665</x:v>
      </x:c>
      <x:c r="C37" s="1" t="str">
        <x:v>Split</x:v>
      </x:c>
      <x:c r="D37" s="1" t="str">
        <x:v>8th</x:v>
      </x:c>
      <x:c r="E37" s="1" t="str">
        <x:v>Sage</x:v>
      </x:c>
      <x:c r="F37" s="1" t="str">
        <x:v>Sentinel</x:v>
      </x:c>
      <x:c r="G37" s="1" t="n">
        <x:v>13</x:v>
      </x:c>
      <x:c r="H37" s="1" t="n">
        <x:f t="shared" si="0"/>
        <x:v>7</x:v>
      </x:c>
      <x:c r="I37" s="1" t="str">
        <x:f t="shared" si="1">IF(G37&gt;H37,"Win",IF(G37&lt;H37,"Loss","Draw"))</x:f>
        <x:v>Win</x:v>
      </x:c>
      <x:c r="J37" s="1" t="n">
        <x:f t="shared" si="2">IF(I37="Win",1,IF(I37="Loss",0,""))</x:f>
        <x:v>1</x:v>
      </x:c>
      <x:c r="K37" s="1" t="n">
        <x:f t="shared" si="3">G37-H37</x:f>
        <x:v>6</x:v>
      </x:c>
      <x:c r="L37" s="1" t="n">
        <x:f>G37+H37</x:f>
        <x:v>20</x:v>
      </x:c>
      <x:c r="M37" s="1" t="n">
        <x:v>10</x:v>
      </x:c>
      <x:c r="N37" s="1" t="n">
        <x:v>15</x:v>
      </x:c>
      <x:c r="O37" s="3" t="n">
        <x:f t="shared" si="4"/>
        <x:v>8</x:v>
      </x:c>
      <x:c r="P37" s="22" t="n">
        <x:f t="shared" si="5">IF(N37=0,"",M37/N37)</x:f>
        <x:v>0.6666666666666666</x:v>
      </x:c>
      <x:c r="Q37" s="22" t="n">
        <x:f t="shared" si="6">IF(L37=0,"",M37/L37)</x:f>
        <x:v>0.5</x:v>
      </x:c>
      <x:c r="R37" s="22" t="n">
        <x:f t="shared" si="7">IF(L37=0,"",N37/L37)</x:f>
        <x:v>0.75</x:v>
      </x:c>
      <x:c r="S37" s="22" t="n">
        <x:f>IF(L37=0,"",O37/L37)</x:f>
        <x:v>0.4</x:v>
      </x:c>
      <x:c r="T37" s="24" t="n">
        <x:v>-35</x:v>
      </x:c>
      <x:c r="U37" s="26" t="n">
        <x:v>0.09</x:v>
      </x:c>
      <x:c r="V37" s="24" t="n">
        <x:v>162</x:v>
      </x:c>
      <x:c r="W37"/>
      <x:c r="X37"/>
    </x:row>
    <x:row r="38">
      <x:c r="A38" s="1" t="n">
        <x:v>36</x:v>
      </x:c>
      <x:c r="B38" s="27" t="n">
        <x:v>45665</x:v>
      </x:c>
      <x:c r="C38" s="1" t="str">
        <x:v>Pearl</x:v>
      </x:c>
      <x:c r="D38" s="1" t="str">
        <x:v>10th</x:v>
      </x:c>
      <x:c r="E38" s="1" t="str">
        <x:v>Sage</x:v>
      </x:c>
      <x:c r="F38" s="1" t="str">
        <x:v>Sentinel</x:v>
      </x:c>
      <x:c r="G38" s="1" t="n">
        <x:v>10</x:v>
      </x:c>
      <x:c r="H38" s="1" t="n">
        <x:f t="shared" si="0"/>
        <x:v>13</x:v>
      </x:c>
      <x:c r="I38" s="1" t="str">
        <x:f t="shared" si="1">IF(G38&gt;H38,"Win",IF(G38&lt;H38,"Loss","Draw"))</x:f>
        <x:v>Loss</x:v>
      </x:c>
      <x:c r="J38" s="1" t="n">
        <x:f t="shared" si="2">IF(I38="Win",1,IF(I38="Loss",0,""))</x:f>
        <x:v>0</x:v>
      </x:c>
      <x:c r="K38" s="1" t="n">
        <x:f t="shared" si="3">G38-H38</x:f>
        <x:v>-3</x:v>
      </x:c>
      <x:c r="L38" s="1" t="n">
        <x:f>G38+H38</x:f>
        <x:v>23</x:v>
      </x:c>
      <x:c r="M38" s="1" t="n">
        <x:v>3</x:v>
      </x:c>
      <x:c r="N38" s="1" t="n">
        <x:v>18</x:v>
      </x:c>
      <x:c r="O38" s="3" t="n">
        <x:f t="shared" si="4"/>
        <x:v>2</x:v>
      </x:c>
      <x:c r="P38" s="22" t="n">
        <x:f t="shared" si="5">IF(N38=0,"",M38/N38)</x:f>
        <x:v>0.16666666666666666</x:v>
      </x:c>
      <x:c r="Q38" s="22" t="n">
        <x:f t="shared" si="6">IF(L38=0,"",M38/L38)</x:f>
        <x:v>0.13043478260869565</x:v>
      </x:c>
      <x:c r="R38" s="22" t="n">
        <x:f t="shared" si="7">IF(L38=0,"",N38/L38)</x:f>
        <x:v>0.782608695652174</x:v>
      </x:c>
      <x:c r="S38" s="22" t="n">
        <x:f>IF(L38=0,"",O38/L38)</x:f>
        <x:v>0.08695652173913043</x:v>
      </x:c>
      <x:c r="T38" s="24" t="n">
        <x:v>-114</x:v>
      </x:c>
      <x:c r="U38" s="26" t="n">
        <x:v>0.07</x:v>
      </x:c>
      <x:c r="V38" s="24" t="n">
        <x:v>46</x:v>
      </x:c>
      <x:c r="W38"/>
      <x:c r="X38"/>
    </x:row>
    <x:row r="39">
      <x:c r="A39" s="1" t="n">
        <x:v>37</x:v>
      </x:c>
      <x:c r="B39" s="27" t="n">
        <x:v>45668</x:v>
      </x:c>
      <x:c r="C39" s="1" t="str">
        <x:v>Lotus</x:v>
      </x:c>
      <x:c r="D39" s="1" t="str">
        <x:v>7th</x:v>
      </x:c>
      <x:c r="E39" s="1" t="str">
        <x:v>Sage</x:v>
      </x:c>
      <x:c r="F39" s="1" t="str">
        <x:v>Sentinel</x:v>
      </x:c>
      <x:c r="G39" s="1" t="n">
        <x:v>13</x:v>
      </x:c>
      <x:c r="H39" s="1" t="n">
        <x:f t="shared" si="0"/>
        <x:v>7</x:v>
      </x:c>
      <x:c r="I39" s="1" t="str">
        <x:f t="shared" si="1">IF(G39&gt;H39,"Win",IF(G39&lt;H39,"Loss","Draw"))</x:f>
        <x:v>Win</x:v>
      </x:c>
      <x:c r="J39" s="1" t="n">
        <x:f t="shared" si="2">IF(I39="Win",1,IF(I39="Loss",0,""))</x:f>
        <x:v>1</x:v>
      </x:c>
      <x:c r="K39" s="1" t="n">
        <x:f t="shared" si="3">G39-H39</x:f>
        <x:v>6</x:v>
      </x:c>
      <x:c r="L39" s="1" t="n">
        <x:f>G39+H39</x:f>
        <x:v>20</x:v>
      </x:c>
      <x:c r="M39" s="1" t="n">
        <x:v>13</x:v>
      </x:c>
      <x:c r="N39" s="1" t="n">
        <x:v>11</x:v>
      </x:c>
      <x:c r="O39" s="3" t="n">
        <x:f t="shared" si="4"/>
        <x:v>7</x:v>
      </x:c>
      <x:c r="P39" s="22" t="n">
        <x:f t="shared" si="5">IF(N39=0,"",M39/N39)</x:f>
        <x:v>1.1818181818181819</x:v>
      </x:c>
      <x:c r="Q39" s="22" t="n">
        <x:f t="shared" si="6">IF(L39=0,"",M39/L39)</x:f>
        <x:v>0.65</x:v>
      </x:c>
      <x:c r="R39" s="22" t="n">
        <x:f t="shared" si="7">IF(L39=0,"",N39/L39)</x:f>
        <x:v>0.55</x:v>
      </x:c>
      <x:c r="S39" s="22" t="n">
        <x:f>IF(L39=0,"",O39/L39)</x:f>
        <x:v>0.35</x:v>
      </x:c>
      <x:c r="T39" s="24" t="n">
        <x:v>-8</x:v>
      </x:c>
      <x:c r="U39" s="26" t="n">
        <x:v>0.12</x:v>
      </x:c>
      <x:c r="V39" s="24" t="n">
        <x:v>164</x:v>
      </x:c>
      <x:c r="W39"/>
      <x:c r="X39"/>
    </x:row>
    <x:row r="40">
      <x:c r="A40" s="1" t="n">
        <x:v>38</x:v>
      </x:c>
      <x:c r="B40" s="27" t="n">
        <x:v>45668</x:v>
      </x:c>
      <x:c r="C40" s="1" t="str">
        <x:v>Split</x:v>
      </x:c>
      <x:c r="D40" s="1" t="str">
        <x:v>10th</x:v>
      </x:c>
      <x:c r="E40" s="1" t="str">
        <x:v>Sage</x:v>
      </x:c>
      <x:c r="F40" s="1" t="str">
        <x:v>Sentinel</x:v>
      </x:c>
      <x:c r="G40" s="1" t="n">
        <x:v>1</x:v>
      </x:c>
      <x:c r="H40" s="1" t="n">
        <x:f t="shared" si="0"/>
        <x:v>13</x:v>
      </x:c>
      <x:c r="I40" s="1" t="str">
        <x:f t="shared" si="1">IF(G40&gt;H40,"Win",IF(G40&lt;H40,"Loss","Draw"))</x:f>
        <x:v>Loss</x:v>
      </x:c>
      <x:c r="J40" s="1" t="n">
        <x:f t="shared" si="2">IF(I40="Win",1,IF(I40="Loss",0,""))</x:f>
        <x:v>0</x:v>
      </x:c>
      <x:c r="K40" s="1" t="n">
        <x:f t="shared" si="3">G40-H40</x:f>
        <x:v>-12</x:v>
      </x:c>
      <x:c r="L40" s="1" t="n">
        <x:f>G40+H40</x:f>
        <x:v>14</x:v>
      </x:c>
      <x:c r="M40" s="1" t="n">
        <x:v>2</x:v>
      </x:c>
      <x:c r="N40" s="1" t="n">
        <x:v>12</x:v>
      </x:c>
      <x:c r="O40" s="3" t="n">
        <x:f t="shared" si="4"/>
        <x:v>6</x:v>
      </x:c>
      <x:c r="P40" s="22" t="n">
        <x:f t="shared" si="5">IF(N40=0,"",M40/N40)</x:f>
        <x:v>0.16666666666666666</x:v>
      </x:c>
      <x:c r="Q40" s="22" t="n">
        <x:f t="shared" si="6">IF(L40=0,"",M40/L40)</x:f>
        <x:v>0.14285714285714285</x:v>
      </x:c>
      <x:c r="R40" s="22" t="n">
        <x:f t="shared" si="7">IF(L40=0,"",N40/L40)</x:f>
        <x:v>0.8571428571428571</x:v>
      </x:c>
      <x:c r="S40" s="22" t="n">
        <x:f>IF(L40=0,"",O40/L40)</x:f>
        <x:v>0.42857142857142855</x:v>
      </x:c>
      <x:c r="T40" s="24" t="n">
        <x:v>-87</x:v>
      </x:c>
      <x:c r="U40" s="26" t="n">
        <x:v>0.21</x:v>
      </x:c>
      <x:c r="V40" s="24" t="n">
        <x:v>69</x:v>
      </x:c>
      <x:c r="W40"/>
      <x:c r="X40"/>
    </x:row>
    <x:row r="41">
      <x:c r="A41" s="1" t="n">
        <x:v>39</x:v>
      </x:c>
      <x:c r="B41" s="27" t="n">
        <x:v>45669</x:v>
      </x:c>
      <x:c r="C41" s="1" t="str">
        <x:v>Abyss</x:v>
      </x:c>
      <x:c r="D41" s="1" t="str">
        <x:v>10th</x:v>
      </x:c>
      <x:c r="E41" s="1" t="str">
        <x:v>Sage</x:v>
      </x:c>
      <x:c r="F41" s="1" t="str">
        <x:v>Sentinel</x:v>
      </x:c>
      <x:c r="G41" s="1" t="n">
        <x:v>13</x:v>
      </x:c>
      <x:c r="H41" s="1" t="n">
        <x:f t="shared" si="0"/>
        <x:v>9</x:v>
      </x:c>
      <x:c r="I41" s="1" t="str">
        <x:f t="shared" si="1">IF(G41&gt;H41,"Win",IF(G41&lt;H41,"Loss","Draw"))</x:f>
        <x:v>Win</x:v>
      </x:c>
      <x:c r="J41" s="1" t="n">
        <x:f t="shared" si="2">IF(I41="Win",1,IF(I41="Loss",0,""))</x:f>
        <x:v>1</x:v>
      </x:c>
      <x:c r="K41" s="1" t="n">
        <x:f t="shared" si="3">G41-H41</x:f>
        <x:v>4</x:v>
      </x:c>
      <x:c r="L41" s="1" t="n">
        <x:f>G41+H41</x:f>
        <x:v>22</x:v>
      </x:c>
      <x:c r="M41" s="1" t="n">
        <x:v>3</x:v>
      </x:c>
      <x:c r="N41" s="1" t="n">
        <x:v>14</x:v>
      </x:c>
      <x:c r="O41" s="3" t="n">
        <x:f t="shared" si="4"/>
        <x:v>3</x:v>
      </x:c>
      <x:c r="P41" s="22" t="n">
        <x:f t="shared" si="5">IF(N41=0,"",M41/N41)</x:f>
        <x:v>0.21428571428571427</x:v>
      </x:c>
      <x:c r="Q41" s="22" t="n">
        <x:f t="shared" si="6">IF(L41=0,"",M41/L41)</x:f>
        <x:v>0.13636363636363635</x:v>
      </x:c>
      <x:c r="R41" s="22" t="n">
        <x:f t="shared" si="7">IF(L41=0,"",N41/L41)</x:f>
        <x:v>0.6363636363636364</x:v>
      </x:c>
      <x:c r="S41" s="22" t="n">
        <x:f>IF(L41=0,"",O41/L41)</x:f>
        <x:v>0.13636363636363635</x:v>
      </x:c>
      <x:c r="T41" s="24" t="n">
        <x:v>-86</x:v>
      </x:c>
      <x:c r="U41" s="26" t="n">
        <x:v>0</x:v>
      </x:c>
      <x:c r="V41" s="24" t="n">
        <x:v>38</x:v>
      </x:c>
      <x:c r="W41"/>
      <x:c r="X41"/>
    </x:row>
    <x:row r="42">
      <x:c r="A42" s="1" t="n">
        <x:v>40</x:v>
      </x:c>
      <x:c r="B42" s="27" t="n">
        <x:v>45669</x:v>
      </x:c>
      <x:c r="C42" s="1" t="str">
        <x:v>Fracture</x:v>
      </x:c>
      <x:c r="D42" s="1" t="str">
        <x:v>10th</x:v>
      </x:c>
      <x:c r="E42" s="1" t="str">
        <x:v>Sage</x:v>
      </x:c>
      <x:c r="F42" s="1" t="str">
        <x:v>Sentinel</x:v>
      </x:c>
      <x:c r="G42" s="1" t="n">
        <x:v>14</x:v>
      </x:c>
      <x:c r="H42" s="1" t="n">
        <x:f t="shared" si="0"/>
        <x:v>12</x:v>
      </x:c>
      <x:c r="I42" s="1" t="str">
        <x:f t="shared" si="1">IF(G42&gt;H42,"Win",IF(G42&lt;H42,"Loss","Draw"))</x:f>
        <x:v>Win</x:v>
      </x:c>
      <x:c r="J42" s="1" t="n">
        <x:f t="shared" si="2">IF(I42="Win",1,IF(I42="Loss",0,""))</x:f>
        <x:v>1</x:v>
      </x:c>
      <x:c r="K42" s="1" t="n">
        <x:f t="shared" si="3">G42-H42</x:f>
        <x:v>2</x:v>
      </x:c>
      <x:c r="L42" s="1" t="n">
        <x:f>G42+H42</x:f>
        <x:v>26</x:v>
      </x:c>
      <x:c r="M42" s="1" t="n">
        <x:v>4</x:v>
      </x:c>
      <x:c r="N42" s="1" t="n">
        <x:v>15</x:v>
      </x:c>
      <x:c r="O42" s="3" t="n">
        <x:f t="shared" si="4"/>
        <x:v>1</x:v>
      </x:c>
      <x:c r="P42" s="22" t="n">
        <x:f t="shared" si="5">IF(N42=0,"",M42/N42)</x:f>
        <x:v>0.26666666666666666</x:v>
      </x:c>
      <x:c r="Q42" s="22" t="n">
        <x:f t="shared" si="6">IF(L42=0,"",M42/L42)</x:f>
        <x:v>0.15384615384615385</x:v>
      </x:c>
      <x:c r="R42" s="22" t="n">
        <x:f t="shared" si="7">IF(L42=0,"",N42/L42)</x:f>
        <x:v>0.5769230769230769</x:v>
      </x:c>
      <x:c r="S42" s="22" t="n">
        <x:f>IF(L42=0,"",O42/L42)</x:f>
        <x:v>0.038461538461538464</x:v>
      </x:c>
      <x:c r="T42" s="24" t="n">
        <x:v>-99</x:v>
      </x:c>
      <x:c r="U42" s="26" t="n">
        <x:v>0</x:v>
      </x:c>
      <x:c r="V42" s="24" t="n">
        <x:v>33</x:v>
      </x:c>
      <x:c r="W42"/>
      <x:c r="X42"/>
    </x:row>
    <x:row r="43">
      <x:c r="A43" s="1" t="n">
        <x:v>41</x:v>
      </x:c>
      <x:c r="B43" s="27" t="n">
        <x:v>45671</x:v>
      </x:c>
      <x:c r="C43" s="1" t="str">
        <x:v>Bind</x:v>
      </x:c>
      <x:c r="D43" s="1" t="str">
        <x:v>10th</x:v>
      </x:c>
      <x:c r="E43" s="1" t="str">
        <x:v>Sage</x:v>
      </x:c>
      <x:c r="F43" s="1" t="str">
        <x:v>Sentinel</x:v>
      </x:c>
      <x:c r="G43" s="1" t="n">
        <x:v>13</x:v>
      </x:c>
      <x:c r="H43" s="1" t="n">
        <x:f t="shared" si="0"/>
        <x:v>3</x:v>
      </x:c>
      <x:c r="I43" s="1" t="str">
        <x:f t="shared" si="1">IF(G43&gt;H43,"Win",IF(G43&lt;H43,"Loss","Draw"))</x:f>
        <x:v>Win</x:v>
      </x:c>
      <x:c r="J43" s="1" t="n">
        <x:f t="shared" si="2">IF(I43="Win",1,IF(I43="Loss",0,""))</x:f>
        <x:v>1</x:v>
      </x:c>
      <x:c r="K43" s="1" t="n">
        <x:f t="shared" si="3">G43-H43</x:f>
        <x:v>10</x:v>
      </x:c>
      <x:c r="L43" s="1" t="n">
        <x:f>G43+H43</x:f>
        <x:v>16</x:v>
      </x:c>
      <x:c r="M43" s="1" t="n">
        <x:v>5</x:v>
      </x:c>
      <x:c r="N43" s="1" t="n">
        <x:v>8</x:v>
      </x:c>
      <x:c r="O43" s="3" t="n">
        <x:f t="shared" si="4"/>
        <x:v>3</x:v>
      </x:c>
      <x:c r="P43" s="22" t="n">
        <x:f t="shared" si="5">IF(N43=0,"",M43/N43)</x:f>
        <x:v>0.625</x:v>
      </x:c>
      <x:c r="Q43" s="22" t="n">
        <x:f t="shared" si="6">IF(L43=0,"",M43/L43)</x:f>
        <x:v>0.3125</x:v>
      </x:c>
      <x:c r="R43" s="22" t="n">
        <x:f t="shared" si="7">IF(L43=0,"",N43/L43)</x:f>
        <x:v>0.5</x:v>
      </x:c>
      <x:c r="S43" s="22" t="n">
        <x:f>IF(L43=0,"",O43/L43)</x:f>
        <x:v>0.1875</x:v>
      </x:c>
      <x:c r="T43" s="24" t="n">
        <x:v>-43</x:v>
      </x:c>
      <x:c r="U43" s="26" t="n">
        <x:v>0.03</x:v>
      </x:c>
      <x:c r="V43" s="24" t="n">
        <x:v>87</x:v>
      </x:c>
      <x:c r="W43"/>
      <x:c r="X43"/>
    </x:row>
    <x:row r="44">
      <x:c r="A44" s="1" t="n">
        <x:v>42</x:v>
      </x:c>
      <x:c r="B44" s="27" t="n">
        <x:v>45671</x:v>
      </x:c>
      <x:c r="C44" s="1" t="str">
        <x:v>Bind</x:v>
      </x:c>
      <x:c r="D44" s="1" t="str">
        <x:v>9th</x:v>
      </x:c>
      <x:c r="E44" s="1" t="str">
        <x:v>Sage</x:v>
      </x:c>
      <x:c r="F44" s="1" t="str">
        <x:v>Sentinel</x:v>
      </x:c>
      <x:c r="G44" s="1" t="n">
        <x:v>15</x:v>
      </x:c>
      <x:c r="H44" s="1" t="n">
        <x:f t="shared" si="0"/>
        <x:v>13</x:v>
      </x:c>
      <x:c r="I44" s="1" t="str">
        <x:f t="shared" si="1">IF(G44&gt;H44,"Win",IF(G44&lt;H44,"Loss","Draw"))</x:f>
        <x:v>Win</x:v>
      </x:c>
      <x:c r="J44" s="1" t="n">
        <x:f t="shared" si="2">IF(I44="Win",1,IF(I44="Loss",0,""))</x:f>
        <x:v>1</x:v>
      </x:c>
      <x:c r="K44" s="1" t="n">
        <x:f t="shared" si="3">G44-H44</x:f>
        <x:v>2</x:v>
      </x:c>
      <x:c r="L44" s="1" t="n">
        <x:f>G44+H44</x:f>
        <x:v>28</x:v>
      </x:c>
      <x:c r="M44" s="1" t="n">
        <x:v>13</x:v>
      </x:c>
      <x:c r="N44" s="1" t="n">
        <x:v>19</x:v>
      </x:c>
      <x:c r="O44" s="3" t="n">
        <x:f t="shared" si="4"/>
        <x:v>7</x:v>
      </x:c>
      <x:c r="P44" s="22" t="n">
        <x:f t="shared" si="5">IF(N44=0,"",M44/N44)</x:f>
        <x:v>0.6842105263157895</x:v>
      </x:c>
      <x:c r="Q44" s="22" t="n">
        <x:f t="shared" si="6">IF(L44=0,"",M44/L44)</x:f>
        <x:v>0.4642857142857143</x:v>
      </x:c>
      <x:c r="R44" s="22" t="n">
        <x:f t="shared" si="7">IF(L44=0,"",N44/L44)</x:f>
        <x:v>0.6785714285714286</x:v>
      </x:c>
      <x:c r="S44" s="22" t="n">
        <x:f>IF(L44=0,"",O44/L44)</x:f>
        <x:v>0.25</x:v>
      </x:c>
      <x:c r="T44" s="24" t="n">
        <x:v>-63</x:v>
      </x:c>
      <x:c r="U44" s="26" t="n">
        <x:v>0.06</x:v>
      </x:c>
      <x:c r="V44" s="24" t="n">
        <x:v>116</x:v>
      </x:c>
      <x:c r="W44"/>
      <x:c r="X44"/>
    </x:row>
    <x:row r="45">
      <x:c r="A45" s="1" t="n">
        <x:v>43</x:v>
      </x:c>
      <x:c r="B45" s="27" t="n">
        <x:v>45692</x:v>
      </x:c>
      <x:c r="C45" s="1" t="str">
        <x:v>Haven</x:v>
      </x:c>
      <x:c r="D45" s="1" t="str">
        <x:v>8th</x:v>
      </x:c>
      <x:c r="E45" s="1" t="str">
        <x:v>Sage</x:v>
      </x:c>
      <x:c r="F45" s="1" t="str">
        <x:v>Sentinel</x:v>
      </x:c>
      <x:c r="G45" s="1" t="n">
        <x:v>10</x:v>
      </x:c>
      <x:c r="H45" s="1" t="n">
        <x:f t="shared" si="0"/>
        <x:v>13</x:v>
      </x:c>
      <x:c r="I45" s="1" t="str">
        <x:f t="shared" si="1">IF(G45&gt;H45,"Win",IF(G45&lt;H45,"Loss","Draw"))</x:f>
        <x:v>Loss</x:v>
      </x:c>
      <x:c r="J45" s="1" t="n">
        <x:f t="shared" si="2">IF(I45="Win",1,IF(I45="Loss",0,""))</x:f>
        <x:v>0</x:v>
      </x:c>
      <x:c r="K45" s="1" t="n">
        <x:f t="shared" si="3">G45-H45</x:f>
        <x:v>-3</x:v>
      </x:c>
      <x:c r="L45" s="1" t="n">
        <x:f>G45+H45</x:f>
        <x:v>23</x:v>
      </x:c>
      <x:c r="M45" s="1" t="n">
        <x:v>12</x:v>
      </x:c>
      <x:c r="N45" s="1" t="n">
        <x:v>18</x:v>
      </x:c>
      <x:c r="O45" s="3" t="n">
        <x:f t="shared" si="4"/>
        <x:v>2</x:v>
      </x:c>
      <x:c r="P45" s="22" t="n">
        <x:f t="shared" si="5">IF(N45=0,"",M45/N45)</x:f>
        <x:v>0.6666666666666666</x:v>
      </x:c>
      <x:c r="Q45" s="22" t="n">
        <x:f t="shared" si="6">IF(L45=0,"",M45/L45)</x:f>
        <x:v>0.5217391304347826</x:v>
      </x:c>
      <x:c r="R45" s="22" t="n">
        <x:f t="shared" si="7">IF(L45=0,"",N45/L45)</x:f>
        <x:v>0.782608695652174</x:v>
      </x:c>
      <x:c r="S45" s="22" t="n">
        <x:f>IF(L45=0,"",O45/L45)</x:f>
        <x:v>0.08695652173913043</x:v>
      </x:c>
      <x:c r="T45" s="24" t="n">
        <x:v>-29</x:v>
      </x:c>
      <x:c r="U45" s="26" t="n">
        <x:v>0.07</x:v>
      </x:c>
      <x:c r="V45" s="24" t="n">
        <x:v>151</x:v>
      </x:c>
      <x:c r="W45"/>
      <x:c r="X45"/>
    </x:row>
    <x:row r="46">
      <x:c r="A46" s="1" t="n">
        <x:v>44</x:v>
      </x:c>
      <x:c r="B46" s="27" t="n">
        <x:v>45704</x:v>
      </x:c>
      <x:c r="C46" s="1" t="str">
        <x:v>Haven</x:v>
      </x:c>
      <x:c r="D46" s="1" t="str">
        <x:v>6th</x:v>
      </x:c>
      <x:c r="E46" s="1" t="str">
        <x:v>Clove</x:v>
      </x:c>
      <x:c r="F46" s="1" t="str">
        <x:v>Controller</x:v>
      </x:c>
      <x:c r="G46" s="1" t="n">
        <x:v>10</x:v>
      </x:c>
      <x:c r="H46" s="1" t="n">
        <x:f t="shared" si="0"/>
        <x:v>13</x:v>
      </x:c>
      <x:c r="I46" s="1" t="str">
        <x:f t="shared" si="1">IF(G46&gt;H46,"Win",IF(G46&lt;H46,"Loss","Draw"))</x:f>
        <x:v>Loss</x:v>
      </x:c>
      <x:c r="J46" s="1" t="n">
        <x:f t="shared" si="2">IF(I46="Win",1,IF(I46="Loss",0,""))</x:f>
        <x:v>0</x:v>
      </x:c>
      <x:c r="K46" s="1" t="n">
        <x:f t="shared" si="3">G46-H46</x:f>
        <x:v>-3</x:v>
      </x:c>
      <x:c r="L46" s="1" t="n">
        <x:f>G46+H46</x:f>
        <x:v>23</x:v>
      </x:c>
      <x:c r="M46" s="1" t="n">
        <x:v>19</x:v>
      </x:c>
      <x:c r="N46" s="1" t="n">
        <x:v>20</x:v>
      </x:c>
      <x:c r="O46" s="3" t="n">
        <x:f t="shared" si="4"/>
        <x:v>0</x:v>
      </x:c>
      <x:c r="P46" s="22" t="n">
        <x:f t="shared" si="5">IF(N46=0,"",M46/N46)</x:f>
        <x:v>0.95</x:v>
      </x:c>
      <x:c r="Q46" s="22" t="n">
        <x:f t="shared" si="6">IF(L46=0,"",M46/L46)</x:f>
        <x:v>0.8260869565217391</x:v>
      </x:c>
      <x:c r="R46" s="22" t="n">
        <x:f t="shared" si="7">IF(L46=0,"",N46/L46)</x:f>
        <x:v>0.8695652173913043</x:v>
      </x:c>
      <x:c r="S46" s="22" t="n">
        <x:f>IF(L46=0,"",O46/L46)</x:f>
        <x:v>0</x:v>
      </x:c>
      <x:c r="T46" s="24" t="n">
        <x:v>-31</x:v>
      </x:c>
      <x:c r="U46" s="26" t="n">
        <x:v>0.06</x:v>
      </x:c>
      <x:c r="V46" s="24" t="n">
        <x:v>205</x:v>
      </x:c>
      <x:c r="W46"/>
      <x:c r="X46"/>
    </x:row>
    <x:row r="47">
      <x:c r="A47" s="1" t="n">
        <x:v>45</x:v>
      </x:c>
      <x:c r="B47" s="27" t="n">
        <x:v>45704</x:v>
      </x:c>
      <x:c r="C47" s="1" t="str">
        <x:v>Bind</x:v>
      </x:c>
      <x:c r="D47" s="1" t="str">
        <x:v>10th</x:v>
      </x:c>
      <x:c r="E47" s="1" t="str">
        <x:v>Breach</x:v>
      </x:c>
      <x:c r="F47" s="1" t="str">
        <x:v>Initiator</x:v>
      </x:c>
      <x:c r="G47" s="1" t="n">
        <x:v>13</x:v>
      </x:c>
      <x:c r="H47" s="1" t="n">
        <x:f t="shared" si="0"/>
        <x:v>2</x:v>
      </x:c>
      <x:c r="I47" s="1" t="str">
        <x:f t="shared" si="1">IF(G47&gt;H47,"Win",IF(G47&lt;H47,"Loss","Draw"))</x:f>
        <x:v>Win</x:v>
      </x:c>
      <x:c r="J47" s="1" t="n">
        <x:f t="shared" si="2">IF(I47="Win",1,IF(I47="Loss",0,""))</x:f>
        <x:v>1</x:v>
      </x:c>
      <x:c r="K47" s="1" t="n">
        <x:f t="shared" si="3">G47-H47</x:f>
        <x:v>11</x:v>
      </x:c>
      <x:c r="L47" s="1" t="n">
        <x:f>G47+H47</x:f>
        <x:v>15</x:v>
      </x:c>
      <x:c r="M47" s="1" t="n">
        <x:v>5</x:v>
      </x:c>
      <x:c r="N47" s="1" t="n">
        <x:v>9</x:v>
      </x:c>
      <x:c r="O47" s="3" t="n">
        <x:f t="shared" si="4"/>
        <x:v>2</x:v>
      </x:c>
      <x:c r="P47" s="22" t="n">
        <x:f t="shared" si="5">IF(N47=0,"",M47/N47)</x:f>
        <x:v>0.5555555555555556</x:v>
      </x:c>
      <x:c r="Q47" s="22" t="n">
        <x:f t="shared" si="6">IF(L47=0,"",M47/L47)</x:f>
        <x:v>0.3333333333333333</x:v>
      </x:c>
      <x:c r="R47" s="22" t="n">
        <x:f t="shared" si="7">IF(L47=0,"",N47/L47)</x:f>
        <x:v>0.6</x:v>
      </x:c>
      <x:c r="S47" s="22" t="n">
        <x:f>IF(L47=0,"",O47/L47)</x:f>
        <x:v>0.13333333333333333</x:v>
      </x:c>
      <x:c r="T47" s="24" t="n">
        <x:v>-47</x:v>
      </x:c>
      <x:c r="U47" s="26" t="n">
        <x:v>0.08</x:v>
      </x:c>
      <x:c r="V47" s="24" t="n">
        <x:v>103</x:v>
      </x:c>
      <x:c r="W47"/>
      <x:c r="X47"/>
    </x:row>
    <x:row r="48">
      <x:c r="A48" s="1" t="n">
        <x:v>46</x:v>
      </x:c>
      <x:c r="B48" s="27" t="n">
        <x:v>45705</x:v>
      </x:c>
      <x:c r="C48" s="1" t="str">
        <x:v>Abyss</x:v>
      </x:c>
      <x:c r="D48" s="1" t="str">
        <x:v>7th</x:v>
      </x:c>
      <x:c r="E48" s="1" t="str">
        <x:v>Clove</x:v>
      </x:c>
      <x:c r="F48" s="1" t="str">
        <x:v>Controller</x:v>
      </x:c>
      <x:c r="G48" s="1" t="n">
        <x:v>14</x:v>
      </x:c>
      <x:c r="H48" s="1" t="n">
        <x:f t="shared" si="0"/>
        <x:v>12</x:v>
      </x:c>
      <x:c r="I48" s="1" t="str">
        <x:f t="shared" si="1">IF(G48&gt;H48,"Win",IF(G48&lt;H48,"Loss","Draw"))</x:f>
        <x:v>Win</x:v>
      </x:c>
      <x:c r="J48" s="1" t="n">
        <x:f t="shared" si="2">IF(I48="Win",1,IF(I48="Loss",0,""))</x:f>
        <x:v>1</x:v>
      </x:c>
      <x:c r="K48" s="1" t="n">
        <x:f t="shared" si="3">G48-H48</x:f>
        <x:v>2</x:v>
      </x:c>
      <x:c r="L48" s="1" t="n">
        <x:f>G48+H48</x:f>
        <x:v>26</x:v>
      </x:c>
      <x:c r="M48" s="1" t="n">
        <x:v>13</x:v>
      </x:c>
      <x:c r="N48" s="1" t="n">
        <x:v>19</x:v>
      </x:c>
      <x:c r="O48" s="3" t="n">
        <x:f t="shared" si="4"/>
        <x:v>7</x:v>
      </x:c>
      <x:c r="P48" s="22" t="n">
        <x:f t="shared" si="5">IF(N48=0,"",M48/N48)</x:f>
        <x:v>0.6842105263157895</x:v>
      </x:c>
      <x:c r="Q48" s="22" t="n">
        <x:f t="shared" si="6">IF(L48=0,"",M48/L48)</x:f>
        <x:v>0.5</x:v>
      </x:c>
      <x:c r="R48" s="22" t="n">
        <x:f t="shared" si="7">IF(L48=0,"",N48/L48)</x:f>
        <x:v>0.7307692307692307</x:v>
      </x:c>
      <x:c r="S48" s="22" t="n">
        <x:f>IF(L48=0,"",O48/L48)</x:f>
        <x:v>0.2692307692307692</x:v>
      </x:c>
      <x:c r="T48" s="24" t="n">
        <x:v>-36</x:v>
      </x:c>
      <x:c r="U48" s="26" t="n">
        <x:v>0.05</x:v>
      </x:c>
      <x:c r="V48" s="24" t="n">
        <x:v>145</x:v>
      </x:c>
      <x:c r="W48"/>
      <x:c r="X48"/>
    </x:row>
    <x:row r="49">
      <x:c r="A49" s="1" t="n">
        <x:v>47</x:v>
      </x:c>
      <x:c r="B49" s="27" t="n">
        <x:v>45707</x:v>
      </x:c>
      <x:c r="C49" s="1" t="str">
        <x:v>Pearl</x:v>
      </x:c>
      <x:c r="D49" s="1" t="str">
        <x:v>8th</x:v>
      </x:c>
      <x:c r="E49" s="1" t="str">
        <x:v>Sage</x:v>
      </x:c>
      <x:c r="F49" s="1" t="str">
        <x:v>Sentinel</x:v>
      </x:c>
      <x:c r="G49" s="1" t="n">
        <x:v>13</x:v>
      </x:c>
      <x:c r="H49" s="1" t="n">
        <x:f t="shared" si="0"/>
        <x:v>4</x:v>
      </x:c>
      <x:c r="I49" s="1" t="str">
        <x:f t="shared" si="1">IF(G49&gt;H49,"Win",IF(G49&lt;H49,"Loss","Draw"))</x:f>
        <x:v>Win</x:v>
      </x:c>
      <x:c r="J49" s="1" t="n">
        <x:f t="shared" si="2">IF(I49="Win",1,IF(I49="Loss",0,""))</x:f>
        <x:v>1</x:v>
      </x:c>
      <x:c r="K49" s="1" t="n">
        <x:f t="shared" si="3">G49-H49</x:f>
        <x:v>9</x:v>
      </x:c>
      <x:c r="L49" s="1" t="n">
        <x:f>G49+H49</x:f>
        <x:v>17</x:v>
      </x:c>
      <x:c r="M49" s="1" t="n">
        <x:v>12</x:v>
      </x:c>
      <x:c r="N49" s="1" t="n">
        <x:v>6</x:v>
      </x:c>
      <x:c r="O49" s="3" t="n">
        <x:f t="shared" si="4"/>
        <x:v>4</x:v>
      </x:c>
      <x:c r="P49" s="22" t="n">
        <x:f t="shared" si="5">IF(N49=0,"",M49/N49)</x:f>
        <x:v>2</x:v>
      </x:c>
      <x:c r="Q49" s="22" t="n">
        <x:f t="shared" si="6">IF(L49=0,"",M49/L49)</x:f>
        <x:v>0.7058823529411765</x:v>
      </x:c>
      <x:c r="R49" s="22" t="n">
        <x:f t="shared" si="7">IF(L49=0,"",N49/L49)</x:f>
        <x:v>0.35294117647058826</x:v>
      </x:c>
      <x:c r="S49" s="22" t="n">
        <x:f>IF(L49=0,"",O49/L49)</x:f>
        <x:v>0.23529411764705882</x:v>
      </x:c>
      <x:c r="T49" s="24" t="n">
        <x:v>-4</x:v>
      </x:c>
      <x:c r="U49" s="26" t="n">
        <x:v>0</x:v>
      </x:c>
      <x:c r="V49" s="24" t="n">
        <x:v>167</x:v>
      </x:c>
      <x:c r="W49"/>
      <x:c r="X49"/>
    </x:row>
    <x:row r="50">
      <x:c r="A50" s="1" t="n">
        <x:v>48</x:v>
      </x:c>
      <x:c r="B50" s="27" t="n">
        <x:v>45707</x:v>
      </x:c>
      <x:c r="C50" s="1" t="str">
        <x:v>Fracture</x:v>
      </x:c>
      <x:c r="D50" s="1" t="str">
        <x:v>10th</x:v>
      </x:c>
      <x:c r="E50" s="1" t="str">
        <x:v>Sage</x:v>
      </x:c>
      <x:c r="F50" s="1" t="str">
        <x:v>Sentinel</x:v>
      </x:c>
      <x:c r="G50" s="1" t="n">
        <x:v>0</x:v>
      </x:c>
      <x:c r="H50" s="1" t="n">
        <x:f t="shared" si="0"/>
        <x:v>13</x:v>
      </x:c>
      <x:c r="I50" s="1" t="str">
        <x:f t="shared" si="1">IF(G50&gt;H50,"Win",IF(G50&lt;H50,"Loss","Draw"))</x:f>
        <x:v>Loss</x:v>
      </x:c>
      <x:c r="J50" s="1" t="n">
        <x:f t="shared" si="2">IF(I50="Win",1,IF(I50="Loss",0,""))</x:f>
        <x:v>0</x:v>
      </x:c>
      <x:c r="K50" s="1" t="n">
        <x:f t="shared" si="3">G50-H50</x:f>
        <x:v>-13</x:v>
      </x:c>
      <x:c r="L50" s="1" t="n">
        <x:f>G50+H50</x:f>
        <x:v>13</x:v>
      </x:c>
      <x:c r="M50" s="1" t="n">
        <x:v>2</x:v>
      </x:c>
      <x:c r="N50" s="1" t="n">
        <x:v>11</x:v>
      </x:c>
      <x:c r="O50" s="3" t="n">
        <x:f t="shared" si="4"/>
        <x:v>2</x:v>
      </x:c>
      <x:c r="P50" s="22" t="n">
        <x:f t="shared" si="5">IF(N50=0,"",M50/N50)</x:f>
        <x:v>0.18181818181818182</x:v>
      </x:c>
      <x:c r="Q50" s="22" t="n">
        <x:f t="shared" si="6">IF(L50=0,"",M50/L50)</x:f>
        <x:v>0.15384615384615385</x:v>
      </x:c>
      <x:c r="R50" s="22" t="n">
        <x:f t="shared" si="7">IF(L50=0,"",N50/L50)</x:f>
        <x:v>0.8461538461538461</x:v>
      </x:c>
      <x:c r="S50" s="22" t="n">
        <x:f>IF(L50=0,"",O50/L50)</x:f>
        <x:v>0.15384615384615385</x:v>
      </x:c>
      <x:c r="T50" s="24" t="n">
        <x:v>-113</x:v>
      </x:c>
      <x:c r="U50" s="26" t="n">
        <x:v>0</x:v>
      </x:c>
      <x:c r="V50" s="24" t="n">
        <x:v>62</x:v>
      </x:c>
      <x:c r="W50"/>
      <x:c r="X50"/>
    </x:row>
    <x:row r="51">
      <x:c r="A51" s="1" t="n">
        <x:v>49</x:v>
      </x:c>
      <x:c r="B51" s="27" t="n">
        <x:v>45707</x:v>
      </x:c>
      <x:c r="C51" s="1" t="str">
        <x:v>Lotus</x:v>
      </x:c>
      <x:c r="D51" s="1" t="str">
        <x:v>5th</x:v>
      </x:c>
      <x:c r="E51" s="1" t="str">
        <x:v>Sage</x:v>
      </x:c>
      <x:c r="F51" s="1" t="str">
        <x:v>Sentinel</x:v>
      </x:c>
      <x:c r="G51" s="1" t="n">
        <x:v>13</x:v>
      </x:c>
      <x:c r="H51" s="1" t="n">
        <x:f t="shared" si="0"/>
        <x:v>6</x:v>
      </x:c>
      <x:c r="I51" s="1" t="str">
        <x:f t="shared" si="1">IF(G51&gt;H51,"Win",IF(G51&lt;H51,"Loss","Draw"))</x:f>
        <x:v>Win</x:v>
      </x:c>
      <x:c r="J51" s="1" t="n">
        <x:f t="shared" si="2">IF(I51="Win",1,IF(I51="Loss",0,""))</x:f>
        <x:v>1</x:v>
      </x:c>
      <x:c r="K51" s="1" t="n">
        <x:f t="shared" si="3">G51-H51</x:f>
        <x:v>7</x:v>
      </x:c>
      <x:c r="L51" s="1" t="n">
        <x:f>G51+H51</x:f>
        <x:v>19</x:v>
      </x:c>
      <x:c r="M51" s="1" t="n">
        <x:v>10</x:v>
      </x:c>
      <x:c r="N51" s="1" t="n">
        <x:v>10</x:v>
      </x:c>
      <x:c r="O51" s="3" t="n">
        <x:f t="shared" si="4"/>
        <x:v>9</x:v>
      </x:c>
      <x:c r="P51" s="22" t="n">
        <x:f t="shared" si="5">IF(N51=0,"",M51/N51)</x:f>
        <x:v>1</x:v>
      </x:c>
      <x:c r="Q51" s="22" t="n">
        <x:f t="shared" si="6">IF(L51=0,"",M51/L51)</x:f>
        <x:v>0.5263157894736842</x:v>
      </x:c>
      <x:c r="R51" s="22" t="n">
        <x:f t="shared" si="7">IF(L51=0,"",N51/L51)</x:f>
        <x:v>0.5263157894736842</x:v>
      </x:c>
      <x:c r="S51" s="22" t="n">
        <x:f>IF(L51=0,"",O51/L51)</x:f>
        <x:v>0.47368421052631576</x:v>
      </x:c>
      <x:c r="T51" s="24" t="n">
        <x:v>-13</x:v>
      </x:c>
      <x:c r="U51" s="26" t="n">
        <x:v>0.07</x:v>
      </x:c>
      <x:c r="V51" s="24" t="n">
        <x:v>163</x:v>
      </x:c>
      <x:c r="W51"/>
      <x:c r="X51"/>
    </x:row>
    <x:row r="52">
      <x:c r="A52" s="1" t="n">
        <x:v>50</x:v>
      </x:c>
      <x:c r="B52" s="27" t="n">
        <x:v>45707</x:v>
      </x:c>
      <x:c r="C52" s="1" t="str">
        <x:v>Split</x:v>
      </x:c>
      <x:c r="D52" s="1" t="str">
        <x:v>8th</x:v>
      </x:c>
      <x:c r="E52" s="1" t="str">
        <x:v>Clove</x:v>
      </x:c>
      <x:c r="F52" s="1" t="str">
        <x:v>Controller</x:v>
      </x:c>
      <x:c r="G52" s="1" t="n">
        <x:v>13</x:v>
      </x:c>
      <x:c r="H52" s="1" t="n">
        <x:f t="shared" si="0"/>
        <x:v>2</x:v>
      </x:c>
      <x:c r="I52" s="1" t="str">
        <x:f t="shared" si="1">IF(G52&gt;H52,"Win",IF(G52&lt;H52,"Loss","Draw"))</x:f>
        <x:v>Win</x:v>
      </x:c>
      <x:c r="J52" s="1" t="n">
        <x:f t="shared" si="2">IF(I52="Win",1,IF(I52="Loss",0,""))</x:f>
        <x:v>1</x:v>
      </x:c>
      <x:c r="K52" s="1" t="n">
        <x:f t="shared" si="3">G52-H52</x:f>
        <x:v>11</x:v>
      </x:c>
      <x:c r="L52" s="1" t="n">
        <x:f>G52+H52</x:f>
        <x:v>15</x:v>
      </x:c>
      <x:c r="M52" s="1" t="n">
        <x:v>9</x:v>
      </x:c>
      <x:c r="N52" s="1" t="n">
        <x:v>9</x:v>
      </x:c>
      <x:c r="O52" s="3" t="n">
        <x:f t="shared" si="4"/>
        <x:v>7</x:v>
      </x:c>
      <x:c r="P52" s="22" t="n">
        <x:f t="shared" si="5">IF(N52=0,"",M52/N52)</x:f>
        <x:v>1</x:v>
      </x:c>
      <x:c r="Q52" s="22" t="n">
        <x:f t="shared" si="6">IF(L52=0,"",M52/L52)</x:f>
        <x:v>0.6</x:v>
      </x:c>
      <x:c r="R52" s="22" t="n">
        <x:f t="shared" si="7">IF(L52=0,"",N52/L52)</x:f>
        <x:v>0.6</x:v>
      </x:c>
      <x:c r="S52" s="22" t="n">
        <x:f>IF(L52=0,"",O52/L52)</x:f>
        <x:v>0.4666666666666667</x:v>
      </x:c>
      <x:c r="T52" s="24" t="n">
        <x:v>-33</x:v>
      </x:c>
      <x:c r="U52" s="26" t="n">
        <x:v>0.03</x:v>
      </x:c>
      <x:c r="V52" s="24" t="n">
        <x:v>140</x:v>
      </x:c>
      <x:c r="W52"/>
      <x:c r="X52"/>
    </x:row>
    <x:row r="53">
      <x:c r="A53" s="1" t="n">
        <x:v>51</x:v>
      </x:c>
      <x:c r="B53" s="27" t="n">
        <x:v>45708</x:v>
      </x:c>
      <x:c r="C53" s="1" t="str">
        <x:v>Abyss</x:v>
      </x:c>
      <x:c r="D53" s="1" t="str">
        <x:v>9th</x:v>
      </x:c>
      <x:c r="E53" s="1" t="str">
        <x:v>Clove</x:v>
      </x:c>
      <x:c r="F53" s="1" t="str">
        <x:v>Controller</x:v>
      </x:c>
      <x:c r="G53" s="1" t="n">
        <x:v>13</x:v>
      </x:c>
      <x:c r="H53" s="1" t="n">
        <x:f t="shared" si="0"/>
        <x:v>10</x:v>
      </x:c>
      <x:c r="I53" s="1" t="str">
        <x:f t="shared" si="1">IF(G53&gt;H53,"Win",IF(G53&lt;H53,"Loss","Draw"))</x:f>
        <x:v>Win</x:v>
      </x:c>
      <x:c r="J53" s="1" t="n">
        <x:f t="shared" si="2">IF(I53="Win",1,IF(I53="Loss",0,""))</x:f>
        <x:v>1</x:v>
      </x:c>
      <x:c r="K53" s="1" t="n">
        <x:f t="shared" si="3">G53-H53</x:f>
        <x:v>3</x:v>
      </x:c>
      <x:c r="L53" s="1" t="n">
        <x:f>G53+H53</x:f>
        <x:v>23</x:v>
      </x:c>
      <x:c r="M53" s="1" t="n">
        <x:v>9</x:v>
      </x:c>
      <x:c r="N53" s="1" t="n">
        <x:v>21</x:v>
      </x:c>
      <x:c r="O53" s="3" t="n">
        <x:f t="shared" si="4"/>
        <x:v>10</x:v>
      </x:c>
      <x:c r="P53" s="22" t="n">
        <x:f t="shared" si="5">IF(N53=0,"",M53/N53)</x:f>
        <x:v>0.42857142857142855</x:v>
      </x:c>
      <x:c r="Q53" s="22" t="n">
        <x:f t="shared" si="6">IF(L53=0,"",M53/L53)</x:f>
        <x:v>0.391304347826087</x:v>
      </x:c>
      <x:c r="R53" s="22" t="n">
        <x:f t="shared" si="7">IF(L53=0,"",N53/L53)</x:f>
        <x:v>0.9130434782608695</x:v>
      </x:c>
      <x:c r="S53" s="22" t="n">
        <x:f>IF(L53=0,"",O53/L53)</x:f>
        <x:v>0.43478260869565216</x:v>
      </x:c>
      <x:c r="T53" s="24" t="n">
        <x:v>-66</x:v>
      </x:c>
      <x:c r="U53" s="26" t="n">
        <x:v>0.05</x:v>
      </x:c>
      <x:c r="V53" s="24" t="n">
        <x:v>135</x:v>
      </x:c>
      <x:c r="W53"/>
      <x:c r="X53"/>
    </x:row>
    <x:row r="54">
      <x:c r="A54" s="1" t="n">
        <x:v>52</x:v>
      </x:c>
      <x:c r="B54" s="27" t="n">
        <x:v>45708</x:v>
      </x:c>
      <x:c r="C54" s="1" t="str">
        <x:v>Haven</x:v>
      </x:c>
      <x:c r="D54" s="1" t="str">
        <x:v>10th</x:v>
      </x:c>
      <x:c r="E54" s="1" t="str">
        <x:v>Sage</x:v>
      </x:c>
      <x:c r="F54" s="1" t="str">
        <x:v>Sentinel</x:v>
      </x:c>
      <x:c r="G54" s="1" t="n">
        <x:v>11</x:v>
      </x:c>
      <x:c r="H54" s="1" t="n">
        <x:f t="shared" si="0"/>
        <x:v>13</x:v>
      </x:c>
      <x:c r="I54" s="1" t="str">
        <x:f t="shared" si="1">IF(G54&gt;H54,"Win",IF(G54&lt;H54,"Loss","Draw"))</x:f>
        <x:v>Loss</x:v>
      </x:c>
      <x:c r="J54" s="1" t="n">
        <x:f t="shared" si="2">IF(I54="Win",1,IF(I54="Loss",0,""))</x:f>
        <x:v>0</x:v>
      </x:c>
      <x:c r="K54" s="1" t="n">
        <x:f t="shared" si="3">G54-H54</x:f>
        <x:v>-2</x:v>
      </x:c>
      <x:c r="L54" s="1" t="n">
        <x:f>G54+H54</x:f>
        <x:v>24</x:v>
      </x:c>
      <x:c r="M54" s="1" t="n">
        <x:v>6</x:v>
      </x:c>
      <x:c r="N54" s="1" t="n">
        <x:v>14</x:v>
      </x:c>
      <x:c r="O54" s="3" t="n">
        <x:f t="shared" si="4"/>
        <x:v>3</x:v>
      </x:c>
      <x:c r="P54" s="22" t="n">
        <x:f t="shared" si="5">IF(N54=0,"",M54/N54)</x:f>
        <x:v>0.42857142857142855</x:v>
      </x:c>
      <x:c r="Q54" s="22" t="n">
        <x:f t="shared" si="6">IF(L54=0,"",M54/L54)</x:f>
        <x:v>0.25</x:v>
      </x:c>
      <x:c r="R54" s="22" t="n">
        <x:f t="shared" si="7">IF(L54=0,"",N54/L54)</x:f>
        <x:v>0.5833333333333334</x:v>
      </x:c>
      <x:c r="S54" s="22" t="n">
        <x:f>IF(L54=0,"",O54/L54)</x:f>
        <x:v>0.125</x:v>
      </x:c>
      <x:c r="T54" s="24" t="n">
        <x:v>-50</x:v>
      </x:c>
      <x:c r="U54" s="26" t="n">
        <x:v>0.15</x:v>
      </x:c>
      <x:c r="V54" s="24" t="n">
        <x:v>72</x:v>
      </x:c>
      <x:c r="W54"/>
      <x:c r="X54"/>
    </x:row>
    <x:row r="55">
      <x:c r="A55" s="1" t="n">
        <x:v>53</x:v>
      </x:c>
      <x:c r="B55" s="27" t="n">
        <x:v>45708</x:v>
      </x:c>
      <x:c r="C55" s="1" t="str">
        <x:v>Lotus</x:v>
      </x:c>
      <x:c r="D55" s="1" t="str">
        <x:v>10th</x:v>
      </x:c>
      <x:c r="E55" s="1" t="str">
        <x:v>Sage</x:v>
      </x:c>
      <x:c r="F55" s="1" t="str">
        <x:v>Sentinel</x:v>
      </x:c>
      <x:c r="G55" s="1" t="n">
        <x:v>3</x:v>
      </x:c>
      <x:c r="H55" s="1" t="n">
        <x:f t="shared" si="0"/>
        <x:v>13</x:v>
      </x:c>
      <x:c r="I55" s="1" t="str">
        <x:f t="shared" si="1">IF(G55&gt;H55,"Win",IF(G55&lt;H55,"Loss","Draw"))</x:f>
        <x:v>Loss</x:v>
      </x:c>
      <x:c r="J55" s="1" t="n">
        <x:f t="shared" si="2">IF(I55="Win",1,IF(I55="Loss",0,""))</x:f>
        <x:v>0</x:v>
      </x:c>
      <x:c r="K55" s="1" t="n">
        <x:f t="shared" si="3">G55-H55</x:f>
        <x:v>-10</x:v>
      </x:c>
      <x:c r="L55" s="1" t="n">
        <x:f>G55+H55</x:f>
        <x:v>16</x:v>
      </x:c>
      <x:c r="M55" s="1" t="n">
        <x:v>3</x:v>
      </x:c>
      <x:c r="N55" s="1" t="n">
        <x:v>13</x:v>
      </x:c>
      <x:c r="O55" s="3" t="n">
        <x:f t="shared" si="4"/>
        <x:v>7</x:v>
      </x:c>
      <x:c r="P55" s="22" t="n">
        <x:f t="shared" si="5">IF(N55=0,"",M55/N55)</x:f>
        <x:v>0.23076923076923078</x:v>
      </x:c>
      <x:c r="Q55" s="22" t="n">
        <x:f t="shared" si="6">IF(L55=0,"",M55/L55)</x:f>
        <x:v>0.1875</x:v>
      </x:c>
      <x:c r="R55" s="22" t="n">
        <x:f t="shared" si="7">IF(L55=0,"",N55/L55)</x:f>
        <x:v>0.8125</x:v>
      </x:c>
      <x:c r="S55" s="22" t="n">
        <x:f>IF(L55=0,"",O55/L55)</x:f>
        <x:v>0.4375</x:v>
      </x:c>
      <x:c r="T55" s="24" t="n">
        <x:v>-77</x:v>
      </x:c>
      <x:c r="U55" s="26" t="n">
        <x:v>0</x:v>
      </x:c>
      <x:c r="V55" s="24" t="n">
        <x:v>81</x:v>
      </x:c>
      <x:c r="W55"/>
      <x:c r="X55"/>
    </x:row>
    <x:row r="56">
      <x:c r="A56" s="1" t="n">
        <x:v>54</x:v>
      </x:c>
      <x:c r="B56" s="27" t="n">
        <x:v>45709</x:v>
      </x:c>
      <x:c r="C56" s="1" t="str">
        <x:v>Pearl</x:v>
      </x:c>
      <x:c r="D56" s="1" t="str">
        <x:v>7th</x:v>
      </x:c>
      <x:c r="E56" s="1" t="str">
        <x:v>Sage</x:v>
      </x:c>
      <x:c r="F56" s="1" t="str">
        <x:v>Sentinel</x:v>
      </x:c>
      <x:c r="G56" s="1" t="n">
        <x:v>11</x:v>
      </x:c>
      <x:c r="H56" s="1" t="n">
        <x:f t="shared" si="0"/>
        <x:v>13</x:v>
      </x:c>
      <x:c r="I56" s="1" t="str">
        <x:f t="shared" si="1">IF(G56&gt;H56,"Win",IF(G56&lt;H56,"Loss","Draw"))</x:f>
        <x:v>Loss</x:v>
      </x:c>
      <x:c r="J56" s="1" t="n">
        <x:f t="shared" si="2">IF(I56="Win",1,IF(I56="Loss",0,""))</x:f>
        <x:v>0</x:v>
      </x:c>
      <x:c r="K56" s="1" t="n">
        <x:f t="shared" si="3">G56-H56</x:f>
        <x:v>-2</x:v>
      </x:c>
      <x:c r="L56" s="1" t="n">
        <x:f>G56+H56</x:f>
        <x:v>24</x:v>
      </x:c>
      <x:c r="M56" s="1" t="n">
        <x:v>17</x:v>
      </x:c>
      <x:c r="N56" s="1" t="n">
        <x:v>17</x:v>
      </x:c>
      <x:c r="O56" s="3" t="n">
        <x:f t="shared" si="4"/>
        <x:v>6</x:v>
      </x:c>
      <x:c r="P56" s="22" t="n">
        <x:f t="shared" si="5">IF(N56=0,"",M56/N56)</x:f>
        <x:v>1</x:v>
      </x:c>
      <x:c r="Q56" s="22" t="n">
        <x:f t="shared" si="6">IF(L56=0,"",M56/L56)</x:f>
        <x:v>0.7083333333333334</x:v>
      </x:c>
      <x:c r="R56" s="22" t="n">
        <x:f t="shared" si="7">IF(L56=0,"",N56/L56)</x:f>
        <x:v>0.7083333333333334</x:v>
      </x:c>
      <x:c r="S56" s="22" t="n">
        <x:f>IF(L56=0,"",O56/L56)</x:f>
        <x:v>0.25</x:v>
      </x:c>
      <x:c r="T56" s="24" t="n">
        <x:v>-30</x:v>
      </x:c>
      <x:c r="U56" s="26" t="n">
        <x:v>0.08</x:v>
      </x:c>
      <x:c r="V56" s="24" t="n">
        <x:v>181</x:v>
      </x:c>
      <x:c r="W56"/>
      <x:c r="X56"/>
    </x:row>
    <x:row r="57">
      <x:c r="A57" s="1" t="n">
        <x:v>55</x:v>
      </x:c>
      <x:c r="B57" s="27" t="n">
        <x:v>45709</x:v>
      </x:c>
      <x:c r="C57" s="1" t="str">
        <x:v>Bind</x:v>
      </x:c>
      <x:c r="D57" s="1" t="str">
        <x:v>3rd</x:v>
      </x:c>
      <x:c r="E57" s="1" t="str">
        <x:v>Sage</x:v>
      </x:c>
      <x:c r="F57" s="1" t="str">
        <x:v>Sentinel</x:v>
      </x:c>
      <x:c r="G57" s="1" t="n">
        <x:v>9</x:v>
      </x:c>
      <x:c r="H57" s="1" t="n">
        <x:f t="shared" si="0"/>
        <x:v>8</x:v>
      </x:c>
      <x:c r="I57" s="1" t="str">
        <x:f t="shared" si="1">IF(G57&gt;H57,"Win",IF(G57&lt;H57,"Loss","Draw"))</x:f>
        <x:v>Win</x:v>
      </x:c>
      <x:c r="J57" s="1" t="n">
        <x:f t="shared" si="2">IF(I57="Win",1,IF(I57="Loss",0,""))</x:f>
        <x:v>1</x:v>
      </x:c>
      <x:c r="K57" s="1" t="n">
        <x:f t="shared" si="3">G57-H57</x:f>
        <x:v>1</x:v>
      </x:c>
      <x:c r="L57" s="1" t="n">
        <x:f>G57+H57</x:f>
        <x:v>17</x:v>
      </x:c>
      <x:c r="M57" s="1" t="n">
        <x:v>16</x:v>
      </x:c>
      <x:c r="N57" s="1" t="n">
        <x:v>14</x:v>
      </x:c>
      <x:c r="O57" s="3" t="n">
        <x:f t="shared" si="4"/>
        <x:v>4</x:v>
      </x:c>
      <x:c r="P57" s="22" t="n">
        <x:f t="shared" si="5">IF(N57=0,"",M57/N57)</x:f>
        <x:v>1.1428571428571428</x:v>
      </x:c>
      <x:c r="Q57" s="22" t="n">
        <x:f t="shared" si="6">IF(L57=0,"",M57/L57)</x:f>
        <x:v>0.9411764705882353</x:v>
      </x:c>
      <x:c r="R57" s="22" t="n">
        <x:f t="shared" si="7">IF(L57=0,"",N57/L57)</x:f>
        <x:v>0.8235294117647058</x:v>
      </x:c>
      <x:c r="S57" s="22" t="n">
        <x:f>IF(L57=0,"",O57/L57)</x:f>
        <x:v>0.23529411764705882</x:v>
      </x:c>
      <x:c r="T57" s="24" t="n">
        <x:v>38</x:v>
      </x:c>
      <x:c r="U57" s="26" t="n">
        <x:v>0.05</x:v>
      </x:c>
      <x:c r="V57" s="24" t="n">
        <x:v>274</x:v>
      </x:c>
      <x:c r="W57"/>
      <x:c r="X57"/>
    </x:row>
    <x:row r="58">
      <x:c r="A58" s="1" t="n">
        <x:v>56</x:v>
      </x:c>
      <x:c r="B58" s="27" t="n">
        <x:v>45709</x:v>
      </x:c>
      <x:c r="C58" s="1" t="str">
        <x:v>Haven</x:v>
      </x:c>
      <x:c r="D58" s="1" t="str">
        <x:v>10th</x:v>
      </x:c>
      <x:c r="E58" s="1" t="str">
        <x:v>Sage</x:v>
      </x:c>
      <x:c r="F58" s="1" t="str">
        <x:v>Sentinel</x:v>
      </x:c>
      <x:c r="G58" s="1" t="n">
        <x:v>13</x:v>
      </x:c>
      <x:c r="H58" s="1" t="n">
        <x:f t="shared" si="0"/>
        <x:v>13</x:v>
      </x:c>
      <x:c r="I58" s="1" t="str">
        <x:f t="shared" si="1">IF(G58&gt;H58,"Win",IF(G58&lt;H58,"Loss","Draw"))</x:f>
        <x:v>Draw</x:v>
      </x:c>
      <x:c r="J58" s="1" t="str">
        <x:f t="shared" si="2">IF(I58="Win",1,IF(I58="Loss",0,""))</x:f>
      </x:c>
      <x:c r="K58" s="1" t="n">
        <x:f t="shared" si="3">G58-H58</x:f>
        <x:v>0</x:v>
      </x:c>
      <x:c r="L58" s="1" t="n">
        <x:f>G58+H58</x:f>
        <x:v>26</x:v>
      </x:c>
      <x:c r="M58" s="1" t="n">
        <x:v>7</x:v>
      </x:c>
      <x:c r="N58" s="1" t="n">
        <x:v>18</x:v>
      </x:c>
      <x:c r="O58" s="3" t="n">
        <x:f t="shared" si="4"/>
        <x:v>7</x:v>
      </x:c>
      <x:c r="P58" s="22" t="n">
        <x:f t="shared" si="5">IF(N58=0,"",M58/N58)</x:f>
        <x:v>0.3888888888888889</x:v>
      </x:c>
      <x:c r="Q58" s="22" t="n">
        <x:f t="shared" si="6">IF(L58=0,"",M58/L58)</x:f>
        <x:v>0.2692307692307692</x:v>
      </x:c>
      <x:c r="R58" s="22" t="n">
        <x:f t="shared" si="7">IF(L58=0,"",N58/L58)</x:f>
        <x:v>0.6923076923076923</x:v>
      </x:c>
      <x:c r="S58" s="22" t="n">
        <x:f>IF(L58=0,"",O58/L58)</x:f>
        <x:v>0.2692307692307692</x:v>
      </x:c>
      <x:c r="T58" s="24" t="n">
        <x:v>-75</x:v>
      </x:c>
      <x:c r="U58" s="26" t="n">
        <x:v>0.06</x:v>
      </x:c>
      <x:c r="V58" s="24" t="n">
        <x:v>77</x:v>
      </x:c>
      <x:c r="W58"/>
      <x:c r="X58"/>
    </x:row>
    <x:row r="59">
      <x:c r="A59" s="1" t="n">
        <x:v>57</x:v>
      </x:c>
      <x:c r="B59" s="27" t="n">
        <x:v>45710</x:v>
      </x:c>
      <x:c r="C59" s="1" t="str">
        <x:v>Haven</x:v>
      </x:c>
      <x:c r="D59" s="1" t="str">
        <x:v>10th</x:v>
      </x:c>
      <x:c r="E59" s="1" t="str">
        <x:v>Clove</x:v>
      </x:c>
      <x:c r="F59" s="1" t="str">
        <x:v>Controller</x:v>
      </x:c>
      <x:c r="G59" s="1" t="n">
        <x:v>4</x:v>
      </x:c>
      <x:c r="H59" s="1" t="n">
        <x:f t="shared" si="0"/>
        <x:v>13</x:v>
      </x:c>
      <x:c r="I59" s="1" t="str">
        <x:f t="shared" si="1">IF(G59&gt;H59,"Win",IF(G59&lt;H59,"Loss","Draw"))</x:f>
        <x:v>Loss</x:v>
      </x:c>
      <x:c r="J59" s="1" t="n">
        <x:f t="shared" si="2">IF(I59="Win",1,IF(I59="Loss",0,""))</x:f>
        <x:v>0</x:v>
      </x:c>
      <x:c r="K59" s="1" t="n">
        <x:f t="shared" si="3">G59-H59</x:f>
        <x:v>-9</x:v>
      </x:c>
      <x:c r="L59" s="1" t="n">
        <x:f>G59+H59</x:f>
        <x:v>17</x:v>
      </x:c>
      <x:c r="M59" s="1" t="n">
        <x:v>6</x:v>
      </x:c>
      <x:c r="N59" s="1" t="n">
        <x:v>15</x:v>
      </x:c>
      <x:c r="O59" s="3" t="n">
        <x:f t="shared" si="4"/>
        <x:v>0</x:v>
      </x:c>
      <x:c r="P59" s="22" t="n">
        <x:f t="shared" si="5">IF(N59=0,"",M59/N59)</x:f>
        <x:v>0.4</x:v>
      </x:c>
      <x:c r="Q59" s="22" t="n">
        <x:f t="shared" si="6">IF(L59=0,"",M59/L59)</x:f>
        <x:v>0.35294117647058826</x:v>
      </x:c>
      <x:c r="R59" s="22" t="n">
        <x:f t="shared" si="7">IF(L59=0,"",N59/L59)</x:f>
        <x:v>0.8823529411764706</x:v>
      </x:c>
      <x:c r="S59" s="22" t="n">
        <x:f>IF(L59=0,"",O59/L59)</x:f>
        <x:v>0</x:v>
      </x:c>
      <x:c r="T59" s="24" t="n">
        <x:v>-93</x:v>
      </x:c>
      <x:c r="U59" s="26" t="n">
        <x:v>0.12</x:v>
      </x:c>
      <x:c r="V59" s="24" t="n">
        <x:v>91</x:v>
      </x:c>
      <x:c r="W59"/>
      <x:c r="X59"/>
    </x:row>
    <x:row r="60">
      <x:c r="A60" s="1" t="n">
        <x:v>58</x:v>
      </x:c>
      <x:c r="B60" s="27" t="n">
        <x:v>45710</x:v>
      </x:c>
      <x:c r="C60" s="1" t="str">
        <x:v>Split</x:v>
      </x:c>
      <x:c r="D60" s="1" t="str">
        <x:v>10th</x:v>
      </x:c>
      <x:c r="E60" s="1" t="str">
        <x:v>Sage</x:v>
      </x:c>
      <x:c r="F60" s="1" t="str">
        <x:v>Sentinel</x:v>
      </x:c>
      <x:c r="G60" s="1" t="n">
        <x:v>4</x:v>
      </x:c>
      <x:c r="H60" s="1" t="n">
        <x:f t="shared" si="0"/>
        <x:v>9</x:v>
      </x:c>
      <x:c r="I60" s="1" t="str">
        <x:f t="shared" si="1">IF(G60&gt;H60,"Win",IF(G60&lt;H60,"Loss","Draw"))</x:f>
        <x:v>Loss</x:v>
      </x:c>
      <x:c r="J60" s="1" t="n">
        <x:f t="shared" si="2">IF(I60="Win",1,IF(I60="Loss",0,""))</x:f>
        <x:v>0</x:v>
      </x:c>
      <x:c r="K60" s="1" t="n">
        <x:f t="shared" si="3">G60-H60</x:f>
        <x:v>-5</x:v>
      </x:c>
      <x:c r="L60" s="1" t="n">
        <x:f>G60+H60</x:f>
        <x:v>13</x:v>
      </x:c>
      <x:c r="M60" s="1" t="n">
        <x:v>3</x:v>
      </x:c>
      <x:c r="N60" s="1" t="n">
        <x:v>11</x:v>
      </x:c>
      <x:c r="O60" s="3" t="n">
        <x:f t="shared" si="4"/>
        <x:v>2</x:v>
      </x:c>
      <x:c r="P60" s="22" t="n">
        <x:f t="shared" si="5">IF(N60=0,"",M60/N60)</x:f>
        <x:v>0.2727272727272727</x:v>
      </x:c>
      <x:c r="Q60" s="22" t="n">
        <x:f t="shared" si="6">IF(L60=0,"",M60/L60)</x:f>
        <x:v>0.23076923076923078</x:v>
      </x:c>
      <x:c r="R60" s="22" t="n">
        <x:f t="shared" si="7">IF(L60=0,"",N60/L60)</x:f>
        <x:v>0.8461538461538461</x:v>
      </x:c>
      <x:c r="S60" s="22" t="n">
        <x:f>IF(L60=0,"",O60/L60)</x:f>
        <x:v>0.15384615384615385</x:v>
      </x:c>
      <x:c r="T60" s="24" t="n">
        <x:v>-117</x:v>
      </x:c>
      <x:c r="U60" s="26" t="n">
        <x:v>0</x:v>
      </x:c>
      <x:c r="V60" s="24" t="n">
        <x:v>61</x:v>
      </x:c>
      <x:c r="W60"/>
      <x:c r="X60"/>
    </x:row>
    <x:row r="61">
      <x:c r="A61" s="1" t="n">
        <x:v>59</x:v>
      </x:c>
      <x:c r="B61" s="27" t="n">
        <x:v>45710</x:v>
      </x:c>
      <x:c r="C61" s="1" t="str">
        <x:v>Pearl</x:v>
      </x:c>
      <x:c r="D61" s="1" t="str">
        <x:v>10th</x:v>
      </x:c>
      <x:c r="E61" s="1" t="str">
        <x:v>Deadlock</x:v>
      </x:c>
      <x:c r="F61" s="1" t="str">
        <x:v>Sentinel</x:v>
      </x:c>
      <x:c r="G61" s="1" t="n">
        <x:v>10</x:v>
      </x:c>
      <x:c r="H61" s="1" t="n">
        <x:f t="shared" si="0"/>
        <x:v>13</x:v>
      </x:c>
      <x:c r="I61" s="1" t="str">
        <x:f t="shared" si="1">IF(G61&gt;H61,"Win",IF(G61&lt;H61,"Loss","Draw"))</x:f>
        <x:v>Loss</x:v>
      </x:c>
      <x:c r="J61" s="1" t="n">
        <x:f t="shared" si="2">IF(I61="Win",1,IF(I61="Loss",0,""))</x:f>
        <x:v>0</x:v>
      </x:c>
      <x:c r="K61" s="1" t="n">
        <x:f t="shared" si="3">G61-H61</x:f>
        <x:v>-3</x:v>
      </x:c>
      <x:c r="L61" s="1" t="n">
        <x:f>G61+H61</x:f>
        <x:v>23</x:v>
      </x:c>
      <x:c r="M61" s="1" t="n">
        <x:v>0</x:v>
      </x:c>
      <x:c r="N61" s="1" t="n">
        <x:v>18</x:v>
      </x:c>
      <x:c r="O61" s="3" t="n">
        <x:f t="shared" si="4"/>
        <x:v>4</x:v>
      </x:c>
      <x:c r="P61" s="22" t="n">
        <x:f t="shared" si="5">IF(N61=0,"",M61/N61)</x:f>
        <x:v>0</x:v>
      </x:c>
      <x:c r="Q61" s="22" t="n">
        <x:f t="shared" si="6">IF(L61=0,"",M61/L61)</x:f>
        <x:v>0</x:v>
      </x:c>
      <x:c r="R61" s="22" t="n">
        <x:f t="shared" si="7">IF(L61=0,"",N61/L61)</x:f>
        <x:v>0.782608695652174</x:v>
      </x:c>
      <x:c r="S61" s="22" t="n">
        <x:f>IF(L61=0,"",O61/L61)</x:f>
        <x:v>0.17391304347826086</x:v>
      </x:c>
      <x:c r="T61" s="24" t="n">
        <x:v>-136</x:v>
      </x:c>
      <x:c r="U61" s="26" t="n">
        <x:v>0</x:v>
      </x:c>
      <x:c r="V61" s="24" t="n">
        <x:v>14</x:v>
      </x:c>
      <x:c r="W61"/>
      <x:c r="X61"/>
    </x:row>
    <x:row r="62">
      <x:c r="A62" s="1" t="n">
        <x:v>60</x:v>
      </x:c>
      <x:c r="B62" s="27" t="n">
        <x:v>45711</x:v>
      </x:c>
      <x:c r="C62" s="1" t="str">
        <x:v>Fracture</x:v>
      </x:c>
      <x:c r="D62" s="1" t="str">
        <x:v>8th</x:v>
      </x:c>
      <x:c r="E62" s="1" t="str">
        <x:v>Sage</x:v>
      </x:c>
      <x:c r="F62" s="1" t="str">
        <x:v>Sentinel</x:v>
      </x:c>
      <x:c r="G62" s="1" t="n">
        <x:v>13</x:v>
      </x:c>
      <x:c r="H62" s="1" t="n">
        <x:f t="shared" si="0"/>
        <x:v>9</x:v>
      </x:c>
      <x:c r="I62" s="1" t="str">
        <x:f t="shared" si="1">IF(G62&gt;H62,"Win",IF(G62&lt;H62,"Loss","Draw"))</x:f>
        <x:v>Win</x:v>
      </x:c>
      <x:c r="J62" s="1" t="n">
        <x:f t="shared" si="2">IF(I62="Win",1,IF(I62="Loss",0,""))</x:f>
        <x:v>1</x:v>
      </x:c>
      <x:c r="K62" s="1" t="n">
        <x:f t="shared" si="3">G62-H62</x:f>
        <x:v>4</x:v>
      </x:c>
      <x:c r="L62" s="1" t="n">
        <x:f>G62+H62</x:f>
        <x:v>22</x:v>
      </x:c>
      <x:c r="M62" s="1" t="n">
        <x:v>13</x:v>
      </x:c>
      <x:c r="N62" s="1" t="n">
        <x:v>14</x:v>
      </x:c>
      <x:c r="O62" s="3" t="n">
        <x:f t="shared" si="4"/>
        <x:v>6</x:v>
      </x:c>
      <x:c r="P62" s="22" t="n">
        <x:f t="shared" si="5">IF(N62=0,"",M62/N62)</x:f>
        <x:v>0.9285714285714286</x:v>
      </x:c>
      <x:c r="Q62" s="22" t="n">
        <x:f t="shared" si="6">IF(L62=0,"",M62/L62)</x:f>
        <x:v>0.5909090909090909</x:v>
      </x:c>
      <x:c r="R62" s="22" t="n">
        <x:f t="shared" si="7">IF(L62=0,"",N62/L62)</x:f>
        <x:v>0.6363636363636364</x:v>
      </x:c>
      <x:c r="S62" s="22" t="n">
        <x:f>IF(L62=0,"",O62/L62)</x:f>
        <x:v>0.2727272727272727</x:v>
      </x:c>
      <x:c r="T62" s="24" t="n">
        <x:v>-10</x:v>
      </x:c>
      <x:c r="U62" s="26" t="n">
        <x:v>0.06</x:v>
      </x:c>
      <x:c r="V62" s="24" t="n">
        <x:v>171</x:v>
      </x:c>
      <x:c r="W62"/>
      <x:c r="X62"/>
    </x:row>
    <x:row r="63">
      <x:c r="A63" s="1" t="n">
        <x:v>61</x:v>
      </x:c>
      <x:c r="B63" s="27" t="n">
        <x:v>45711</x:v>
      </x:c>
      <x:c r="C63" s="1" t="str">
        <x:v>Bind</x:v>
      </x:c>
      <x:c r="D63" s="1" t="str">
        <x:v>6th</x:v>
      </x:c>
      <x:c r="E63" s="1" t="str">
        <x:v>Deadlock</x:v>
      </x:c>
      <x:c r="F63" s="1" t="str">
        <x:v>Sentinel</x:v>
      </x:c>
      <x:c r="G63" s="1" t="n">
        <x:v>3</x:v>
      </x:c>
      <x:c r="H63" s="1" t="n">
        <x:f t="shared" si="0"/>
        <x:v>10</x:v>
      </x:c>
      <x:c r="I63" s="1" t="str">
        <x:f t="shared" si="1">IF(G63&gt;H63,"Win",IF(G63&lt;H63,"Loss","Draw"))</x:f>
        <x:v>Loss</x:v>
      </x:c>
      <x:c r="J63" s="1" t="n">
        <x:f t="shared" si="2">IF(I63="Win",1,IF(I63="Loss",0,""))</x:f>
        <x:v>0</x:v>
      </x:c>
      <x:c r="K63" s="1" t="n">
        <x:f t="shared" si="3">G63-H63</x:f>
        <x:v>-7</x:v>
      </x:c>
      <x:c r="L63" s="1" t="n">
        <x:f>G63+H63</x:f>
        <x:v>13</x:v>
      </x:c>
      <x:c r="M63" s="1" t="n">
        <x:v>5</x:v>
      </x:c>
      <x:c r="N63" s="1" t="n">
        <x:v>8</x:v>
      </x:c>
      <x:c r="O63" s="3" t="n">
        <x:f t="shared" si="4"/>
        <x:v>2</x:v>
      </x:c>
      <x:c r="P63" s="22" t="n">
        <x:f t="shared" si="5">IF(N63=0,"",M63/N63)</x:f>
        <x:v>0.625</x:v>
      </x:c>
      <x:c r="Q63" s="22" t="n">
        <x:f t="shared" si="6">IF(L63=0,"",M63/L63)</x:f>
        <x:v>0.38461538461538464</x:v>
      </x:c>
      <x:c r="R63" s="22" t="n">
        <x:f t="shared" si="7">IF(L63=0,"",N63/L63)</x:f>
        <x:v>0.6153846153846154</x:v>
      </x:c>
      <x:c r="S63" s="22" t="n">
        <x:f>IF(L63=0,"",O63/L63)</x:f>
        <x:v>0.15384615384615385</x:v>
      </x:c>
      <x:c r="T63" s="24" t="n">
        <x:v>-21</x:v>
      </x:c>
      <x:c r="U63" s="26" t="n">
        <x:v>0.03</x:v>
      </x:c>
      <x:c r="V63" s="24" t="n">
        <x:v>125</x:v>
      </x:c>
      <x:c r="W63"/>
      <x:c r="X63"/>
    </x:row>
    <x:row r="64">
      <x:c r="A64" s="1" t="n">
        <x:v>62</x:v>
      </x:c>
      <x:c r="B64" s="27" t="n">
        <x:v>45712</x:v>
      </x:c>
      <x:c r="C64" s="1" t="str">
        <x:v>Lotus</x:v>
      </x:c>
      <x:c r="D64" s="1" t="str">
        <x:v>7th</x:v>
      </x:c>
      <x:c r="E64" s="1" t="str">
        <x:v>Sage</x:v>
      </x:c>
      <x:c r="F64" s="1" t="str">
        <x:v>Sentinel</x:v>
      </x:c>
      <x:c r="G64" s="1" t="n">
        <x:v>13</x:v>
      </x:c>
      <x:c r="H64" s="1" t="n">
        <x:f t="shared" si="0"/>
        <x:v>10</x:v>
      </x:c>
      <x:c r="I64" s="1" t="str">
        <x:f t="shared" si="1">IF(G64&gt;H64,"Win",IF(G64&lt;H64,"Loss","Draw"))</x:f>
        <x:v>Win</x:v>
      </x:c>
      <x:c r="J64" s="1" t="n">
        <x:f t="shared" si="2">IF(I64="Win",1,IF(I64="Loss",0,""))</x:f>
        <x:v>1</x:v>
      </x:c>
      <x:c r="K64" s="1" t="n">
        <x:f t="shared" si="3">G64-H64</x:f>
        <x:v>3</x:v>
      </x:c>
      <x:c r="L64" s="1" t="n">
        <x:f>G64+H64</x:f>
        <x:v>23</x:v>
      </x:c>
      <x:c r="M64" s="1" t="n">
        <x:v>10</x:v>
      </x:c>
      <x:c r="N64" s="1" t="n">
        <x:v>14</x:v>
      </x:c>
      <x:c r="O64" s="3" t="n">
        <x:f t="shared" si="4"/>
        <x:v>7</x:v>
      </x:c>
      <x:c r="P64" s="22" t="n">
        <x:f t="shared" si="5">IF(N64=0,"",M64/N64)</x:f>
        <x:v>0.7142857142857143</x:v>
      </x:c>
      <x:c r="Q64" s="22" t="n">
        <x:f t="shared" si="6">IF(L64=0,"",M64/L64)</x:f>
        <x:v>0.43478260869565216</x:v>
      </x:c>
      <x:c r="R64" s="22" t="n">
        <x:f t="shared" si="7">IF(L64=0,"",N64/L64)</x:f>
        <x:v>0.6086956521739131</x:v>
      </x:c>
      <x:c r="S64" s="22" t="n">
        <x:f>IF(L64=0,"",O64/L64)</x:f>
        <x:v>0.30434782608695654</x:v>
      </x:c>
      <x:c r="T64" s="24" t="n">
        <x:v>-47</x:v>
      </x:c>
      <x:c r="U64" s="26" t="n">
        <x:v>0.02</x:v>
      </x:c>
      <x:c r="V64" s="24" t="n">
        <x:v>138</x:v>
      </x:c>
      <x:c r="W64"/>
      <x:c r="X64"/>
    </x:row>
    <x:row r="65">
      <x:c r="A65" s="1" t="n">
        <x:v>63</x:v>
      </x:c>
      <x:c r="B65" s="27" t="n">
        <x:v>45712</x:v>
      </x:c>
      <x:c r="C65" s="1" t="str">
        <x:v>Pearl</x:v>
      </x:c>
      <x:c r="D65" s="1" t="str">
        <x:v>8th</x:v>
      </x:c>
      <x:c r="E65" s="1" t="str">
        <x:v>Sage</x:v>
      </x:c>
      <x:c r="F65" s="1" t="str">
        <x:v>Sentinel</x:v>
      </x:c>
      <x:c r="G65" s="1" t="n">
        <x:v>13</x:v>
      </x:c>
      <x:c r="H65" s="1" t="n">
        <x:f t="shared" si="0"/>
        <x:v>2</x:v>
      </x:c>
      <x:c r="I65" s="1" t="str">
        <x:f t="shared" si="1">IF(G65&gt;H65,"Win",IF(G65&lt;H65,"Loss","Draw"))</x:f>
        <x:v>Win</x:v>
      </x:c>
      <x:c r="J65" s="1" t="n">
        <x:f t="shared" si="2">IF(I65="Win",1,IF(I65="Loss",0,""))</x:f>
        <x:v>1</x:v>
      </x:c>
      <x:c r="K65" s="1" t="n">
        <x:f t="shared" si="3">G65-H65</x:f>
        <x:v>11</x:v>
      </x:c>
      <x:c r="L65" s="1" t="n">
        <x:f>G65+H65</x:f>
        <x:v>15</x:v>
      </x:c>
      <x:c r="M65" s="1" t="n">
        <x:v>7</x:v>
      </x:c>
      <x:c r="N65" s="1" t="n">
        <x:v>2</x:v>
      </x:c>
      <x:c r="O65" s="3" t="n">
        <x:f t="shared" si="4"/>
        <x:v>3</x:v>
      </x:c>
      <x:c r="P65" s="22" t="n">
        <x:f t="shared" si="5">IF(N65=0,"",M65/N65)</x:f>
        <x:v>3.5</x:v>
      </x:c>
      <x:c r="Q65" s="22" t="n">
        <x:f t="shared" si="6">IF(L65=0,"",M65/L65)</x:f>
        <x:v>0.4666666666666667</x:v>
      </x:c>
      <x:c r="R65" s="22" t="n">
        <x:f t="shared" si="7">IF(L65=0,"",N65/L65)</x:f>
        <x:v>0.13333333333333333</x:v>
      </x:c>
      <x:c r="S65" s="22" t="n">
        <x:f>IF(L65=0,"",O65/L65)</x:f>
        <x:v>0.2</x:v>
      </x:c>
      <x:c r="T65" s="24" t="n">
        <x:v>45</x:v>
      </x:c>
      <x:c r="U65" s="26" t="n">
        <x:v>0.03</x:v>
      </x:c>
      <x:c r="V65" s="24" t="n">
        <x:v>128</x:v>
      </x:c>
      <x:c r="W65"/>
      <x:c r="X65"/>
    </x:row>
    <x:row r="66">
      <x:c r="A66" s="1" t="n">
        <x:v>64</x:v>
      </x:c>
      <x:c r="B66" s="27" t="n">
        <x:v>45712</x:v>
      </x:c>
      <x:c r="C66" s="1" t="str">
        <x:v>Split</x:v>
      </x:c>
      <x:c r="D66" s="1" t="str">
        <x:v>7th</x:v>
      </x:c>
      <x:c r="E66" s="1" t="str">
        <x:v>Sage</x:v>
      </x:c>
      <x:c r="F66" s="1" t="str">
        <x:v>Sentinel</x:v>
      </x:c>
      <x:c r="G66" s="1" t="n">
        <x:v>13</x:v>
      </x:c>
      <x:c r="H66" s="1" t="n">
        <x:f t="shared" si="0"/>
        <x:v>10</x:v>
      </x:c>
      <x:c r="I66" s="1" t="str">
        <x:f t="shared" si="1">IF(G66&gt;H66,"Win",IF(G66&lt;H66,"Loss","Draw"))</x:f>
        <x:v>Win</x:v>
      </x:c>
      <x:c r="J66" s="1" t="n">
        <x:f t="shared" si="2">IF(I66="Win",1,IF(I66="Loss",0,""))</x:f>
        <x:v>1</x:v>
      </x:c>
      <x:c r="K66" s="1" t="n">
        <x:f t="shared" si="3">G66-H66</x:f>
        <x:v>3</x:v>
      </x:c>
      <x:c r="L66" s="1" t="n">
        <x:f>G66+H66</x:f>
        <x:v>23</x:v>
      </x:c>
      <x:c r="M66" s="1" t="n">
        <x:v>15</x:v>
      </x:c>
      <x:c r="N66" s="1" t="n">
        <x:v>15</x:v>
      </x:c>
      <x:c r="O66" s="3" t="n">
        <x:f t="shared" si="4"/>
        <x:v>6</x:v>
      </x:c>
      <x:c r="P66" s="22" t="n">
        <x:f t="shared" si="5">IF(N66=0,"",M66/N66)</x:f>
        <x:v>1</x:v>
      </x:c>
      <x:c r="Q66" s="22" t="n">
        <x:f t="shared" si="6">IF(L66=0,"",M66/L66)</x:f>
        <x:v>0.6521739130434783</x:v>
      </x:c>
      <x:c r="R66" s="22" t="n">
        <x:f t="shared" si="7">IF(L66=0,"",N66/L66)</x:f>
        <x:v>0.6521739130434783</x:v>
      </x:c>
      <x:c r="S66" s="22" t="n">
        <x:f>IF(L66=0,"",O66/L66)</x:f>
        <x:v>0.2608695652173913</x:v>
      </x:c>
      <x:c r="T66" s="24" t="n">
        <x:v>-36</x:v>
      </x:c>
      <x:c r="U66" s="26" t="n">
        <x:v>0.07</x:v>
      </x:c>
      <x:c r="V66" s="24" t="n">
        <x:v>162</x:v>
      </x:c>
      <x:c r="W66"/>
      <x:c r="X66"/>
    </x:row>
    <x:row r="67">
      <x:c r="A67" s="1" t="n">
        <x:v>65</x:v>
      </x:c>
      <x:c r="B67" s="27" t="n">
        <x:v>45713</x:v>
      </x:c>
      <x:c r="C67" s="1" t="str">
        <x:v>Lotus</x:v>
      </x:c>
      <x:c r="D67" s="1" t="str">
        <x:v>7th</x:v>
      </x:c>
      <x:c r="E67" s="1" t="str">
        <x:v>Sage</x:v>
      </x:c>
      <x:c r="F67" s="1" t="str">
        <x:v>Sentinel</x:v>
      </x:c>
      <x:c r="G67" s="1" t="n">
        <x:v>13</x:v>
      </x:c>
      <x:c r="H67" s="1" t="n">
        <x:f t="shared" ref="H67:H130" si="8">IF(F67&gt;G67,"Win",IF(F67&lt;G67,"Loss","Draw"))</x:f>
        <x:v>5</x:v>
      </x:c>
      <x:c r="I67" s="1" t="str">
        <x:f t="shared" ref="I67:I130" si="9">IF(G67&gt;H67,"Win",IF(G67&lt;H67,"Loss","Draw"))</x:f>
        <x:v>Win</x:v>
      </x:c>
      <x:c r="J67" s="1" t="n">
        <x:f t="shared" ref="J67:J130" si="10">IF(I67="Win",1,IF(I67="Loss",0,""))</x:f>
        <x:v>1</x:v>
      </x:c>
      <x:c r="K67" s="1" t="n">
        <x:f t="shared" ref="K67:K130" si="11">G67-H67</x:f>
        <x:v>8</x:v>
      </x:c>
      <x:c r="L67" s="1" t="n">
        <x:f>G67+H67</x:f>
        <x:v>18</x:v>
      </x:c>
      <x:c r="M67" s="1" t="n">
        <x:v>13</x:v>
      </x:c>
      <x:c r="N67" s="1" t="n">
        <x:v>11</x:v>
      </x:c>
      <x:c r="O67" s="3" t="n">
        <x:f t="shared" ref="O67:O130" si="12">IF(M67=0,"",L67/M67)</x:f>
        <x:v>10</x:v>
      </x:c>
      <x:c r="P67" s="22" t="n">
        <x:f t="shared" ref="P67:P130" si="13">IF(N67=0,"",M67/N67)</x:f>
        <x:v>1.1818181818181819</x:v>
      </x:c>
      <x:c r="Q67" s="22" t="n">
        <x:f t="shared" ref="Q67:Q130" si="14">IF(L67=0,"",M67/L67)</x:f>
        <x:v>0.7222222222222222</x:v>
      </x:c>
      <x:c r="R67" s="22" t="n">
        <x:f t="shared" ref="R67:R130" si="15">IF(L67=0,"",N67/L67)</x:f>
        <x:v>0.6111111111111112</x:v>
      </x:c>
      <x:c r="S67" s="22" t="n">
        <x:f>IF(L67=0,"",O67/L67)</x:f>
        <x:v>0.5555555555555556</x:v>
      </x:c>
      <x:c r="T67" s="24" t="n">
        <x:v>-20</x:v>
      </x:c>
      <x:c r="U67" s="26" t="n">
        <x:v>0.06</x:v>
      </x:c>
      <x:c r="V67" s="24" t="n">
        <x:v>169</x:v>
      </x:c>
      <x:c r="W67"/>
      <x:c r="X67"/>
    </x:row>
    <x:row r="68">
      <x:c r="A68" s="1" t="n">
        <x:v>66</x:v>
      </x:c>
      <x:c r="B68" s="27" t="n">
        <x:v>45713</x:v>
      </x:c>
      <x:c r="C68" s="1" t="str">
        <x:v>Fracture</x:v>
      </x:c>
      <x:c r="D68" s="1" t="str">
        <x:v>5th</x:v>
      </x:c>
      <x:c r="E68" s="1" t="str">
        <x:v>Sage</x:v>
      </x:c>
      <x:c r="F68" s="1" t="str">
        <x:v>Sentinel</x:v>
      </x:c>
      <x:c r="G68" s="1" t="n">
        <x:v>13</x:v>
      </x:c>
      <x:c r="H68" s="1" t="n">
        <x:f t="shared" si="8"/>
        <x:v>6</x:v>
      </x:c>
      <x:c r="I68" s="1" t="str">
        <x:f t="shared" si="9">IF(G68&gt;H68,"Win",IF(G68&lt;H68,"Loss","Draw"))</x:f>
        <x:v>Win</x:v>
      </x:c>
      <x:c r="J68" s="1" t="n">
        <x:f t="shared" si="10">IF(I68="Win",1,IF(I68="Loss",0,""))</x:f>
        <x:v>1</x:v>
      </x:c>
      <x:c r="K68" s="1" t="n">
        <x:f t="shared" si="11">G68-H68</x:f>
        <x:v>7</x:v>
      </x:c>
      <x:c r="L68" s="1" t="n">
        <x:f>G68+H68</x:f>
        <x:v>19</x:v>
      </x:c>
      <x:c r="M68" s="1" t="n">
        <x:v>13</x:v>
      </x:c>
      <x:c r="N68" s="1" t="n">
        <x:v>10</x:v>
      </x:c>
      <x:c r="O68" s="3" t="n">
        <x:f t="shared" si="12"/>
        <x:v>3</x:v>
      </x:c>
      <x:c r="P68" s="22" t="n">
        <x:f t="shared" si="13">IF(N68=0,"",M68/N68)</x:f>
        <x:v>1.3</x:v>
      </x:c>
      <x:c r="Q68" s="22" t="n">
        <x:f t="shared" si="14">IF(L68=0,"",M68/L68)</x:f>
        <x:v>0.6842105263157895</x:v>
      </x:c>
      <x:c r="R68" s="22" t="n">
        <x:f t="shared" si="15">IF(L68=0,"",N68/L68)</x:f>
        <x:v>0.5263157894736842</x:v>
      </x:c>
      <x:c r="S68" s="22" t="n">
        <x:f>IF(L68=0,"",O68/L68)</x:f>
        <x:v>0.15789473684210525</x:v>
      </x:c>
      <x:c r="T68" s="24" t="n">
        <x:v>-3</x:v>
      </x:c>
      <x:c r="U68" s="26" t="n">
        <x:v>0.03</x:v>
      </x:c>
      <x:c r="V68" s="24" t="n">
        <x:v>178</x:v>
      </x:c>
      <x:c r="W68"/>
      <x:c r="X68"/>
    </x:row>
    <x:row r="69">
      <x:c r="A69" s="1" t="n">
        <x:v>67</x:v>
      </x:c>
      <x:c r="B69" s="27" t="n">
        <x:v>45713</x:v>
      </x:c>
      <x:c r="C69" s="1" t="str">
        <x:v>Abyss</x:v>
      </x:c>
      <x:c r="D69" s="1" t="str">
        <x:v>7th</x:v>
      </x:c>
      <x:c r="E69" s="1" t="str">
        <x:v>Sage</x:v>
      </x:c>
      <x:c r="F69" s="1" t="str">
        <x:v>Sentinel</x:v>
      </x:c>
      <x:c r="G69" s="1" t="n">
        <x:v>9</x:v>
      </x:c>
      <x:c r="H69" s="1" t="n">
        <x:f t="shared" si="8"/>
        <x:v>13</x:v>
      </x:c>
      <x:c r="I69" s="1" t="str">
        <x:f t="shared" si="9">IF(G69&gt;H69,"Win",IF(G69&lt;H69,"Loss","Draw"))</x:f>
        <x:v>Loss</x:v>
      </x:c>
      <x:c r="J69" s="1" t="n">
        <x:f t="shared" si="10">IF(I69="Win",1,IF(I69="Loss",0,""))</x:f>
        <x:v>0</x:v>
      </x:c>
      <x:c r="K69" s="1" t="n">
        <x:f t="shared" si="11">G69-H69</x:f>
        <x:v>-4</x:v>
      </x:c>
      <x:c r="L69" s="1" t="n">
        <x:f>G69+H69</x:f>
        <x:v>22</x:v>
      </x:c>
      <x:c r="M69" s="1" t="n">
        <x:v>9</x:v>
      </x:c>
      <x:c r="N69" s="1" t="n">
        <x:v>16</x:v>
      </x:c>
      <x:c r="O69" s="3" t="n">
        <x:f t="shared" si="12"/>
        <x:v>7</x:v>
      </x:c>
      <x:c r="P69" s="22" t="n">
        <x:f t="shared" si="13">IF(N69=0,"",M69/N69)</x:f>
        <x:v>0.5625</x:v>
      </x:c>
      <x:c r="Q69" s="22" t="n">
        <x:f t="shared" si="14">IF(L69=0,"",M69/L69)</x:f>
        <x:v>0.4090909090909091</x:v>
      </x:c>
      <x:c r="R69" s="22" t="n">
        <x:f t="shared" si="15">IF(L69=0,"",N69/L69)</x:f>
        <x:v>0.7272727272727273</x:v>
      </x:c>
      <x:c r="S69" s="22" t="n">
        <x:f>IF(L69=0,"",O69/L69)</x:f>
        <x:v>0.3181818181818182</x:v>
      </x:c>
      <x:c r="T69" s="24" t="n">
        <x:v>-46</x:v>
      </x:c>
      <x:c r="U69" s="26" t="n">
        <x:v>0.07</x:v>
      </x:c>
      <x:c r="V69" s="24" t="n">
        <x:v>132</x:v>
      </x:c>
      <x:c r="W69"/>
      <x:c r="X69"/>
    </x:row>
    <x:row r="70">
      <x:c r="A70" s="1" t="n">
        <x:v>68</x:v>
      </x:c>
      <x:c r="B70" s="27" t="n">
        <x:v>45713</x:v>
      </x:c>
      <x:c r="C70" s="1" t="str">
        <x:v>Haven</x:v>
      </x:c>
      <x:c r="D70" s="1" t="str">
        <x:v>8th</x:v>
      </x:c>
      <x:c r="E70" s="1" t="str">
        <x:v>Sage</x:v>
      </x:c>
      <x:c r="F70" s="1" t="str">
        <x:v>Sentinel</x:v>
      </x:c>
      <x:c r="G70" s="1" t="n">
        <x:v>9</x:v>
      </x:c>
      <x:c r="H70" s="1" t="n">
        <x:f t="shared" si="8"/>
        <x:v>13</x:v>
      </x:c>
      <x:c r="I70" s="1" t="str">
        <x:f t="shared" si="9">IF(G70&gt;H70,"Win",IF(G70&lt;H70,"Loss","Draw"))</x:f>
        <x:v>Loss</x:v>
      </x:c>
      <x:c r="J70" s="1" t="n">
        <x:f t="shared" si="10">IF(I70="Win",1,IF(I70="Loss",0,""))</x:f>
        <x:v>0</x:v>
      </x:c>
      <x:c r="K70" s="1" t="n">
        <x:f t="shared" si="11">G70-H70</x:f>
        <x:v>-4</x:v>
      </x:c>
      <x:c r="L70" s="1" t="n">
        <x:f>G70+H70</x:f>
        <x:v>22</x:v>
      </x:c>
      <x:c r="M70" s="1" t="n">
        <x:v>12</x:v>
      </x:c>
      <x:c r="N70" s="1" t="n">
        <x:v>15</x:v>
      </x:c>
      <x:c r="O70" s="3" t="n">
        <x:f t="shared" si="12"/>
        <x:v>2</x:v>
      </x:c>
      <x:c r="P70" s="22" t="n">
        <x:f t="shared" si="13">IF(N70=0,"",M70/N70)</x:f>
        <x:v>0.8</x:v>
      </x:c>
      <x:c r="Q70" s="22" t="n">
        <x:f t="shared" si="14">IF(L70=0,"",M70/L70)</x:f>
        <x:v>0.5454545454545454</x:v>
      </x:c>
      <x:c r="R70" s="22" t="n">
        <x:f t="shared" si="15">IF(L70=0,"",N70/L70)</x:f>
        <x:v>0.6818181818181818</x:v>
      </x:c>
      <x:c r="S70" s="22" t="n">
        <x:f>IF(L70=0,"",O70/L70)</x:f>
        <x:v>0.09090909090909091</x:v>
      </x:c>
      <x:c r="T70" s="24" t="n">
        <x:v>-51</x:v>
      </x:c>
      <x:c r="U70" s="26" t="n">
        <x:v>0.06</x:v>
      </x:c>
      <x:c r="V70" s="24" t="n">
        <x:v>134</x:v>
      </x:c>
      <x:c r="W70"/>
      <x:c r="X70"/>
    </x:row>
    <x:row r="71">
      <x:c r="A71" s="1" t="n">
        <x:v>69</x:v>
      </x:c>
      <x:c r="B71" s="27" t="n">
        <x:v>45713</x:v>
      </x:c>
      <x:c r="C71" s="1" t="str">
        <x:v>Abyss</x:v>
      </x:c>
      <x:c r="D71" s="1" t="str">
        <x:v>10th</x:v>
      </x:c>
      <x:c r="E71" s="1" t="str">
        <x:v>Sage</x:v>
      </x:c>
      <x:c r="F71" s="1" t="str">
        <x:v>Sentinel</x:v>
      </x:c>
      <x:c r="G71" s="1" t="n">
        <x:v>8</x:v>
      </x:c>
      <x:c r="H71" s="1" t="n">
        <x:f t="shared" si="8"/>
        <x:v>13</x:v>
      </x:c>
      <x:c r="I71" s="1" t="str">
        <x:f t="shared" si="9">IF(G71&gt;H71,"Win",IF(G71&lt;H71,"Loss","Draw"))</x:f>
        <x:v>Loss</x:v>
      </x:c>
      <x:c r="J71" s="1" t="n">
        <x:f t="shared" si="10">IF(I71="Win",1,IF(I71="Loss",0,""))</x:f>
        <x:v>0</x:v>
      </x:c>
      <x:c r="K71" s="1" t="n">
        <x:f t="shared" si="11">G71-H71</x:f>
        <x:v>-5</x:v>
      </x:c>
      <x:c r="L71" s="1" t="n">
        <x:f>G71+H71</x:f>
        <x:v>21</x:v>
      </x:c>
      <x:c r="M71" s="1" t="n">
        <x:v>9</x:v>
      </x:c>
      <x:c r="N71" s="1" t="n">
        <x:v>14</x:v>
      </x:c>
      <x:c r="O71" s="3" t="n">
        <x:f t="shared" si="12"/>
        <x:v>5</x:v>
      </x:c>
      <x:c r="P71" s="22" t="n">
        <x:f t="shared" si="13">IF(N71=0,"",M71/N71)</x:f>
        <x:v>0.6428571428571429</x:v>
      </x:c>
      <x:c r="Q71" s="22" t="n">
        <x:f t="shared" si="14">IF(L71=0,"",M71/L71)</x:f>
        <x:v>0.42857142857142855</x:v>
      </x:c>
      <x:c r="R71" s="22" t="n">
        <x:f t="shared" si="15">IF(L71=0,"",N71/L71)</x:f>
        <x:v>0.6666666666666666</x:v>
      </x:c>
      <x:c r="S71" s="22" t="n">
        <x:f>IF(L71=0,"",O71/L71)</x:f>
        <x:v>0.23809523809523808</x:v>
      </x:c>
      <x:c r="T71" s="24" t="n">
        <x:v>-48</x:v>
      </x:c>
      <x:c r="U71" s="26" t="n">
        <x:v>0.05</x:v>
      </x:c>
      <x:c r="V71" s="24" t="n">
        <x:v>131</x:v>
      </x:c>
      <x:c r="W71"/>
      <x:c r="X71"/>
    </x:row>
    <x:row r="72">
      <x:c r="A72" s="1" t="n">
        <x:v>70</x:v>
      </x:c>
      <x:c r="B72" s="27" t="n">
        <x:v>45714</x:v>
      </x:c>
      <x:c r="C72" s="1" t="str">
        <x:v>Lotus</x:v>
      </x:c>
      <x:c r="D72" s="1" t="str">
        <x:v>9th</x:v>
      </x:c>
      <x:c r="E72" s="1" t="str">
        <x:v>Sage</x:v>
      </x:c>
      <x:c r="F72" s="1" t="str">
        <x:v>Sentinel</x:v>
      </x:c>
      <x:c r="G72" s="1" t="n">
        <x:v>11</x:v>
      </x:c>
      <x:c r="H72" s="1" t="n">
        <x:f t="shared" si="8"/>
        <x:v>13</x:v>
      </x:c>
      <x:c r="I72" s="1" t="str">
        <x:f t="shared" si="9">IF(G72&gt;H72,"Win",IF(G72&lt;H72,"Loss","Draw"))</x:f>
        <x:v>Loss</x:v>
      </x:c>
      <x:c r="J72" s="1" t="n">
        <x:f t="shared" si="10">IF(I72="Win",1,IF(I72="Loss",0,""))</x:f>
        <x:v>0</x:v>
      </x:c>
      <x:c r="K72" s="1" t="n">
        <x:f t="shared" si="11">G72-H72</x:f>
        <x:v>-2</x:v>
      </x:c>
      <x:c r="L72" s="1" t="n">
        <x:f>G72+H72</x:f>
        <x:v>24</x:v>
      </x:c>
      <x:c r="M72" s="1" t="n">
        <x:v>8</x:v>
      </x:c>
      <x:c r="N72" s="1" t="n">
        <x:v>19</x:v>
      </x:c>
      <x:c r="O72" s="3" t="n">
        <x:f t="shared" si="12"/>
        <x:v>8</x:v>
      </x:c>
      <x:c r="P72" s="22" t="n">
        <x:f t="shared" si="13">IF(N72=0,"",M72/N72)</x:f>
        <x:v>0.42105263157894735</x:v>
      </x:c>
      <x:c r="Q72" s="22" t="n">
        <x:f t="shared" si="14">IF(L72=0,"",M72/L72)</x:f>
        <x:v>0.3333333333333333</x:v>
      </x:c>
      <x:c r="R72" s="22" t="n">
        <x:f t="shared" si="15">IF(L72=0,"",N72/L72)</x:f>
        <x:v>0.7916666666666666</x:v>
      </x:c>
      <x:c r="S72" s="22" t="n">
        <x:f>IF(L72=0,"",O72/L72)</x:f>
        <x:v>0.3333333333333333</x:v>
      </x:c>
      <x:c r="T72" s="24" t="n">
        <x:v>-59</x:v>
      </x:c>
      <x:c r="U72" s="26" t="n">
        <x:v>0.08</x:v>
      </x:c>
      <x:c r="V72" s="24" t="n">
        <x:v>110</x:v>
      </x:c>
      <x:c r="W72"/>
      <x:c r="X72"/>
    </x:row>
    <x:row r="73">
      <x:c r="A73" s="1" t="n">
        <x:v>71</x:v>
      </x:c>
      <x:c r="B73" s="27" t="n">
        <x:v>45715</x:v>
      </x:c>
      <x:c r="C73" s="1" t="str">
        <x:v>Abyss</x:v>
      </x:c>
      <x:c r="D73" s="1" t="str">
        <x:v>8th</x:v>
      </x:c>
      <x:c r="E73" s="1" t="str">
        <x:v>Deadlock</x:v>
      </x:c>
      <x:c r="F73" s="1" t="str">
        <x:v>Sentinel</x:v>
      </x:c>
      <x:c r="G73" s="1" t="n">
        <x:v>5</x:v>
      </x:c>
      <x:c r="H73" s="1" t="n">
        <x:f t="shared" si="8"/>
        <x:v>13</x:v>
      </x:c>
      <x:c r="I73" s="1" t="str">
        <x:f t="shared" si="9">IF(G73&gt;H73,"Win",IF(G73&lt;H73,"Loss","Draw"))</x:f>
        <x:v>Loss</x:v>
      </x:c>
      <x:c r="J73" s="1" t="n">
        <x:f t="shared" si="10">IF(I73="Win",1,IF(I73="Loss",0,""))</x:f>
        <x:v>0</x:v>
      </x:c>
      <x:c r="K73" s="1" t="n">
        <x:f t="shared" si="11">G73-H73</x:f>
        <x:v>-8</x:v>
      </x:c>
      <x:c r="L73" s="1" t="n">
        <x:f>G73+H73</x:f>
        <x:v>18</x:v>
      </x:c>
      <x:c r="M73" s="1" t="n">
        <x:v>8</x:v>
      </x:c>
      <x:c r="N73" s="1" t="n">
        <x:v>13</x:v>
      </x:c>
      <x:c r="O73" s="3" t="n">
        <x:f t="shared" si="12"/>
        <x:v>2</x:v>
      </x:c>
      <x:c r="P73" s="22" t="n">
        <x:f t="shared" si="13">IF(N73=0,"",M73/N73)</x:f>
        <x:v>0.6153846153846154</x:v>
      </x:c>
      <x:c r="Q73" s="22" t="n">
        <x:f t="shared" si="14">IF(L73=0,"",M73/L73)</x:f>
        <x:v>0.4444444444444444</x:v>
      </x:c>
      <x:c r="R73" s="22" t="n">
        <x:f t="shared" si="15">IF(L73=0,"",N73/L73)</x:f>
        <x:v>0.7222222222222222</x:v>
      </x:c>
      <x:c r="S73" s="22" t="n">
        <x:f>IF(L73=0,"",O73/L73)</x:f>
        <x:v>0.1111111111111111</x:v>
      </x:c>
      <x:c r="T73" s="24" t="n">
        <x:v>-52</x:v>
      </x:c>
      <x:c r="U73" s="26" t="n">
        <x:v>0</x:v>
      </x:c>
      <x:c r="V73" s="24" t="n">
        <x:v>129</x:v>
      </x:c>
      <x:c r="W73"/>
      <x:c r="X73"/>
    </x:row>
    <x:row r="74">
      <x:c r="A74" s="1" t="n">
        <x:v>72</x:v>
      </x:c>
      <x:c r="B74" s="27" t="n">
        <x:v>45716</x:v>
      </x:c>
      <x:c r="C74" s="1" t="str">
        <x:v>Lotus</x:v>
      </x:c>
      <x:c r="D74" s="1" t="str">
        <x:v>9th</x:v>
      </x:c>
      <x:c r="E74" s="1" t="str">
        <x:v>Sage</x:v>
      </x:c>
      <x:c r="F74" s="1" t="str">
        <x:v>Sentinel</x:v>
      </x:c>
      <x:c r="G74" s="1" t="n">
        <x:v>14</x:v>
      </x:c>
      <x:c r="H74" s="1" t="n">
        <x:f t="shared" si="8"/>
        <x:v>12</x:v>
      </x:c>
      <x:c r="I74" s="1" t="str">
        <x:f t="shared" si="9">IF(G74&gt;H74,"Win",IF(G74&lt;H74,"Loss","Draw"))</x:f>
        <x:v>Win</x:v>
      </x:c>
      <x:c r="J74" s="1" t="n">
        <x:f t="shared" si="10">IF(I74="Win",1,IF(I74="Loss",0,""))</x:f>
        <x:v>1</x:v>
      </x:c>
      <x:c r="K74" s="1" t="n">
        <x:f t="shared" si="11">G74-H74</x:f>
        <x:v>2</x:v>
      </x:c>
      <x:c r="L74" s="1" t="n">
        <x:f>G74+H74</x:f>
        <x:v>26</x:v>
      </x:c>
      <x:c r="M74" s="1" t="n">
        <x:v>13</x:v>
      </x:c>
      <x:c r="N74" s="1" t="n">
        <x:v>16</x:v>
      </x:c>
      <x:c r="O74" s="3" t="n">
        <x:f t="shared" si="12"/>
        <x:v>4</x:v>
      </x:c>
      <x:c r="P74" s="22" t="n">
        <x:f t="shared" si="13">IF(N74=0,"",M74/N74)</x:f>
        <x:v>0.8125</x:v>
      </x:c>
      <x:c r="Q74" s="22" t="n">
        <x:f t="shared" si="14">IF(L74=0,"",M74/L74)</x:f>
        <x:v>0.5</x:v>
      </x:c>
      <x:c r="R74" s="22" t="n">
        <x:f t="shared" si="15">IF(L74=0,"",N74/L74)</x:f>
        <x:v>0.6153846153846154</x:v>
      </x:c>
      <x:c r="S74" s="22" t="n">
        <x:f>IF(L74=0,"",O74/L74)</x:f>
        <x:v>0.15384615384615385</x:v>
      </x:c>
      <x:c r="T74" s="24" t="n">
        <x:v>-37</x:v>
      </x:c>
      <x:c r="U74" s="26" t="n">
        <x:v>0.03</x:v>
      </x:c>
      <x:c r="V74" s="24" t="n">
        <x:v>126</x:v>
      </x:c>
      <x:c r="W74"/>
      <x:c r="X74"/>
    </x:row>
    <x:row r="75">
      <x:c r="A75" s="1" t="n">
        <x:v>73</x:v>
      </x:c>
      <x:c r="B75" s="27" t="n">
        <x:v>45718</x:v>
      </x:c>
      <x:c r="C75" s="1" t="str">
        <x:v>Bind</x:v>
      </x:c>
      <x:c r="D75" s="1" t="str">
        <x:v>10th</x:v>
      </x:c>
      <x:c r="E75" s="1" t="str">
        <x:v>Deadlock</x:v>
      </x:c>
      <x:c r="F75" s="1" t="str">
        <x:v>Sentinel</x:v>
      </x:c>
      <x:c r="G75" s="1" t="n">
        <x:v>5</x:v>
      </x:c>
      <x:c r="H75" s="1" t="n">
        <x:f t="shared" si="8"/>
        <x:v>13</x:v>
      </x:c>
      <x:c r="I75" s="1" t="str">
        <x:f t="shared" si="9">IF(G75&gt;H75,"Win",IF(G75&lt;H75,"Loss","Draw"))</x:f>
        <x:v>Loss</x:v>
      </x:c>
      <x:c r="J75" s="1" t="n">
        <x:f t="shared" si="10">IF(I75="Win",1,IF(I75="Loss",0,""))</x:f>
        <x:v>0</x:v>
      </x:c>
      <x:c r="K75" s="1" t="n">
        <x:f t="shared" si="11">G75-H75</x:f>
        <x:v>-8</x:v>
      </x:c>
      <x:c r="L75" s="1" t="n">
        <x:f>G75+H75</x:f>
        <x:v>18</x:v>
      </x:c>
      <x:c r="M75" s="1" t="n">
        <x:v>9</x:v>
      </x:c>
      <x:c r="N75" s="1" t="n">
        <x:v>14</x:v>
      </x:c>
      <x:c r="O75" s="3" t="n">
        <x:f t="shared" si="12"/>
        <x:v>2</x:v>
      </x:c>
      <x:c r="P75" s="22" t="n">
        <x:f t="shared" si="13">IF(N75=0,"",M75/N75)</x:f>
        <x:v>0.6428571428571429</x:v>
      </x:c>
      <x:c r="Q75" s="22" t="n">
        <x:f t="shared" si="14">IF(L75=0,"",M75/L75)</x:f>
        <x:v>0.5</x:v>
      </x:c>
      <x:c r="R75" s="22" t="n">
        <x:f t="shared" si="15">IF(L75=0,"",N75/L75)</x:f>
        <x:v>0.7777777777777778</x:v>
      </x:c>
      <x:c r="S75" s="22" t="n">
        <x:f>IF(L75=0,"",O75/L75)</x:f>
        <x:v>0.1111111111111111</x:v>
      </x:c>
      <x:c r="T75" s="24" t="n">
        <x:v>-34</x:v>
      </x:c>
      <x:c r="U75" s="26" t="n">
        <x:v>0.04</x:v>
      </x:c>
      <x:c r="V75" s="24" t="n">
        <x:v>136</x:v>
      </x:c>
      <x:c r="W75"/>
      <x:c r="X75"/>
    </x:row>
    <x:row r="76">
      <x:c r="A76" s="1" t="n">
        <x:v>74</x:v>
      </x:c>
      <x:c r="B76" s="27" t="n">
        <x:v>45718</x:v>
      </x:c>
      <x:c r="C76" s="1" t="str">
        <x:v>Split</x:v>
      </x:c>
      <x:c r="D76" s="1" t="str">
        <x:v>9th</x:v>
      </x:c>
      <x:c r="E76" s="1" t="str">
        <x:v>Sage</x:v>
      </x:c>
      <x:c r="F76" s="1" t="str">
        <x:v>Sentinel</x:v>
      </x:c>
      <x:c r="G76" s="1" t="n">
        <x:v>8</x:v>
      </x:c>
      <x:c r="H76" s="1" t="n">
        <x:f t="shared" si="8"/>
        <x:v>13</x:v>
      </x:c>
      <x:c r="I76" s="1" t="str">
        <x:f t="shared" si="9">IF(G76&gt;H76,"Win",IF(G76&lt;H76,"Loss","Draw"))</x:f>
        <x:v>Loss</x:v>
      </x:c>
      <x:c r="J76" s="1" t="n">
        <x:f t="shared" si="10">IF(I76="Win",1,IF(I76="Loss",0,""))</x:f>
        <x:v>0</x:v>
      </x:c>
      <x:c r="K76" s="1" t="n">
        <x:f t="shared" si="11">G76-H76</x:f>
        <x:v>-5</x:v>
      </x:c>
      <x:c r="L76" s="1" t="n">
        <x:f>G76+H76</x:f>
        <x:v>21</x:v>
      </x:c>
      <x:c r="M76" s="1" t="n">
        <x:v>8</x:v>
      </x:c>
      <x:c r="N76" s="1" t="n">
        <x:v>16</x:v>
      </x:c>
      <x:c r="O76" s="3" t="n">
        <x:f t="shared" si="12"/>
        <x:v>3</x:v>
      </x:c>
      <x:c r="P76" s="22" t="n">
        <x:f t="shared" si="13">IF(N76=0,"",M76/N76)</x:f>
        <x:v>0.5</x:v>
      </x:c>
      <x:c r="Q76" s="22" t="n">
        <x:f t="shared" si="14">IF(L76=0,"",M76/L76)</x:f>
        <x:v>0.38095238095238093</x:v>
      </x:c>
      <x:c r="R76" s="22" t="n">
        <x:f t="shared" si="15">IF(L76=0,"",N76/L76)</x:f>
        <x:v>0.7619047619047619</x:v>
      </x:c>
      <x:c r="S76" s="22" t="n">
        <x:f>IF(L76=0,"",O76/L76)</x:f>
        <x:v>0.14285714285714285</x:v>
      </x:c>
      <x:c r="T76" s="24" t="n">
        <x:v>-81</x:v>
      </x:c>
      <x:c r="U76" s="26" t="n">
        <x:v>0.05</x:v>
      </x:c>
      <x:c r="V76" s="24" t="n">
        <x:v>104</x:v>
      </x:c>
      <x:c r="W76"/>
      <x:c r="X76"/>
    </x:row>
    <x:row r="77">
      <x:c r="A77" s="1" t="n">
        <x:v>75</x:v>
      </x:c>
      <x:c r="B77" s="27" t="n">
        <x:v>45724</x:v>
      </x:c>
      <x:c r="C77" s="1" t="str">
        <x:v>Fracture</x:v>
      </x:c>
      <x:c r="D77" s="1" t="str">
        <x:v>7th</x:v>
      </x:c>
      <x:c r="E77" s="1" t="str">
        <x:v>Clove</x:v>
      </x:c>
      <x:c r="F77" s="1" t="str">
        <x:v>Controller</x:v>
      </x:c>
      <x:c r="G77" s="1" t="n">
        <x:v>13</x:v>
      </x:c>
      <x:c r="H77" s="1" t="n">
        <x:f t="shared" si="8"/>
        <x:v>9</x:v>
      </x:c>
      <x:c r="I77" s="1" t="str">
        <x:f t="shared" si="9">IF(G77&gt;H77,"Win",IF(G77&lt;H77,"Loss","Draw"))</x:f>
        <x:v>Win</x:v>
      </x:c>
      <x:c r="J77" s="1" t="n">
        <x:f t="shared" si="10">IF(I77="Win",1,IF(I77="Loss",0,""))</x:f>
        <x:v>1</x:v>
      </x:c>
      <x:c r="K77" s="1" t="n">
        <x:f t="shared" si="11">G77-H77</x:f>
        <x:v>4</x:v>
      </x:c>
      <x:c r="L77" s="1" t="n">
        <x:f>G77+H77</x:f>
        <x:v>22</x:v>
      </x:c>
      <x:c r="M77" s="1" t="n">
        <x:v>14</x:v>
      </x:c>
      <x:c r="N77" s="1" t="n">
        <x:v>14</x:v>
      </x:c>
      <x:c r="O77" s="3" t="n">
        <x:f t="shared" si="12"/>
        <x:v>2</x:v>
      </x:c>
      <x:c r="P77" s="22" t="n">
        <x:f t="shared" si="13">IF(N77=0,"",M77/N77)</x:f>
        <x:v>1</x:v>
      </x:c>
      <x:c r="Q77" s="22" t="n">
        <x:f t="shared" si="14">IF(L77=0,"",M77/L77)</x:f>
        <x:v>0.6363636363636364</x:v>
      </x:c>
      <x:c r="R77" s="22" t="n">
        <x:f t="shared" si="15">IF(L77=0,"",N77/L77)</x:f>
        <x:v>0.6363636363636364</x:v>
      </x:c>
      <x:c r="S77" s="22" t="n">
        <x:f>IF(L77=0,"",O77/L77)</x:f>
        <x:v>0.09090909090909091</x:v>
      </x:c>
      <x:c r="T77" s="24" t="n">
        <x:v>-9</x:v>
      </x:c>
      <x:c r="U77" s="26" t="n">
        <x:v>0.02</x:v>
      </x:c>
      <x:c r="V77" s="24" t="n">
        <x:v>176</x:v>
      </x:c>
      <x:c r="W77"/>
      <x:c r="X77"/>
    </x:row>
    <x:row r="78">
      <x:c r="A78" s="1" t="n">
        <x:v>76</x:v>
      </x:c>
      <x:c r="B78" s="27" t="n">
        <x:v>45724</x:v>
      </x:c>
      <x:c r="C78" s="1" t="str">
        <x:v>Lotus</x:v>
      </x:c>
      <x:c r="D78" s="1" t="str">
        <x:v>3rd</x:v>
      </x:c>
      <x:c r="E78" s="1" t="str">
        <x:v>Sage</x:v>
      </x:c>
      <x:c r="F78" s="1" t="str">
        <x:v>Sentinel</x:v>
      </x:c>
      <x:c r="G78" s="1" t="n">
        <x:v>4</x:v>
      </x:c>
      <x:c r="H78" s="1" t="n">
        <x:f t="shared" si="8"/>
        <x:v>13</x:v>
      </x:c>
      <x:c r="I78" s="1" t="str">
        <x:f t="shared" si="9">IF(G78&gt;H78,"Win",IF(G78&lt;H78,"Loss","Draw"))</x:f>
        <x:v>Loss</x:v>
      </x:c>
      <x:c r="J78" s="1" t="n">
        <x:f t="shared" si="10">IF(I78="Win",1,IF(I78="Loss",0,""))</x:f>
        <x:v>0</x:v>
      </x:c>
      <x:c r="K78" s="1" t="n">
        <x:f t="shared" si="11">G78-H78</x:f>
        <x:v>-9</x:v>
      </x:c>
      <x:c r="L78" s="1" t="n">
        <x:f>G78+H78</x:f>
        <x:v>17</x:v>
      </x:c>
      <x:c r="M78" s="1" t="n">
        <x:v>14</x:v>
      </x:c>
      <x:c r="N78" s="1" t="n">
        <x:v>14</x:v>
      </x:c>
      <x:c r="O78" s="3" t="n">
        <x:f t="shared" si="12"/>
        <x:v>1</x:v>
      </x:c>
      <x:c r="P78" s="22" t="n">
        <x:f t="shared" si="13">IF(N78=0,"",M78/N78)</x:f>
        <x:v>1</x:v>
      </x:c>
      <x:c r="Q78" s="22" t="n">
        <x:f t="shared" si="14">IF(L78=0,"",M78/L78)</x:f>
        <x:v>0.8235294117647058</x:v>
      </x:c>
      <x:c r="R78" s="22" t="n">
        <x:f t="shared" si="15">IF(L78=0,"",N78/L78)</x:f>
        <x:v>0.8235294117647058</x:v>
      </x:c>
      <x:c r="S78" s="22" t="n">
        <x:f>IF(L78=0,"",O78/L78)</x:f>
        <x:v>0.058823529411764705</x:v>
      </x:c>
      <x:c r="T78" s="24" t="n">
        <x:v>-18</x:v>
      </x:c>
      <x:c r="U78" s="26" t="n">
        <x:v>0.07</x:v>
      </x:c>
      <x:c r="V78" s="24" t="n">
        <x:v>224</x:v>
      </x:c>
      <x:c r="W78"/>
      <x:c r="X78"/>
    </x:row>
    <x:row r="79">
      <x:c r="A79" s="1" t="n">
        <x:v>77</x:v>
      </x:c>
      <x:c r="B79" s="27" t="n">
        <x:v>45724</x:v>
      </x:c>
      <x:c r="C79" s="1" t="str">
        <x:v>Icebox</x:v>
      </x:c>
      <x:c r="D79" s="1" t="str">
        <x:v>9th</x:v>
      </x:c>
      <x:c r="E79" s="1" t="str">
        <x:v>Sage</x:v>
      </x:c>
      <x:c r="F79" s="1" t="str">
        <x:v>Sentinel</x:v>
      </x:c>
      <x:c r="G79" s="1" t="n">
        <x:v>9</x:v>
      </x:c>
      <x:c r="H79" s="1" t="n">
        <x:f t="shared" si="8"/>
        <x:v>13</x:v>
      </x:c>
      <x:c r="I79" s="1" t="str">
        <x:f t="shared" si="9">IF(G79&gt;H79,"Win",IF(G79&lt;H79,"Loss","Draw"))</x:f>
        <x:v>Loss</x:v>
      </x:c>
      <x:c r="J79" s="1" t="n">
        <x:f t="shared" si="10">IF(I79="Win",1,IF(I79="Loss",0,""))</x:f>
        <x:v>0</x:v>
      </x:c>
      <x:c r="K79" s="1" t="n">
        <x:f t="shared" si="11">G79-H79</x:f>
        <x:v>-4</x:v>
      </x:c>
      <x:c r="L79" s="1" t="n">
        <x:f>G79+H79</x:f>
        <x:v>22</x:v>
      </x:c>
      <x:c r="M79" s="1" t="n">
        <x:v>9</x:v>
      </x:c>
      <x:c r="N79" s="1" t="n">
        <x:v>17</x:v>
      </x:c>
      <x:c r="O79" s="3" t="n">
        <x:f t="shared" si="12"/>
        <x:v>8</x:v>
      </x:c>
      <x:c r="P79" s="22" t="n">
        <x:f t="shared" si="13">IF(N79=0,"",M79/N79)</x:f>
        <x:v>0.5294117647058824</x:v>
      </x:c>
      <x:c r="Q79" s="22" t="n">
        <x:f t="shared" si="14">IF(L79=0,"",M79/L79)</x:f>
        <x:v>0.4090909090909091</x:v>
      </x:c>
      <x:c r="R79" s="22" t="n">
        <x:f t="shared" si="15">IF(L79=0,"",N79/L79)</x:f>
        <x:v>0.7727272727272727</x:v>
      </x:c>
      <x:c r="S79" s="22" t="n">
        <x:f>IF(L79=0,"",O79/L79)</x:f>
        <x:v>0.36363636363636365</x:v>
      </x:c>
      <x:c r="T79" s="24" t="n">
        <x:v>-58</x:v>
      </x:c>
      <x:c r="U79" s="26" t="n">
        <x:v>0.06</x:v>
      </x:c>
      <x:c r="V79" s="24" t="n">
        <x:v>117</x:v>
      </x:c>
      <x:c r="W79"/>
      <x:c r="X79"/>
    </x:row>
    <x:row r="80">
      <x:c r="A80" s="1" t="n">
        <x:v>78</x:v>
      </x:c>
      <x:c r="B80" s="27" t="n">
        <x:v>45725</x:v>
      </x:c>
      <x:c r="C80" s="1" t="str">
        <x:v>Lotus</x:v>
      </x:c>
      <x:c r="D80" s="1" t="str">
        <x:v>7th</x:v>
      </x:c>
      <x:c r="E80" s="1" t="str">
        <x:v>Sage</x:v>
      </x:c>
      <x:c r="F80" s="1" t="str">
        <x:v>Sentinel</x:v>
      </x:c>
      <x:c r="G80" s="1" t="n">
        <x:v>13</x:v>
      </x:c>
      <x:c r="H80" s="1" t="n">
        <x:f t="shared" si="8"/>
        <x:v>10</x:v>
      </x:c>
      <x:c r="I80" s="1" t="str">
        <x:f t="shared" si="9">IF(G80&gt;H80,"Win",IF(G80&lt;H80,"Loss","Draw"))</x:f>
        <x:v>Win</x:v>
      </x:c>
      <x:c r="J80" s="1" t="n">
        <x:f t="shared" si="10">IF(I80="Win",1,IF(I80="Loss",0,""))</x:f>
        <x:v>1</x:v>
      </x:c>
      <x:c r="K80" s="1" t="n">
        <x:f t="shared" si="11">G80-H80</x:f>
        <x:v>3</x:v>
      </x:c>
      <x:c r="L80" s="1" t="n">
        <x:f>G80+H80</x:f>
        <x:v>23</x:v>
      </x:c>
      <x:c r="M80" s="1" t="n">
        <x:v>15</x:v>
      </x:c>
      <x:c r="N80" s="1" t="n">
        <x:v>14</x:v>
      </x:c>
      <x:c r="O80" s="3" t="n">
        <x:f t="shared" si="12"/>
        <x:v>9</x:v>
      </x:c>
      <x:c r="P80" s="22" t="n">
        <x:f t="shared" si="13">IF(N80=0,"",M80/N80)</x:f>
        <x:v>1.0714285714285714</x:v>
      </x:c>
      <x:c r="Q80" s="22" t="n">
        <x:f t="shared" si="14">IF(L80=0,"",M80/L80)</x:f>
        <x:v>0.6521739130434783</x:v>
      </x:c>
      <x:c r="R80" s="22" t="n">
        <x:f t="shared" si="15">IF(L80=0,"",N80/L80)</x:f>
        <x:v>0.6086956521739131</x:v>
      </x:c>
      <x:c r="S80" s="22" t="n">
        <x:f>IF(L80=0,"",O80/L80)</x:f>
        <x:v>0.391304347826087</x:v>
      </x:c>
      <x:c r="T80" s="24" t="n">
        <x:v>8</x:v>
      </x:c>
      <x:c r="U80" s="26" t="n">
        <x:v>0.09</x:v>
      </x:c>
      <x:c r="V80" s="24" t="n">
        <x:v>189</x:v>
      </x:c>
      <x:c r="W80"/>
      <x:c r="X80"/>
    </x:row>
    <x:row r="81">
      <x:c r="A81" s="1" t="n">
        <x:v>79</x:v>
      </x:c>
      <x:c r="B81" s="27" t="n">
        <x:v>45725</x:v>
      </x:c>
      <x:c r="C81" s="1" t="str">
        <x:v>Ascent</x:v>
      </x:c>
      <x:c r="D81" s="1" t="str">
        <x:v>8th</x:v>
      </x:c>
      <x:c r="E81" s="1" t="str">
        <x:v>Sage</x:v>
      </x:c>
      <x:c r="F81" s="1" t="str">
        <x:v>Sentinel</x:v>
      </x:c>
      <x:c r="G81" s="1" t="n">
        <x:v>12</x:v>
      </x:c>
      <x:c r="H81" s="1" t="n">
        <x:f t="shared" si="8"/>
        <x:v>14</x:v>
      </x:c>
      <x:c r="I81" s="1" t="str">
        <x:f t="shared" si="9">IF(G81&gt;H81,"Win",IF(G81&lt;H81,"Loss","Draw"))</x:f>
        <x:v>Loss</x:v>
      </x:c>
      <x:c r="J81" s="1" t="n">
        <x:f t="shared" si="10">IF(I81="Win",1,IF(I81="Loss",0,""))</x:f>
        <x:v>0</x:v>
      </x:c>
      <x:c r="K81" s="1" t="n">
        <x:f t="shared" si="11">G81-H81</x:f>
        <x:v>-2</x:v>
      </x:c>
      <x:c r="L81" s="1" t="n">
        <x:f>G81+H81</x:f>
        <x:v>26</x:v>
      </x:c>
      <x:c r="M81" s="1" t="n">
        <x:v>13</x:v>
      </x:c>
      <x:c r="N81" s="1" t="n">
        <x:v>17</x:v>
      </x:c>
      <x:c r="O81" s="3" t="n">
        <x:f t="shared" si="12"/>
        <x:v>10</x:v>
      </x:c>
      <x:c r="P81" s="22" t="n">
        <x:f t="shared" si="13">IF(N81=0,"",M81/N81)</x:f>
        <x:v>0.7647058823529411</x:v>
      </x:c>
      <x:c r="Q81" s="22" t="n">
        <x:f t="shared" si="14">IF(L81=0,"",M81/L81)</x:f>
        <x:v>0.5</x:v>
      </x:c>
      <x:c r="R81" s="22" t="n">
        <x:f t="shared" si="15">IF(L81=0,"",N81/L81)</x:f>
        <x:v>0.6538461538461539</x:v>
      </x:c>
      <x:c r="S81" s="22" t="n">
        <x:f>IF(L81=0,"",O81/L81)</x:f>
        <x:v>0.38461538461538464</x:v>
      </x:c>
      <x:c r="T81" s="24" t="n">
        <x:v>-48</x:v>
      </x:c>
      <x:c r="U81" s="26" t="n">
        <x:v>0.09</x:v>
      </x:c>
      <x:c r="V81" s="24" t="n">
        <x:v>143</x:v>
      </x:c>
      <x:c r="W81"/>
      <x:c r="X81"/>
    </x:row>
    <x:row r="82">
      <x:c r="A82" s="1" t="n">
        <x:v>80</x:v>
      </x:c>
      <x:c r="B82" s="27" t="n">
        <x:v>45726</x:v>
      </x:c>
      <x:c r="C82" s="1" t="str">
        <x:v>Pearl</x:v>
      </x:c>
      <x:c r="D82" s="1" t="str">
        <x:v>9th</x:v>
      </x:c>
      <x:c r="E82" s="1" t="str">
        <x:v>Sage</x:v>
      </x:c>
      <x:c r="F82" s="1" t="str">
        <x:v>Sentinel</x:v>
      </x:c>
      <x:c r="G82" s="1" t="n">
        <x:v>13</x:v>
      </x:c>
      <x:c r="H82" s="1" t="n">
        <x:f t="shared" si="8"/>
        <x:v>10</x:v>
      </x:c>
      <x:c r="I82" s="1" t="str">
        <x:f t="shared" si="9">IF(G82&gt;H82,"Win",IF(G82&lt;H82,"Loss","Draw"))</x:f>
        <x:v>Win</x:v>
      </x:c>
      <x:c r="J82" s="1" t="n">
        <x:f t="shared" si="10">IF(I82="Win",1,IF(I82="Loss",0,""))</x:f>
        <x:v>1</x:v>
      </x:c>
      <x:c r="K82" s="1" t="n">
        <x:f t="shared" si="11">G82-H82</x:f>
        <x:v>3</x:v>
      </x:c>
      <x:c r="L82" s="1" t="n">
        <x:f>G82+H82</x:f>
        <x:v>23</x:v>
      </x:c>
      <x:c r="M82" s="1" t="n">
        <x:v>12</x:v>
      </x:c>
      <x:c r="N82" s="1" t="n">
        <x:v>12</x:v>
      </x:c>
      <x:c r="O82" s="3" t="n">
        <x:f t="shared" si="12"/>
        <x:v>9</x:v>
      </x:c>
      <x:c r="P82" s="22" t="n">
        <x:f t="shared" si="13">IF(N82=0,"",M82/N82)</x:f>
        <x:v>1</x:v>
      </x:c>
      <x:c r="Q82" s="22" t="n">
        <x:f t="shared" si="14">IF(L82=0,"",M82/L82)</x:f>
        <x:v>0.5217391304347826</x:v>
      </x:c>
      <x:c r="R82" s="22" t="n">
        <x:f t="shared" si="15">IF(L82=0,"",N82/L82)</x:f>
        <x:v>0.5217391304347826</x:v>
      </x:c>
      <x:c r="S82" s="22" t="n">
        <x:f>IF(L82=0,"",O82/L82)</x:f>
        <x:v>0.391304347826087</x:v>
      </x:c>
      <x:c r="T82" s="24" t="n">
        <x:v>6</x:v>
      </x:c>
      <x:c r="U82" s="26" t="n">
        <x:v>0.05</x:v>
      </x:c>
      <x:c r="V82" s="24" t="n">
        <x:v>162</x:v>
      </x:c>
      <x:c r="W82"/>
      <x:c r="X82"/>
    </x:row>
    <x:row r="83">
      <x:c r="A83" s="1" t="n">
        <x:v>81</x:v>
      </x:c>
      <x:c r="B83" s="27" t="n">
        <x:v>45727</x:v>
      </x:c>
      <x:c r="C83" s="1" t="str">
        <x:v>Split</x:v>
      </x:c>
      <x:c r="D83" s="1" t="str">
        <x:v>10th</x:v>
      </x:c>
      <x:c r="E83" s="1" t="str">
        <x:v>Sage</x:v>
      </x:c>
      <x:c r="F83" s="1" t="str">
        <x:v>Sentinel</x:v>
      </x:c>
      <x:c r="G83" s="1" t="n">
        <x:v>7</x:v>
      </x:c>
      <x:c r="H83" s="1" t="n">
        <x:f t="shared" si="8"/>
        <x:v>13</x:v>
      </x:c>
      <x:c r="I83" s="1" t="str">
        <x:f t="shared" si="9">IF(G83&gt;H83,"Win",IF(G83&lt;H83,"Loss","Draw"))</x:f>
        <x:v>Loss</x:v>
      </x:c>
      <x:c r="J83" s="1" t="n">
        <x:f t="shared" si="10">IF(I83="Win",1,IF(I83="Loss",0,""))</x:f>
        <x:v>0</x:v>
      </x:c>
      <x:c r="K83" s="1" t="n">
        <x:f t="shared" si="11">G83-H83</x:f>
        <x:v>-6</x:v>
      </x:c>
      <x:c r="L83" s="1" t="n">
        <x:f>G83+H83</x:f>
        <x:v>20</x:v>
      </x:c>
      <x:c r="M83" s="1" t="n">
        <x:v>3</x:v>
      </x:c>
      <x:c r="N83" s="1" t="n">
        <x:v>17</x:v>
      </x:c>
      <x:c r="O83" s="3" t="n">
        <x:f t="shared" si="12"/>
        <x:v>9</x:v>
      </x:c>
      <x:c r="P83" s="22" t="n">
        <x:f t="shared" si="13">IF(N83=0,"",M83/N83)</x:f>
        <x:v>0.17647058823529413</x:v>
      </x:c>
      <x:c r="Q83" s="22" t="n">
        <x:f t="shared" si="14">IF(L83=0,"",M83/L83)</x:f>
        <x:v>0.15</x:v>
      </x:c>
      <x:c r="R83" s="22" t="n">
        <x:f t="shared" si="15">IF(L83=0,"",N83/L83)</x:f>
        <x:v>0.85</x:v>
      </x:c>
      <x:c r="S83" s="22" t="n">
        <x:f>IF(L83=0,"",O83/L83)</x:f>
        <x:v>0.45</x:v>
      </x:c>
      <x:c r="T83" s="24" t="n">
        <x:v>-88</x:v>
      </x:c>
      <x:c r="U83" s="26" t="n">
        <x:v>0.03</x:v>
      </x:c>
      <x:c r="V83" s="24" t="n">
        <x:v>74</x:v>
      </x:c>
      <x:c r="W83"/>
      <x:c r="X83"/>
    </x:row>
    <x:row r="84">
      <x:c r="A84" s="1" t="n">
        <x:v>82</x:v>
      </x:c>
      <x:c r="B84" s="27" t="n">
        <x:v>45728</x:v>
      </x:c>
      <x:c r="C84" s="1" t="str">
        <x:v>Split</x:v>
      </x:c>
      <x:c r="D84" s="1" t="str">
        <x:v>10th</x:v>
      </x:c>
      <x:c r="E84" s="1" t="str">
        <x:v>Clove</x:v>
      </x:c>
      <x:c r="F84" s="1" t="str">
        <x:v>Controller</x:v>
      </x:c>
      <x:c r="G84" s="1" t="n">
        <x:v>13</x:v>
      </x:c>
      <x:c r="H84" s="1" t="n">
        <x:f t="shared" si="8"/>
        <x:v>7</x:v>
      </x:c>
      <x:c r="I84" s="1" t="str">
        <x:f t="shared" si="9">IF(G84&gt;H84,"Win",IF(G84&lt;H84,"Loss","Draw"))</x:f>
        <x:v>Win</x:v>
      </x:c>
      <x:c r="J84" s="1" t="n">
        <x:f t="shared" si="10">IF(I84="Win",1,IF(I84="Loss",0,""))</x:f>
        <x:v>1</x:v>
      </x:c>
      <x:c r="K84" s="1" t="n">
        <x:f t="shared" si="11">G84-H84</x:f>
        <x:v>6</x:v>
      </x:c>
      <x:c r="L84" s="1" t="n">
        <x:f>G84+H84</x:f>
        <x:v>20</x:v>
      </x:c>
      <x:c r="M84" s="1" t="n">
        <x:v>7</x:v>
      </x:c>
      <x:c r="N84" s="1" t="n">
        <x:v>14</x:v>
      </x:c>
      <x:c r="O84" s="3" t="n">
        <x:f t="shared" si="12"/>
        <x:v>4</x:v>
      </x:c>
      <x:c r="P84" s="22" t="n">
        <x:f t="shared" si="13">IF(N84=0,"",M84/N84)</x:f>
        <x:v>0.5</x:v>
      </x:c>
      <x:c r="Q84" s="22" t="n">
        <x:f t="shared" si="14">IF(L84=0,"",M84/L84)</x:f>
        <x:v>0.35</x:v>
      </x:c>
      <x:c r="R84" s="22" t="n">
        <x:f t="shared" si="15">IF(L84=0,"",N84/L84)</x:f>
        <x:v>0.7</x:v>
      </x:c>
      <x:c r="S84" s="22" t="n">
        <x:f>IF(L84=0,"",O84/L84)</x:f>
        <x:v>0.2</x:v>
      </x:c>
      <x:c r="T84" s="24" t="n">
        <x:v>-33</x:v>
      </x:c>
      <x:c r="U84" s="26" t="n">
        <x:v>0.05</x:v>
      </x:c>
      <x:c r="V84" s="24" t="n">
        <x:v>100</x:v>
      </x:c>
      <x:c r="W84"/>
      <x:c r="X84"/>
    </x:row>
    <x:row r="85">
      <x:c r="A85" s="1" t="n">
        <x:v>83</x:v>
      </x:c>
      <x:c r="B85" s="27" t="n">
        <x:v>45728</x:v>
      </x:c>
      <x:c r="C85" s="1" t="str">
        <x:v>Ascent</x:v>
      </x:c>
      <x:c r="D85" s="1" t="str">
        <x:v>8th</x:v>
      </x:c>
      <x:c r="E85" s="1" t="str">
        <x:v>Skye</x:v>
      </x:c>
      <x:c r="F85" s="1" t="str">
        <x:v>Initiator</x:v>
      </x:c>
      <x:c r="G85" s="1" t="n">
        <x:v>3</x:v>
      </x:c>
      <x:c r="H85" s="1" t="n">
        <x:f t="shared" si="8"/>
        <x:v>13</x:v>
      </x:c>
      <x:c r="I85" s="1" t="str">
        <x:f t="shared" si="9">IF(G85&gt;H85,"Win",IF(G85&lt;H85,"Loss","Draw"))</x:f>
        <x:v>Loss</x:v>
      </x:c>
      <x:c r="J85" s="1" t="n">
        <x:f t="shared" si="10">IF(I85="Win",1,IF(I85="Loss",0,""))</x:f>
        <x:v>0</x:v>
      </x:c>
      <x:c r="K85" s="1" t="n">
        <x:f t="shared" si="11">G85-H85</x:f>
        <x:v>-10</x:v>
      </x:c>
      <x:c r="L85" s="1" t="n">
        <x:f>G85+H85</x:f>
        <x:v>16</x:v>
      </x:c>
      <x:c r="M85" s="1" t="n">
        <x:v>11</x:v>
      </x:c>
      <x:c r="N85" s="1" t="n">
        <x:v>12</x:v>
      </x:c>
      <x:c r="O85" s="3" t="n">
        <x:f t="shared" si="12"/>
        <x:v>3</x:v>
      </x:c>
      <x:c r="P85" s="22" t="n">
        <x:f t="shared" si="13">IF(N85=0,"",M85/N85)</x:f>
        <x:v>0.9166666666666666</x:v>
      </x:c>
      <x:c r="Q85" s="22" t="n">
        <x:f t="shared" si="14">IF(L85=0,"",M85/L85)</x:f>
        <x:v>0.6875</x:v>
      </x:c>
      <x:c r="R85" s="22" t="n">
        <x:f t="shared" si="15">IF(L85=0,"",N85/L85)</x:f>
        <x:v>0.75</x:v>
      </x:c>
      <x:c r="S85" s="22" t="n">
        <x:f>IF(L85=0,"",O85/L85)</x:f>
        <x:v>0.1875</x:v>
      </x:c>
      <x:c r="T85" s="24" t="n">
        <x:v>-79</x:v>
      </x:c>
      <x:c r="U85" s="26" t="n">
        <x:v>0.04</x:v>
      </x:c>
      <x:c r="V85" s="24" t="n">
        <x:v>165</x:v>
      </x:c>
      <x:c r="W85"/>
      <x:c r="X85"/>
    </x:row>
    <x:row r="86">
      <x:c r="A86" s="1" t="n">
        <x:v>84</x:v>
      </x:c>
      <x:c r="B86" s="27" t="n">
        <x:v>45729</x:v>
      </x:c>
      <x:c r="C86" s="1" t="str">
        <x:v>Pearl</x:v>
      </x:c>
      <x:c r="D86" s="1" t="str">
        <x:v>9th</x:v>
      </x:c>
      <x:c r="E86" s="1" t="str">
        <x:v>Sage</x:v>
      </x:c>
      <x:c r="F86" s="1" t="str">
        <x:v>Sentinel</x:v>
      </x:c>
      <x:c r="G86" s="1" t="n">
        <x:v>14</x:v>
      </x:c>
      <x:c r="H86" s="1" t="n">
        <x:f t="shared" si="8"/>
        <x:v>14</x:v>
      </x:c>
      <x:c r="I86" s="1" t="str">
        <x:f t="shared" si="9">IF(G86&gt;H86,"Win",IF(G86&lt;H86,"Loss","Draw"))</x:f>
        <x:v>Draw</x:v>
      </x:c>
      <x:c r="J86" s="1" t="str">
        <x:f t="shared" si="10">IF(I86="Win",1,IF(I86="Loss",0,""))</x:f>
      </x:c>
      <x:c r="K86" s="1" t="n">
        <x:f t="shared" si="11">G86-H86</x:f>
        <x:v>0</x:v>
      </x:c>
      <x:c r="L86" s="1" t="n">
        <x:f>G86+H86</x:f>
        <x:v>28</x:v>
      </x:c>
      <x:c r="M86" s="1" t="n">
        <x:v>15</x:v>
      </x:c>
      <x:c r="N86" s="1" t="n">
        <x:v>18</x:v>
      </x:c>
      <x:c r="O86" s="3" t="n">
        <x:f t="shared" si="12"/>
        <x:v>9</x:v>
      </x:c>
      <x:c r="P86" s="22" t="n">
        <x:f t="shared" si="13">IF(N86=0,"",M86/N86)</x:f>
        <x:v>0.8333333333333334</x:v>
      </x:c>
      <x:c r="Q86" s="22" t="n">
        <x:f t="shared" si="14">IF(L86=0,"",M86/L86)</x:f>
        <x:v>0.5357142857142857</x:v>
      </x:c>
      <x:c r="R86" s="22" t="n">
        <x:f t="shared" si="15">IF(L86=0,"",N86/L86)</x:f>
        <x:v>0.6428571428571429</x:v>
      </x:c>
      <x:c r="S86" s="22" t="n">
        <x:f>IF(L86=0,"",O86/L86)</x:f>
        <x:v>0.32142857142857145</x:v>
      </x:c>
      <x:c r="T86" s="24" t="n">
        <x:v>-19</x:v>
      </x:c>
      <x:c r="U86" s="26" t="n">
        <x:v>0.11</x:v>
      </x:c>
      <x:c r="V86" s="24" t="n">
        <x:v>155</x:v>
      </x:c>
      <x:c r="W86"/>
      <x:c r="X86"/>
    </x:row>
    <x:row r="87">
      <x:c r="A87" s="1" t="n">
        <x:v>85</x:v>
      </x:c>
      <x:c r="B87" s="27" t="n">
        <x:v>45730</x:v>
      </x:c>
      <x:c r="C87" s="1" t="str">
        <x:v>Ascent</x:v>
      </x:c>
      <x:c r="D87" s="1" t="str">
        <x:v>6th</x:v>
      </x:c>
      <x:c r="E87" s="1" t="str">
        <x:v>Sage</x:v>
      </x:c>
      <x:c r="F87" s="1" t="str">
        <x:v>Sentinel</x:v>
      </x:c>
      <x:c r="G87" s="1" t="n">
        <x:v>5</x:v>
      </x:c>
      <x:c r="H87" s="1" t="n">
        <x:f t="shared" si="8"/>
        <x:v>13</x:v>
      </x:c>
      <x:c r="I87" s="1" t="str">
        <x:f t="shared" si="9">IF(G87&gt;H87,"Win",IF(G87&lt;H87,"Loss","Draw"))</x:f>
        <x:v>Loss</x:v>
      </x:c>
      <x:c r="J87" s="1" t="n">
        <x:f t="shared" si="10">IF(I87="Win",1,IF(I87="Loss",0,""))</x:f>
        <x:v>0</x:v>
      </x:c>
      <x:c r="K87" s="1" t="n">
        <x:f t="shared" si="11">G87-H87</x:f>
        <x:v>-8</x:v>
      </x:c>
      <x:c r="L87" s="1" t="n">
        <x:f>G87+H87</x:f>
        <x:v>18</x:v>
      </x:c>
      <x:c r="M87" s="1" t="n">
        <x:v>14</x:v>
      </x:c>
      <x:c r="N87" s="1" t="n">
        <x:v>14</x:v>
      </x:c>
      <x:c r="O87" s="3" t="n">
        <x:f t="shared" si="12"/>
        <x:v>3</x:v>
      </x:c>
      <x:c r="P87" s="22" t="n">
        <x:f t="shared" si="13">IF(N87=0,"",M87/N87)</x:f>
        <x:v>1</x:v>
      </x:c>
      <x:c r="Q87" s="22" t="n">
        <x:f t="shared" si="14">IF(L87=0,"",M87/L87)</x:f>
        <x:v>0.7777777777777778</x:v>
      </x:c>
      <x:c r="R87" s="22" t="n">
        <x:f t="shared" si="15">IF(L87=0,"",N87/L87)</x:f>
        <x:v>0.7777777777777778</x:v>
      </x:c>
      <x:c r="S87" s="22" t="n">
        <x:f>IF(L87=0,"",O87/L87)</x:f>
        <x:v>0.16666666666666666</x:v>
      </x:c>
      <x:c r="T87" s="24" t="n">
        <x:v>-58</x:v>
      </x:c>
      <x:c r="U87" s="26" t="n">
        <x:v>0.08</x:v>
      </x:c>
      <x:c r="V87" s="24" t="n">
        <x:v>180</x:v>
      </x:c>
      <x:c r="W87"/>
      <x:c r="X87"/>
    </x:row>
    <x:row r="88">
      <x:c r="A88" s="1" t="n">
        <x:v>86</x:v>
      </x:c>
      <x:c r="B88" s="27" t="n">
        <x:v>45730</x:v>
      </x:c>
      <x:c r="C88" s="1" t="str">
        <x:v>Icebox</x:v>
      </x:c>
      <x:c r="D88" s="1" t="str">
        <x:v>2nd</x:v>
      </x:c>
      <x:c r="E88" s="1" t="str">
        <x:v>Sage</x:v>
      </x:c>
      <x:c r="F88" s="1" t="str">
        <x:v>Sentinel</x:v>
      </x:c>
      <x:c r="G88" s="1" t="n">
        <x:v>1</x:v>
      </x:c>
      <x:c r="H88" s="1" t="n">
        <x:f t="shared" si="8"/>
        <x:v>13</x:v>
      </x:c>
      <x:c r="I88" s="1" t="str">
        <x:f t="shared" si="9">IF(G88&gt;H88,"Win",IF(G88&lt;H88,"Loss","Draw"))</x:f>
        <x:v>Loss</x:v>
      </x:c>
      <x:c r="J88" s="1" t="n">
        <x:f t="shared" si="10">IF(I88="Win",1,IF(I88="Loss",0,""))</x:f>
        <x:v>0</x:v>
      </x:c>
      <x:c r="K88" s="1" t="n">
        <x:f t="shared" si="11">G88-H88</x:f>
        <x:v>-12</x:v>
      </x:c>
      <x:c r="L88" s="1" t="n">
        <x:f>G88+H88</x:f>
        <x:v>14</x:v>
      </x:c>
      <x:c r="M88" s="1" t="n">
        <x:v>12</x:v>
      </x:c>
      <x:c r="N88" s="1" t="n">
        <x:v>14</x:v>
      </x:c>
      <x:c r="O88" s="3" t="n">
        <x:f t="shared" si="12"/>
        <x:v>2</x:v>
      </x:c>
      <x:c r="P88" s="22" t="n">
        <x:f t="shared" si="13">IF(N88=0,"",M88/N88)</x:f>
        <x:v>0.8571428571428571</x:v>
      </x:c>
      <x:c r="Q88" s="22" t="n">
        <x:f t="shared" si="14">IF(L88=0,"",M88/L88)</x:f>
        <x:v>0.8571428571428571</x:v>
      </x:c>
      <x:c r="R88" s="22" t="n">
        <x:f t="shared" si="15">IF(L88=0,"",N88/L88)</x:f>
        <x:v>1</x:v>
      </x:c>
      <x:c r="S88" s="22" t="n">
        <x:f>IF(L88=0,"",O88/L88)</x:f>
        <x:v>0.14285714285714285</x:v>
      </x:c>
      <x:c r="T88" s="24" t="n">
        <x:v>-28</x:v>
      </x:c>
      <x:c r="U88" s="26" t="n">
        <x:v>0.05</x:v>
      </x:c>
      <x:c r="V88" s="24" t="n">
        <x:v>269</x:v>
      </x:c>
      <x:c r="W88"/>
      <x:c r="X88"/>
    </x:row>
    <x:row r="89">
      <x:c r="A89" s="1" t="n">
        <x:v>87</x:v>
      </x:c>
      <x:c r="B89" s="27" t="n">
        <x:v>45731</x:v>
      </x:c>
      <x:c r="C89" s="1" t="str">
        <x:v>Split</x:v>
      </x:c>
      <x:c r="D89" s="1" t="str">
        <x:v>8th</x:v>
      </x:c>
      <x:c r="E89" s="1" t="str">
        <x:v>Sage</x:v>
      </x:c>
      <x:c r="F89" s="1" t="str">
        <x:v>Sentinel</x:v>
      </x:c>
      <x:c r="G89" s="1" t="n">
        <x:v>14</x:v>
      </x:c>
      <x:c r="H89" s="1" t="n">
        <x:f t="shared" si="8"/>
        <x:v>12</x:v>
      </x:c>
      <x:c r="I89" s="1" t="str">
        <x:f t="shared" si="9">IF(G89&gt;H89,"Win",IF(G89&lt;H89,"Loss","Draw"))</x:f>
        <x:v>Win</x:v>
      </x:c>
      <x:c r="J89" s="1" t="n">
        <x:f t="shared" si="10">IF(I89="Win",1,IF(I89="Loss",0,""))</x:f>
        <x:v>1</x:v>
      </x:c>
      <x:c r="K89" s="1" t="n">
        <x:f t="shared" si="11">G89-H89</x:f>
        <x:v>2</x:v>
      </x:c>
      <x:c r="L89" s="1" t="n">
        <x:f>G89+H89</x:f>
        <x:v>26</x:v>
      </x:c>
      <x:c r="M89" s="1" t="n">
        <x:v>10</x:v>
      </x:c>
      <x:c r="N89" s="1" t="n">
        <x:v>17</x:v>
      </x:c>
      <x:c r="O89" s="3" t="n">
        <x:f t="shared" si="12"/>
        <x:v>9</x:v>
      </x:c>
      <x:c r="P89" s="22" t="n">
        <x:f t="shared" si="13">IF(N89=0,"",M89/N89)</x:f>
        <x:v>0.5882352941176471</x:v>
      </x:c>
      <x:c r="Q89" s="22" t="n">
        <x:f t="shared" si="14">IF(L89=0,"",M89/L89)</x:f>
        <x:v>0.38461538461538464</x:v>
      </x:c>
      <x:c r="R89" s="22" t="n">
        <x:f t="shared" si="15">IF(L89=0,"",N89/L89)</x:f>
        <x:v>0.6538461538461539</x:v>
      </x:c>
      <x:c r="S89" s="22" t="n">
        <x:f>IF(L89=0,"",O89/L89)</x:f>
        <x:v>0.34615384615384615</x:v>
      </x:c>
      <x:c r="T89" s="24" t="n">
        <x:v>-25</x:v>
      </x:c>
      <x:c r="U89" s="26" t="n">
        <x:v>0.02</x:v>
      </x:c>
      <x:c r="V89" s="24" t="n">
        <x:v>132</x:v>
      </x:c>
      <x:c r="W89"/>
      <x:c r="X89"/>
    </x:row>
    <x:row r="90">
      <x:c r="A90" s="1" t="n">
        <x:v>88</x:v>
      </x:c>
      <x:c r="B90" s="27" t="n">
        <x:v>45731</x:v>
      </x:c>
      <x:c r="C90" s="1" t="str">
        <x:v>Lotus</x:v>
      </x:c>
      <x:c r="D90" s="1" t="str">
        <x:v>7th</x:v>
      </x:c>
      <x:c r="E90" s="1" t="str">
        <x:v>Breach</x:v>
      </x:c>
      <x:c r="F90" s="1" t="str">
        <x:v>Initiator</x:v>
      </x:c>
      <x:c r="G90" s="1" t="n">
        <x:v>13</x:v>
      </x:c>
      <x:c r="H90" s="1" t="n">
        <x:f t="shared" si="8"/>
        <x:v>8</x:v>
      </x:c>
      <x:c r="I90" s="1" t="str">
        <x:f t="shared" si="9">IF(G90&gt;H90,"Win",IF(G90&lt;H90,"Loss","Draw"))</x:f>
        <x:v>Win</x:v>
      </x:c>
      <x:c r="J90" s="1" t="n">
        <x:f t="shared" si="10">IF(I90="Win",1,IF(I90="Loss",0,""))</x:f>
        <x:v>1</x:v>
      </x:c>
      <x:c r="K90" s="1" t="n">
        <x:f t="shared" si="11">G90-H90</x:f>
        <x:v>5</x:v>
      </x:c>
      <x:c r="L90" s="1" t="n">
        <x:f>G90+H90</x:f>
        <x:v>21</x:v>
      </x:c>
      <x:c r="M90" s="1" t="n">
        <x:v>12</x:v>
      </x:c>
      <x:c r="N90" s="1" t="n">
        <x:v>11</x:v>
      </x:c>
      <x:c r="O90" s="3" t="n">
        <x:f t="shared" si="12"/>
        <x:v>5</x:v>
      </x:c>
      <x:c r="P90" s="22" t="n">
        <x:f t="shared" si="13">IF(N90=0,"",M90/N90)</x:f>
        <x:v>1.0909090909090908</x:v>
      </x:c>
      <x:c r="Q90" s="22" t="n">
        <x:f t="shared" si="14">IF(L90=0,"",M90/L90)</x:f>
        <x:v>0.5714285714285714</x:v>
      </x:c>
      <x:c r="R90" s="22" t="n">
        <x:f t="shared" si="15">IF(L90=0,"",N90/L90)</x:f>
        <x:v>0.5238095238095238</x:v>
      </x:c>
      <x:c r="S90" s="22" t="n">
        <x:f>IF(L90=0,"",O90/L90)</x:f>
        <x:v>0.23809523809523808</x:v>
      </x:c>
      <x:c r="T90" s="24" t="n">
        <x:v>40</x:v>
      </x:c>
      <x:c r="U90" s="26" t="n">
        <x:v>0.06</x:v>
      </x:c>
      <x:c r="V90" s="24" t="n">
        <x:v>174</x:v>
      </x:c>
      <x:c r="W90"/>
      <x:c r="X90"/>
    </x:row>
    <x:row r="91">
      <x:c r="A91" s="1" t="n">
        <x:v>89</x:v>
      </x:c>
      <x:c r="B91" s="27" t="n">
        <x:v>45731</x:v>
      </x:c>
      <x:c r="C91" s="1" t="str">
        <x:v>Pearl</x:v>
      </x:c>
      <x:c r="D91" s="1" t="str">
        <x:v>4th</x:v>
      </x:c>
      <x:c r="E91" s="1" t="str">
        <x:v>Sage</x:v>
      </x:c>
      <x:c r="F91" s="1" t="str">
        <x:v>Sentinel</x:v>
      </x:c>
      <x:c r="G91" s="1" t="n">
        <x:v>13</x:v>
      </x:c>
      <x:c r="H91" s="1" t="n">
        <x:f t="shared" si="8"/>
        <x:v>7</x:v>
      </x:c>
      <x:c r="I91" s="1" t="str">
        <x:f t="shared" si="9">IF(G91&gt;H91,"Win",IF(G91&lt;H91,"Loss","Draw"))</x:f>
        <x:v>Win</x:v>
      </x:c>
      <x:c r="J91" s="1" t="n">
        <x:f t="shared" si="10">IF(I91="Win",1,IF(I91="Loss",0,""))</x:f>
        <x:v>1</x:v>
      </x:c>
      <x:c r="K91" s="1" t="n">
        <x:f t="shared" si="11">G91-H91</x:f>
        <x:v>6</x:v>
      </x:c>
      <x:c r="L91" s="1" t="n">
        <x:f>G91+H91</x:f>
        <x:v>20</x:v>
      </x:c>
      <x:c r="M91" s="1" t="n">
        <x:v>17</x:v>
      </x:c>
      <x:c r="N91" s="1" t="n">
        <x:v>11</x:v>
      </x:c>
      <x:c r="O91" s="3" t="n">
        <x:f t="shared" si="12"/>
        <x:v>8</x:v>
      </x:c>
      <x:c r="P91" s="22" t="n">
        <x:f t="shared" si="13">IF(N91=0,"",M91/N91)</x:f>
        <x:v>1.5454545454545454</x:v>
      </x:c>
      <x:c r="Q91" s="22" t="n">
        <x:f t="shared" si="14">IF(L91=0,"",M91/L91)</x:f>
        <x:v>0.85</x:v>
      </x:c>
      <x:c r="R91" s="22" t="n">
        <x:f t="shared" si="15">IF(L91=0,"",N91/L91)</x:f>
        <x:v>0.55</x:v>
      </x:c>
      <x:c r="S91" s="22" t="n">
        <x:f>IF(L91=0,"",O91/L91)</x:f>
        <x:v>0.4</x:v>
      </x:c>
      <x:c r="T91" s="24" t="n">
        <x:v>33</x:v>
      </x:c>
      <x:c r="U91" s="26" t="n">
        <x:v>0.04</x:v>
      </x:c>
      <x:c r="V91" s="24" t="n">
        <x:v>237</x:v>
      </x:c>
      <x:c r="W91"/>
      <x:c r="X91"/>
    </x:row>
    <x:row r="92">
      <x:c r="A92" s="1" t="n">
        <x:v>90</x:v>
      </x:c>
      <x:c r="B92" s="27" t="n">
        <x:v>45731</x:v>
      </x:c>
      <x:c r="C92" s="1" t="str">
        <x:v>Ascent</x:v>
      </x:c>
      <x:c r="D92" s="1" t="str">
        <x:v>6th</x:v>
      </x:c>
      <x:c r="E92" s="1" t="str">
        <x:v>Sage</x:v>
      </x:c>
      <x:c r="F92" s="1" t="str">
        <x:v>Sentinel</x:v>
      </x:c>
      <x:c r="G92" s="1" t="n">
        <x:v>13</x:v>
      </x:c>
      <x:c r="H92" s="1" t="n">
        <x:f t="shared" si="8"/>
        <x:v>7</x:v>
      </x:c>
      <x:c r="I92" s="1" t="str">
        <x:f t="shared" si="9">IF(G92&gt;H92,"Win",IF(G92&lt;H92,"Loss","Draw"))</x:f>
        <x:v>Win</x:v>
      </x:c>
      <x:c r="J92" s="1" t="n">
        <x:f t="shared" si="10">IF(I92="Win",1,IF(I92="Loss",0,""))</x:f>
        <x:v>1</x:v>
      </x:c>
      <x:c r="K92" s="1" t="n">
        <x:f t="shared" si="11">G92-H92</x:f>
        <x:v>6</x:v>
      </x:c>
      <x:c r="L92" s="1" t="n">
        <x:f>G92+H92</x:f>
        <x:v>20</x:v>
      </x:c>
      <x:c r="M92" s="1" t="n">
        <x:v>13</x:v>
      </x:c>
      <x:c r="N92" s="1" t="n">
        <x:v>11</x:v>
      </x:c>
      <x:c r="O92" s="3" t="n">
        <x:f t="shared" si="12"/>
        <x:v>5</x:v>
      </x:c>
      <x:c r="P92" s="22" t="n">
        <x:f t="shared" si="13">IF(N92=0,"",M92/N92)</x:f>
        <x:v>1.1818181818181819</x:v>
      </x:c>
      <x:c r="Q92" s="22" t="n">
        <x:f t="shared" si="14">IF(L92=0,"",M92/L92)</x:f>
        <x:v>0.65</x:v>
      </x:c>
      <x:c r="R92" s="22" t="n">
        <x:f t="shared" si="15">IF(L92=0,"",N92/L92)</x:f>
        <x:v>0.55</x:v>
      </x:c>
      <x:c r="S92" s="22" t="n">
        <x:f>IF(L92=0,"",O92/L92)</x:f>
        <x:v>0.25</x:v>
      </x:c>
      <x:c r="T92" s="24" t="n">
        <x:v>-1</x:v>
      </x:c>
      <x:c r="U92" s="26" t="n">
        <x:v>0.09</x:v>
      </x:c>
      <x:c r="V92" s="24" t="n">
        <x:v>178</x:v>
      </x:c>
      <x:c r="W92"/>
      <x:c r="X92"/>
    </x:row>
    <x:row r="93">
      <x:c r="A93" s="1" t="n">
        <x:v>91</x:v>
      </x:c>
      <x:c r="B93" s="27" t="n">
        <x:v>45731</x:v>
      </x:c>
      <x:c r="C93" s="1" t="str">
        <x:v>Fracture</x:v>
      </x:c>
      <x:c r="D93" s="1" t="str">
        <x:v>10th</x:v>
      </x:c>
      <x:c r="E93" s="1" t="str">
        <x:v>Clove</x:v>
      </x:c>
      <x:c r="F93" s="1" t="str">
        <x:v>Controller</x:v>
      </x:c>
      <x:c r="G93" s="1" t="n">
        <x:v>13</x:v>
      </x:c>
      <x:c r="H93" s="1" t="n">
        <x:f t="shared" si="8"/>
        <x:v>10</x:v>
      </x:c>
      <x:c r="I93" s="1" t="str">
        <x:f t="shared" si="9">IF(G93&gt;H93,"Win",IF(G93&lt;H93,"Loss","Draw"))</x:f>
        <x:v>Win</x:v>
      </x:c>
      <x:c r="J93" s="1" t="n">
        <x:f t="shared" si="10">IF(I93="Win",1,IF(I93="Loss",0,""))</x:f>
        <x:v>1</x:v>
      </x:c>
      <x:c r="K93" s="1" t="n">
        <x:f t="shared" si="11">G93-H93</x:f>
        <x:v>3</x:v>
      </x:c>
      <x:c r="L93" s="1" t="n">
        <x:f>G93+H93</x:f>
        <x:v>23</x:v>
      </x:c>
      <x:c r="M93" s="1" t="n">
        <x:v>14</x:v>
      </x:c>
      <x:c r="N93" s="1" t="n">
        <x:v>17</x:v>
      </x:c>
      <x:c r="O93" s="3" t="n">
        <x:f t="shared" si="12"/>
        <x:v>6</x:v>
      </x:c>
      <x:c r="P93" s="22" t="n">
        <x:f t="shared" si="13">IF(N93=0,"",M93/N93)</x:f>
        <x:v>0.8235294117647058</x:v>
      </x:c>
      <x:c r="Q93" s="22" t="n">
        <x:f t="shared" si="14">IF(L93=0,"",M93/L93)</x:f>
        <x:v>0.6086956521739131</x:v>
      </x:c>
      <x:c r="R93" s="22" t="n">
        <x:f t="shared" si="15">IF(L93=0,"",N93/L93)</x:f>
        <x:v>0.7391304347826086</x:v>
      </x:c>
      <x:c r="S93" s="22" t="n">
        <x:f>IF(L93=0,"",O93/L93)</x:f>
        <x:v>0.2608695652173913</x:v>
      </x:c>
      <x:c r="T93" s="24" t="n">
        <x:v>-25</x:v>
      </x:c>
      <x:c r="U93" s="26" t="n">
        <x:v>0.08</x:v>
      </x:c>
      <x:c r="V93" s="24" t="n">
        <x:v>175</x:v>
      </x:c>
      <x:c r="W93"/>
      <x:c r="X93"/>
    </x:row>
    <x:row r="94">
      <x:c r="A94" s="1" t="n">
        <x:v>92</x:v>
      </x:c>
      <x:c r="B94" s="27" t="n">
        <x:v>45732</x:v>
      </x:c>
      <x:c r="C94" s="1" t="str">
        <x:v>Ascent</x:v>
      </x:c>
      <x:c r="D94" s="1" t="str">
        <x:v>8th</x:v>
      </x:c>
      <x:c r="E94" s="1" t="str">
        <x:v>Sage</x:v>
      </x:c>
      <x:c r="F94" s="1" t="str">
        <x:v>Sentinel</x:v>
      </x:c>
      <x:c r="G94" s="1" t="n">
        <x:v>0</x:v>
      </x:c>
      <x:c r="H94" s="1" t="n">
        <x:f t="shared" si="8"/>
        <x:v>6</x:v>
      </x:c>
      <x:c r="I94" s="1" t="str">
        <x:f t="shared" si="9">IF(G94&gt;H94,"Win",IF(G94&lt;H94,"Loss","Draw"))</x:f>
        <x:v>Loss</x:v>
      </x:c>
      <x:c r="J94" s="1" t="n">
        <x:f t="shared" si="10">IF(I94="Win",1,IF(I94="Loss",0,""))</x:f>
        <x:v>0</x:v>
      </x:c>
      <x:c r="K94" s="1" t="n">
        <x:f t="shared" si="11">G94-H94</x:f>
        <x:v>-6</x:v>
      </x:c>
      <x:c r="L94" s="1" t="n">
        <x:f>G94+H94</x:f>
        <x:v>6</x:v>
      </x:c>
      <x:c r="M94" s="1" t="n">
        <x:v>2</x:v>
      </x:c>
      <x:c r="N94" s="1" t="n">
        <x:v>6</x:v>
      </x:c>
      <x:c r="O94" s="3" t="n">
        <x:f t="shared" si="12"/>
        <x:v>2</x:v>
      </x:c>
      <x:c r="P94" s="22" t="n">
        <x:f t="shared" si="13">IF(N94=0,"",M94/N94)</x:f>
        <x:v>0.3333333333333333</x:v>
      </x:c>
      <x:c r="Q94" s="22" t="n">
        <x:f t="shared" si="14">IF(L94=0,"",M94/L94)</x:f>
        <x:v>0.3333333333333333</x:v>
      </x:c>
      <x:c r="R94" s="22" t="n">
        <x:f t="shared" si="15">IF(L94=0,"",N94/L94)</x:f>
        <x:v>1</x:v>
      </x:c>
      <x:c r="S94" s="22" t="n">
        <x:f>IF(L94=0,"",O94/L94)</x:f>
        <x:v>0.3333333333333333</x:v>
      </x:c>
      <x:c r="T94" s="24" t="n">
        <x:v>-60</x:v>
      </x:c>
      <x:c r="U94" s="26" t="n">
        <x:v>0.06</x:v>
      </x:c>
      <x:c r="V94" s="24" t="n">
        <x:v>141</x:v>
      </x:c>
      <x:c r="W94"/>
      <x:c r="X94"/>
    </x:row>
    <x:row r="95">
      <x:c r="A95" s="1" t="n">
        <x:v>93</x:v>
      </x:c>
      <x:c r="B95" s="27" t="n">
        <x:v>45732</x:v>
      </x:c>
      <x:c r="C95" s="1" t="str">
        <x:v>Icebox</x:v>
      </x:c>
      <x:c r="D95" s="1" t="str">
        <x:v>4th</x:v>
      </x:c>
      <x:c r="E95" s="1" t="str">
        <x:v>Sage</x:v>
      </x:c>
      <x:c r="F95" s="1" t="str">
        <x:v>Sentinel</x:v>
      </x:c>
      <x:c r="G95" s="1" t="n">
        <x:v>3</x:v>
      </x:c>
      <x:c r="H95" s="1" t="n">
        <x:f t="shared" si="8"/>
        <x:v>13</x:v>
      </x:c>
      <x:c r="I95" s="1" t="str">
        <x:f t="shared" si="9">IF(G95&gt;H95,"Win",IF(G95&lt;H95,"Loss","Draw"))</x:f>
        <x:v>Loss</x:v>
      </x:c>
      <x:c r="J95" s="1" t="n">
        <x:f t="shared" si="10">IF(I95="Win",1,IF(I95="Loss",0,""))</x:f>
        <x:v>0</x:v>
      </x:c>
      <x:c r="K95" s="1" t="n">
        <x:f t="shared" si="11">G95-H95</x:f>
        <x:v>-10</x:v>
      </x:c>
      <x:c r="L95" s="1" t="n">
        <x:f>G95+H95</x:f>
        <x:v>16</x:v>
      </x:c>
      <x:c r="M95" s="1" t="n">
        <x:v>10</x:v>
      </x:c>
      <x:c r="N95" s="1" t="n">
        <x:v>15</x:v>
      </x:c>
      <x:c r="O95" s="3" t="n">
        <x:f t="shared" si="12"/>
        <x:v>5</x:v>
      </x:c>
      <x:c r="P95" s="22" t="n">
        <x:f t="shared" si="13">IF(N95=0,"",M95/N95)</x:f>
        <x:v>0.6666666666666666</x:v>
      </x:c>
      <x:c r="Q95" s="22" t="n">
        <x:f t="shared" si="14">IF(L95=0,"",M95/L95)</x:f>
        <x:v>0.625</x:v>
      </x:c>
      <x:c r="R95" s="22" t="n">
        <x:f t="shared" si="15">IF(L95=0,"",N95/L95)</x:f>
        <x:v>0.9375</x:v>
      </x:c>
      <x:c r="S95" s="22" t="n">
        <x:f>IF(L95=0,"",O95/L95)</x:f>
        <x:v>0.3125</x:v>
      </x:c>
      <x:c r="T95" s="24" t="n">
        <x:v>-58</x:v>
      </x:c>
      <x:c r="U95" s="26" t="n">
        <x:v>0.08</x:v>
      </x:c>
      <x:c r="V95" s="24" t="n">
        <x:v>198</x:v>
      </x:c>
      <x:c r="W95"/>
      <x:c r="X95"/>
    </x:row>
    <x:row r="96">
      <x:c r="A96" s="1" t="n">
        <x:v>94</x:v>
      </x:c>
      <x:c r="B96" s="27" t="n">
        <x:v>45732</x:v>
      </x:c>
      <x:c r="C96" s="1" t="str">
        <x:v>Lotus</x:v>
      </x:c>
      <x:c r="D96" s="1" t="str">
        <x:v>7th</x:v>
      </x:c>
      <x:c r="E96" s="1" t="str">
        <x:v>Breach</x:v>
      </x:c>
      <x:c r="F96" s="1" t="str">
        <x:v>Initiator</x:v>
      </x:c>
      <x:c r="G96" s="1" t="n">
        <x:v>13</x:v>
      </x:c>
      <x:c r="H96" s="1" t="n">
        <x:f t="shared" si="8"/>
        <x:v>7</x:v>
      </x:c>
      <x:c r="I96" s="1" t="str">
        <x:f t="shared" si="9">IF(G96&gt;H96,"Win",IF(G96&lt;H96,"Loss","Draw"))</x:f>
        <x:v>Win</x:v>
      </x:c>
      <x:c r="J96" s="1" t="n">
        <x:f t="shared" si="10">IF(I96="Win",1,IF(I96="Loss",0,""))</x:f>
        <x:v>1</x:v>
      </x:c>
      <x:c r="K96" s="1" t="n">
        <x:f t="shared" si="11">G96-H96</x:f>
        <x:v>6</x:v>
      </x:c>
      <x:c r="L96" s="1" t="n">
        <x:f>G96+H96</x:f>
        <x:v>20</x:v>
      </x:c>
      <x:c r="M96" s="1" t="n">
        <x:v>12</x:v>
      </x:c>
      <x:c r="N96" s="1" t="n">
        <x:v>11</x:v>
      </x:c>
      <x:c r="O96" s="3" t="n">
        <x:f t="shared" si="12"/>
        <x:v>6</x:v>
      </x:c>
      <x:c r="P96" s="22" t="n">
        <x:f t="shared" si="13">IF(N96=0,"",M96/N96)</x:f>
        <x:v>1.0909090909090908</x:v>
      </x:c>
      <x:c r="Q96" s="22" t="n">
        <x:f t="shared" si="14">IF(L96=0,"",M96/L96)</x:f>
        <x:v>0.6</x:v>
      </x:c>
      <x:c r="R96" s="22" t="n">
        <x:f t="shared" si="15">IF(L96=0,"",N96/L96)</x:f>
        <x:v>0.55</x:v>
      </x:c>
      <x:c r="S96" s="22" t="n">
        <x:f>IF(L96=0,"",O96/L96)</x:f>
        <x:v>0.3</x:v>
      </x:c>
      <x:c r="T96" s="24" t="n">
        <x:v>-1</x:v>
      </x:c>
      <x:c r="U96" s="26" t="n">
        <x:v>0.09</x:v>
      </x:c>
      <x:c r="V96" s="24" t="n">
        <x:v>149</x:v>
      </x:c>
      <x:c r="W96"/>
      <x:c r="X96"/>
    </x:row>
    <x:row r="97">
      <x:c r="A97" s="1" t="n">
        <x:v>95</x:v>
      </x:c>
      <x:c r="B97" s="27" t="n">
        <x:v>45732</x:v>
      </x:c>
      <x:c r="C97" s="1" t="str">
        <x:v>Pearl</x:v>
      </x:c>
      <x:c r="D97" s="1" t="str">
        <x:v>5th</x:v>
      </x:c>
      <x:c r="E97" s="1" t="str">
        <x:v>Sage</x:v>
      </x:c>
      <x:c r="F97" s="1" t="str">
        <x:v>Sentinel</x:v>
      </x:c>
      <x:c r="G97" s="1" t="n">
        <x:v>7</x:v>
      </x:c>
      <x:c r="H97" s="1" t="n">
        <x:f t="shared" si="8"/>
        <x:v>13</x:v>
      </x:c>
      <x:c r="I97" s="1" t="str">
        <x:f t="shared" si="9">IF(G97&gt;H97,"Win",IF(G97&lt;H97,"Loss","Draw"))</x:f>
        <x:v>Loss</x:v>
      </x:c>
      <x:c r="J97" s="1" t="n">
        <x:f t="shared" si="10">IF(I97="Win",1,IF(I97="Loss",0,""))</x:f>
        <x:v>0</x:v>
      </x:c>
      <x:c r="K97" s="1" t="n">
        <x:f t="shared" si="11">G97-H97</x:f>
        <x:v>-6</x:v>
      </x:c>
      <x:c r="L97" s="1" t="n">
        <x:f>G97+H97</x:f>
        <x:v>20</x:v>
      </x:c>
      <x:c r="M97" s="1" t="n">
        <x:v>14</x:v>
      </x:c>
      <x:c r="N97" s="1" t="n">
        <x:v>14</x:v>
      </x:c>
      <x:c r="O97" s="3" t="n">
        <x:f t="shared" si="12"/>
        <x:v>5</x:v>
      </x:c>
      <x:c r="P97" s="22" t="n">
        <x:f t="shared" si="13">IF(N97=0,"",M97/N97)</x:f>
        <x:v>1</x:v>
      </x:c>
      <x:c r="Q97" s="22" t="n">
        <x:f t="shared" si="14">IF(L97=0,"",M97/L97)</x:f>
        <x:v>0.7</x:v>
      </x:c>
      <x:c r="R97" s="22" t="n">
        <x:f t="shared" si="15">IF(L97=0,"",N97/L97)</x:f>
        <x:v>0.7</x:v>
      </x:c>
      <x:c r="S97" s="22" t="n">
        <x:f>IF(L97=0,"",O97/L97)</x:f>
        <x:v>0.25</x:v>
      </x:c>
      <x:c r="T97" s="24" t="n">
        <x:v>-12</x:v>
      </x:c>
      <x:c r="U97" s="26" t="n">
        <x:v>0.07</x:v>
      </x:c>
      <x:c r="V97" s="24" t="n">
        <x:v>202</x:v>
      </x:c>
      <x:c r="W97"/>
      <x:c r="X97"/>
    </x:row>
    <x:row r="98">
      <x:c r="A98" s="1" t="n">
        <x:v>96</x:v>
      </x:c>
      <x:c r="B98" s="27" t="n">
        <x:v>45733</x:v>
      </x:c>
      <x:c r="C98" s="1" t="str">
        <x:v>Ascent</x:v>
      </x:c>
      <x:c r="D98" s="1" t="str">
        <x:v>2nd</x:v>
      </x:c>
      <x:c r="E98" s="1" t="str">
        <x:v>Sage</x:v>
      </x:c>
      <x:c r="F98" s="1" t="str">
        <x:v>Sentinel</x:v>
      </x:c>
      <x:c r="G98" s="1" t="n">
        <x:v>2</x:v>
      </x:c>
      <x:c r="H98" s="1" t="n">
        <x:f t="shared" si="8"/>
        <x:v>6</x:v>
      </x:c>
      <x:c r="I98" s="1" t="str">
        <x:f t="shared" si="9">IF(G98&gt;H98,"Win",IF(G98&lt;H98,"Loss","Draw"))</x:f>
        <x:v>Loss</x:v>
      </x:c>
      <x:c r="J98" s="1" t="n">
        <x:f t="shared" si="10">IF(I98="Win",1,IF(I98="Loss",0,""))</x:f>
        <x:v>0</x:v>
      </x:c>
      <x:c r="K98" s="1" t="n">
        <x:f t="shared" si="11">G98-H98</x:f>
        <x:v>-4</x:v>
      </x:c>
      <x:c r="L98" s="1" t="n">
        <x:f>G98+H98</x:f>
        <x:v>8</x:v>
      </x:c>
      <x:c r="M98" s="1" t="n">
        <x:v>8</x:v>
      </x:c>
      <x:c r="N98" s="1" t="n">
        <x:v>7</x:v>
      </x:c>
      <x:c r="O98" s="3" t="n">
        <x:f t="shared" si="12"/>
        <x:v>1</x:v>
      </x:c>
      <x:c r="P98" s="22" t="n">
        <x:f t="shared" si="13">IF(N98=0,"",M98/N98)</x:f>
        <x:v>1.1428571428571428</x:v>
      </x:c>
      <x:c r="Q98" s="22" t="n">
        <x:f t="shared" si="14">IF(L98=0,"",M98/L98)</x:f>
        <x:v>1</x:v>
      </x:c>
      <x:c r="R98" s="22" t="n">
        <x:f t="shared" si="15">IF(L98=0,"",N98/L98)</x:f>
        <x:v>0.875</x:v>
      </x:c>
      <x:c r="S98" s="22" t="n">
        <x:f>IF(L98=0,"",O98/L98)</x:f>
        <x:v>0.125</x:v>
      </x:c>
      <x:c r="T98" s="24" t="n">
        <x:v>-16</x:v>
      </x:c>
      <x:c r="U98" s="26" t="n">
        <x:v>0.05</x:v>
      </x:c>
      <x:c r="V98" s="24" t="n">
        <x:v>282</x:v>
      </x:c>
      <x:c r="W98"/>
      <x:c r="X98"/>
    </x:row>
    <x:row r="99">
      <x:c r="A99" s="1" t="n">
        <x:v>97</x:v>
      </x:c>
      <x:c r="B99" s="27" t="n">
        <x:v>45733</x:v>
      </x:c>
      <x:c r="C99" s="1" t="str">
        <x:v>Icebox</x:v>
      </x:c>
      <x:c r="D99" s="1" t="str">
        <x:v>7th</x:v>
      </x:c>
      <x:c r="E99" s="1" t="str">
        <x:v>Sage</x:v>
      </x:c>
      <x:c r="F99" s="1" t="str">
        <x:v>Sentinel</x:v>
      </x:c>
      <x:c r="G99" s="1" t="n">
        <x:v>8</x:v>
      </x:c>
      <x:c r="H99" s="1" t="n">
        <x:f t="shared" si="8"/>
        <x:v>13</x:v>
      </x:c>
      <x:c r="I99" s="1" t="str">
        <x:f t="shared" si="9">IF(G99&gt;H99,"Win",IF(G99&lt;H99,"Loss","Draw"))</x:f>
        <x:v>Loss</x:v>
      </x:c>
      <x:c r="J99" s="1" t="n">
        <x:f t="shared" si="10">IF(I99="Win",1,IF(I99="Loss",0,""))</x:f>
        <x:v>0</x:v>
      </x:c>
      <x:c r="K99" s="1" t="n">
        <x:f t="shared" si="11">G99-H99</x:f>
        <x:v>-5</x:v>
      </x:c>
      <x:c r="L99" s="1" t="n">
        <x:f>G99+H99</x:f>
        <x:v>21</x:v>
      </x:c>
      <x:c r="M99" s="1" t="n">
        <x:v>12</x:v>
      </x:c>
      <x:c r="N99" s="1" t="n">
        <x:v>17</x:v>
      </x:c>
      <x:c r="O99" s="3" t="n">
        <x:f t="shared" si="12"/>
        <x:v>4</x:v>
      </x:c>
      <x:c r="P99" s="22" t="n">
        <x:f t="shared" si="13">IF(N99=0,"",M99/N99)</x:f>
        <x:v>0.7058823529411765</x:v>
      </x:c>
      <x:c r="Q99" s="22" t="n">
        <x:f t="shared" si="14">IF(L99=0,"",M99/L99)</x:f>
        <x:v>0.5714285714285714</x:v>
      </x:c>
      <x:c r="R99" s="22" t="n">
        <x:f t="shared" si="15">IF(L99=0,"",N99/L99)</x:f>
        <x:v>0.8095238095238095</x:v>
      </x:c>
      <x:c r="S99" s="22" t="n">
        <x:f>IF(L99=0,"",O99/L99)</x:f>
        <x:v>0.19047619047619047</x:v>
      </x:c>
      <x:c r="T99" s="24" t="n">
        <x:v>-49</x:v>
      </x:c>
      <x:c r="U99" s="26" t="n">
        <x:v>0.04</x:v>
      </x:c>
      <x:c r="V99" s="24" t="n">
        <x:v>176</x:v>
      </x:c>
      <x:c r="W99"/>
      <x:c r="X99"/>
    </x:row>
    <x:row r="100">
      <x:c r="A100" s="1" t="n">
        <x:v>98</x:v>
      </x:c>
      <x:c r="B100" s="27" t="n">
        <x:v>45734</x:v>
      </x:c>
      <x:c r="C100" s="1" t="str">
        <x:v>Haven</x:v>
      </x:c>
      <x:c r="D100" s="1" t="str">
        <x:v>8th</x:v>
      </x:c>
      <x:c r="E100" s="1" t="str">
        <x:v>Sage</x:v>
      </x:c>
      <x:c r="F100" s="1" t="str">
        <x:v>Sentinel</x:v>
      </x:c>
      <x:c r="G100" s="1" t="n">
        <x:v>5</x:v>
      </x:c>
      <x:c r="H100" s="1" t="n">
        <x:f t="shared" si="8"/>
        <x:v>13</x:v>
      </x:c>
      <x:c r="I100" s="1" t="str">
        <x:f t="shared" si="9">IF(G100&gt;H100,"Win",IF(G100&lt;H100,"Loss","Draw"))</x:f>
        <x:v>Loss</x:v>
      </x:c>
      <x:c r="J100" s="1" t="n">
        <x:f t="shared" si="10">IF(I100="Win",1,IF(I100="Loss",0,""))</x:f>
        <x:v>0</x:v>
      </x:c>
      <x:c r="K100" s="1" t="n">
        <x:f t="shared" si="11">G100-H100</x:f>
        <x:v>-8</x:v>
      </x:c>
      <x:c r="L100" s="1" t="n">
        <x:f>G100+H100</x:f>
        <x:v>18</x:v>
      </x:c>
      <x:c r="M100" s="1" t="n">
        <x:v>6</x:v>
      </x:c>
      <x:c r="N100" s="1" t="n">
        <x:v>15</x:v>
      </x:c>
      <x:c r="O100" s="3" t="n">
        <x:f t="shared" si="12"/>
        <x:v>3</x:v>
      </x:c>
      <x:c r="P100" s="22" t="n">
        <x:f t="shared" si="13">IF(N100=0,"",M100/N100)</x:f>
        <x:v>0.4</x:v>
      </x:c>
      <x:c r="Q100" s="22" t="n">
        <x:f t="shared" si="14">IF(L100=0,"",M100/L100)</x:f>
        <x:v>0.3333333333333333</x:v>
      </x:c>
      <x:c r="R100" s="22" t="n">
        <x:f t="shared" si="15">IF(L100=0,"",N100/L100)</x:f>
        <x:v>0.8333333333333334</x:v>
      </x:c>
      <x:c r="S100" s="22" t="n">
        <x:f>IF(L100=0,"",O100/L100)</x:f>
        <x:v>0.16666666666666666</x:v>
      </x:c>
      <x:c r="T100" s="24" t="n">
        <x:v>-64</x:v>
      </x:c>
      <x:c r="U100" s="26" t="n">
        <x:v>0.02</x:v>
      </x:c>
      <x:c r="V100" s="24" t="n">
        <x:v>111</x:v>
      </x:c>
      <x:c r="W100"/>
      <x:c r="X100"/>
    </x:row>
    <x:row r="101">
      <x:c r="A101" s="1" t="n">
        <x:v>99</x:v>
      </x:c>
      <x:c r="B101" s="27" t="n">
        <x:v>45735</x:v>
      </x:c>
      <x:c r="C101" s="1" t="str">
        <x:v>Ascent</x:v>
      </x:c>
      <x:c r="D101" s="1" t="str">
        <x:v>3rd</x:v>
      </x:c>
      <x:c r="E101" s="1" t="str">
        <x:v>Sage</x:v>
      </x:c>
      <x:c r="F101" s="1" t="str">
        <x:v>Sentinel</x:v>
      </x:c>
      <x:c r="G101" s="1" t="n">
        <x:v>13</x:v>
      </x:c>
      <x:c r="H101" s="1" t="n">
        <x:f t="shared" si="8"/>
        <x:v>3</x:v>
      </x:c>
      <x:c r="I101" s="1" t="str">
        <x:f t="shared" si="9">IF(G101&gt;H101,"Win",IF(G101&lt;H101,"Loss","Draw"))</x:f>
        <x:v>Win</x:v>
      </x:c>
      <x:c r="J101" s="1" t="n">
        <x:f t="shared" si="10">IF(I101="Win",1,IF(I101="Loss",0,""))</x:f>
        <x:v>1</x:v>
      </x:c>
      <x:c r="K101" s="1" t="n">
        <x:f t="shared" si="11">G101-H101</x:f>
        <x:v>10</x:v>
      </x:c>
      <x:c r="L101" s="1" t="n">
        <x:f>G101+H101</x:f>
        <x:v>16</x:v>
      </x:c>
      <x:c r="M101" s="1" t="n">
        <x:v>16</x:v>
      </x:c>
      <x:c r="N101" s="1" t="n">
        <x:v>8</x:v>
      </x:c>
      <x:c r="O101" s="3" t="n">
        <x:f t="shared" si="12"/>
        <x:v>8</x:v>
      </x:c>
      <x:c r="P101" s="22" t="n">
        <x:f t="shared" si="13">IF(N101=0,"",M101/N101)</x:f>
        <x:v>2</x:v>
      </x:c>
      <x:c r="Q101" s="22" t="n">
        <x:f t="shared" si="14">IF(L101=0,"",M101/L101)</x:f>
        <x:v>1</x:v>
      </x:c>
      <x:c r="R101" s="22" t="n">
        <x:f t="shared" si="15">IF(L101=0,"",N101/L101)</x:f>
        <x:v>0.5</x:v>
      </x:c>
      <x:c r="S101" s="22" t="n">
        <x:f>IF(L101=0,"",O101/L101)</x:f>
        <x:v>0.5</x:v>
      </x:c>
      <x:c r="T101" s="24" t="n">
        <x:v>51</x:v>
      </x:c>
      <x:c r="U101" s="26" t="n">
        <x:v>0.05</x:v>
      </x:c>
      <x:c r="V101" s="24" t="n">
        <x:v>253</x:v>
      </x:c>
      <x:c r="W101"/>
      <x:c r="X101"/>
    </x:row>
    <x:row r="102">
      <x:c r="A102" s="1" t="n">
        <x:v>100</x:v>
      </x:c>
      <x:c r="B102" s="27" t="n">
        <x:v>45735</x:v>
      </x:c>
      <x:c r="C102" s="1" t="str">
        <x:v>Lotus</x:v>
      </x:c>
      <x:c r="D102" s="1" t="str">
        <x:v>9th</x:v>
      </x:c>
      <x:c r="E102" s="1" t="str">
        <x:v>Breach</x:v>
      </x:c>
      <x:c r="F102" s="1" t="str">
        <x:v>Initiator</x:v>
      </x:c>
      <x:c r="G102" s="1" t="n">
        <x:v>6</x:v>
      </x:c>
      <x:c r="H102" s="1" t="n">
        <x:f t="shared" si="8"/>
        <x:v>13</x:v>
      </x:c>
      <x:c r="I102" s="1" t="str">
        <x:f t="shared" si="9">IF(G102&gt;H102,"Win",IF(G102&lt;H102,"Loss","Draw"))</x:f>
        <x:v>Loss</x:v>
      </x:c>
      <x:c r="J102" s="1" t="n">
        <x:f t="shared" si="10">IF(I102="Win",1,IF(I102="Loss",0,""))</x:f>
        <x:v>0</x:v>
      </x:c>
      <x:c r="K102" s="1" t="n">
        <x:f t="shared" si="11">G102-H102</x:f>
        <x:v>-7</x:v>
      </x:c>
      <x:c r="L102" s="1" t="n">
        <x:f>G102+H102</x:f>
        <x:v>19</x:v>
      </x:c>
      <x:c r="M102" s="1" t="n">
        <x:v>10</x:v>
      </x:c>
      <x:c r="N102" s="1" t="n">
        <x:v>14</x:v>
      </x:c>
      <x:c r="O102" s="3" t="n">
        <x:f t="shared" si="12"/>
        <x:v>7</x:v>
      </x:c>
      <x:c r="P102" s="22" t="n">
        <x:f t="shared" si="13">IF(N102=0,"",M102/N102)</x:f>
        <x:v>0.7142857142857143</x:v>
      </x:c>
      <x:c r="Q102" s="22" t="n">
        <x:f t="shared" si="14">IF(L102=0,"",M102/L102)</x:f>
        <x:v>0.5263157894736842</x:v>
      </x:c>
      <x:c r="R102" s="22" t="n">
        <x:f t="shared" si="15">IF(L102=0,"",N102/L102)</x:f>
        <x:v>0.7368421052631579</x:v>
      </x:c>
      <x:c r="S102" s="22" t="n">
        <x:f>IF(L102=0,"",O102/L102)</x:f>
        <x:v>0.3684210526315789</x:v>
      </x:c>
      <x:c r="T102" s="24" t="n">
        <x:v>-56</x:v>
      </x:c>
      <x:c r="U102" s="26" t="n">
        <x:v>0.01</x:v>
      </x:c>
      <x:c r="V102" s="24" t="n">
        <x:v>157</x:v>
      </x:c>
      <x:c r="W102"/>
      <x:c r="X102"/>
    </x:row>
    <x:row r="103">
      <x:c r="A103" s="1" t="n">
        <x:v>101</x:v>
      </x:c>
      <x:c r="B103" s="27" t="n">
        <x:v>45735</x:v>
      </x:c>
      <x:c r="C103" s="1" t="str">
        <x:v>Pearl</x:v>
      </x:c>
      <x:c r="D103" s="1" t="str">
        <x:v>9th</x:v>
      </x:c>
      <x:c r="E103" s="1" t="str">
        <x:v>Sage</x:v>
      </x:c>
      <x:c r="F103" s="1" t="str">
        <x:v>Sentinel</x:v>
      </x:c>
      <x:c r="G103" s="1" t="n">
        <x:v>2</x:v>
      </x:c>
      <x:c r="H103" s="1" t="n">
        <x:f t="shared" si="8"/>
        <x:v>13</x:v>
      </x:c>
      <x:c r="I103" s="1" t="str">
        <x:f t="shared" si="9">IF(G103&gt;H103,"Win",IF(G103&lt;H103,"Loss","Draw"))</x:f>
        <x:v>Loss</x:v>
      </x:c>
      <x:c r="J103" s="1" t="n">
        <x:f t="shared" si="10">IF(I103="Win",1,IF(I103="Loss",0,""))</x:f>
        <x:v>0</x:v>
      </x:c>
      <x:c r="K103" s="1" t="n">
        <x:f t="shared" si="11">G103-H103</x:f>
        <x:v>-11</x:v>
      </x:c>
      <x:c r="L103" s="1" t="n">
        <x:f>G103+H103</x:f>
        <x:v>15</x:v>
      </x:c>
      <x:c r="M103" s="1" t="n">
        <x:v>8</x:v>
      </x:c>
      <x:c r="N103" s="1" t="n">
        <x:v>12</x:v>
      </x:c>
      <x:c r="O103" s="3" t="n">
        <x:f t="shared" si="12"/>
        <x:v>3</x:v>
      </x:c>
      <x:c r="P103" s="22" t="n">
        <x:f t="shared" si="13">IF(N103=0,"",M103/N103)</x:f>
        <x:v>0.6666666666666666</x:v>
      </x:c>
      <x:c r="Q103" s="22" t="n">
        <x:f t="shared" si="14">IF(L103=0,"",M103/L103)</x:f>
        <x:v>0.5333333333333333</x:v>
      </x:c>
      <x:c r="R103" s="22" t="n">
        <x:f t="shared" si="15">IF(L103=0,"",N103/L103)</x:f>
        <x:v>0.8</x:v>
      </x:c>
      <x:c r="S103" s="22" t="n">
        <x:f>IF(L103=0,"",O103/L103)</x:f>
        <x:v>0.2</x:v>
      </x:c>
      <x:c r="T103" s="24" t="n">
        <x:v>-56</x:v>
      </x:c>
      <x:c r="U103" s="26" t="n">
        <x:v>0.08</x:v>
      </x:c>
      <x:c r="V103" s="24" t="n">
        <x:v>159</x:v>
      </x:c>
      <x:c r="W103"/>
      <x:c r="X103"/>
    </x:row>
    <x:row r="104">
      <x:c r="A104" s="1" t="n">
        <x:v>102</x:v>
      </x:c>
      <x:c r="B104" s="27" t="n">
        <x:v>45735</x:v>
      </x:c>
      <x:c r="C104" s="1" t="str">
        <x:v>Fracture</x:v>
      </x:c>
      <x:c r="D104" s="1" t="str">
        <x:v>10th</x:v>
      </x:c>
      <x:c r="E104" s="1" t="str">
        <x:v>Breach</x:v>
      </x:c>
      <x:c r="F104" s="1" t="str">
        <x:v>Initiator</x:v>
      </x:c>
      <x:c r="G104" s="1" t="n">
        <x:v>13</x:v>
      </x:c>
      <x:c r="H104" s="1" t="n">
        <x:f t="shared" si="8"/>
        <x:v>5</x:v>
      </x:c>
      <x:c r="I104" s="1" t="str">
        <x:f t="shared" si="9">IF(G104&gt;H104,"Win",IF(G104&lt;H104,"Loss","Draw"))</x:f>
        <x:v>Win</x:v>
      </x:c>
      <x:c r="J104" s="1" t="n">
        <x:f t="shared" si="10">IF(I104="Win",1,IF(I104="Loss",0,""))</x:f>
        <x:v>1</x:v>
      </x:c>
      <x:c r="K104" s="1" t="n">
        <x:f t="shared" si="11">G104-H104</x:f>
        <x:v>8</x:v>
      </x:c>
      <x:c r="L104" s="1" t="n">
        <x:f>G104+H104</x:f>
        <x:v>18</x:v>
      </x:c>
      <x:c r="M104" s="1" t="n">
        <x:v>5</x:v>
      </x:c>
      <x:c r="N104" s="1" t="n">
        <x:v>17</x:v>
      </x:c>
      <x:c r="O104" s="3" t="n">
        <x:f t="shared" si="12"/>
        <x:v>2</x:v>
      </x:c>
      <x:c r="P104" s="22" t="n">
        <x:f t="shared" si="13">IF(N104=0,"",M104/N104)</x:f>
        <x:v>0.29411764705882354</x:v>
      </x:c>
      <x:c r="Q104" s="22" t="n">
        <x:f t="shared" si="14">IF(L104=0,"",M104/L104)</x:f>
        <x:v>0.2777777777777778</x:v>
      </x:c>
      <x:c r="R104" s="22" t="n">
        <x:f t="shared" si="15">IF(L104=0,"",N104/L104)</x:f>
        <x:v>0.9444444444444444</x:v>
      </x:c>
      <x:c r="S104" s="22" t="n">
        <x:f>IF(L104=0,"",O104/L104)</x:f>
        <x:v>0.1111111111111111</x:v>
      </x:c>
      <x:c r="T104" s="24" t="n">
        <x:v>-108</x:v>
      </x:c>
      <x:c r="U104" s="26" t="n">
        <x:v>0.03</x:v>
      </x:c>
      <x:c r="V104" s="24" t="n">
        <x:v>89</x:v>
      </x:c>
      <x:c r="W104"/>
      <x:c r="X104"/>
    </x:row>
    <x:row r="105">
      <x:c r="A105" s="1" t="n">
        <x:v>103</x:v>
      </x:c>
      <x:c r="B105" s="27" t="n">
        <x:v>45736</x:v>
      </x:c>
      <x:c r="C105" s="1" t="str">
        <x:v>Haven</x:v>
      </x:c>
      <x:c r="D105" s="1" t="str">
        <x:v>5th</x:v>
      </x:c>
      <x:c r="E105" s="1" t="str">
        <x:v>Breach</x:v>
      </x:c>
      <x:c r="F105" s="1" t="str">
        <x:v>Initiator</x:v>
      </x:c>
      <x:c r="G105" s="1" t="n">
        <x:v>13</x:v>
      </x:c>
      <x:c r="H105" s="1" t="n">
        <x:f t="shared" si="8"/>
        <x:v>5</x:v>
      </x:c>
      <x:c r="I105" s="1" t="str">
        <x:f t="shared" si="9">IF(G105&gt;H105,"Win",IF(G105&lt;H105,"Loss","Draw"))</x:f>
        <x:v>Win</x:v>
      </x:c>
      <x:c r="J105" s="1" t="n">
        <x:f t="shared" si="10">IF(I105="Win",1,IF(I105="Loss",0,""))</x:f>
        <x:v>1</x:v>
      </x:c>
      <x:c r="K105" s="1" t="n">
        <x:f t="shared" si="11">G105-H105</x:f>
        <x:v>8</x:v>
      </x:c>
      <x:c r="L105" s="1" t="n">
        <x:f>G105+H105</x:f>
        <x:v>18</x:v>
      </x:c>
      <x:c r="M105" s="1" t="n">
        <x:v>15</x:v>
      </x:c>
      <x:c r="N105" s="1" t="n">
        <x:v>11</x:v>
      </x:c>
      <x:c r="O105" s="3" t="n">
        <x:f t="shared" si="12"/>
        <x:v>8</x:v>
      </x:c>
      <x:c r="P105" s="22" t="n">
        <x:f t="shared" si="13">IF(N105=0,"",M105/N105)</x:f>
        <x:v>1.3636363636363635</x:v>
      </x:c>
      <x:c r="Q105" s="22" t="n">
        <x:f t="shared" si="14">IF(L105=0,"",M105/L105)</x:f>
        <x:v>0.8333333333333334</x:v>
      </x:c>
      <x:c r="R105" s="22" t="n">
        <x:f t="shared" si="15">IF(L105=0,"",N105/L105)</x:f>
        <x:v>0.6111111111111112</x:v>
      </x:c>
      <x:c r="S105" s="22" t="n">
        <x:f>IF(L105=0,"",O105/L105)</x:f>
        <x:v>0.4444444444444444</x:v>
      </x:c>
      <x:c r="T105" s="24" t="n">
        <x:v>28</x:v>
      </x:c>
      <x:c r="U105" s="26" t="n">
        <x:v>0.04</x:v>
      </x:c>
      <x:c r="V105" s="24" t="n">
        <x:v>239</x:v>
      </x:c>
      <x:c r="W105"/>
      <x:c r="X105"/>
    </x:row>
    <x:row r="106">
      <x:c r="A106" s="1" t="n">
        <x:v>104</x:v>
      </x:c>
      <x:c r="B106" s="27" t="n">
        <x:v>45736</x:v>
      </x:c>
      <x:c r="C106" s="1" t="str">
        <x:v>Fracture</x:v>
      </x:c>
      <x:c r="D106" s="1" t="str">
        <x:v>9th</x:v>
      </x:c>
      <x:c r="E106" s="1" t="str">
        <x:v>Sage</x:v>
      </x:c>
      <x:c r="F106" s="1" t="str">
        <x:v>Sentinel</x:v>
      </x:c>
      <x:c r="G106" s="1" t="n">
        <x:v>13</x:v>
      </x:c>
      <x:c r="H106" s="1" t="n">
        <x:f t="shared" si="8"/>
        <x:v>3</x:v>
      </x:c>
      <x:c r="I106" s="1" t="str">
        <x:f t="shared" si="9">IF(G106&gt;H106,"Win",IF(G106&lt;H106,"Loss","Draw"))</x:f>
        <x:v>Win</x:v>
      </x:c>
      <x:c r="J106" s="1" t="n">
        <x:f t="shared" si="10">IF(I106="Win",1,IF(I106="Loss",0,""))</x:f>
        <x:v>1</x:v>
      </x:c>
      <x:c r="K106" s="1" t="n">
        <x:f t="shared" si="11">G106-H106</x:f>
        <x:v>10</x:v>
      </x:c>
      <x:c r="L106" s="1" t="n">
        <x:f>G106+H106</x:f>
        <x:v>16</x:v>
      </x:c>
      <x:c r="M106" s="1" t="n">
        <x:v>6</x:v>
      </x:c>
      <x:c r="N106" s="1" t="n">
        <x:v>7</x:v>
      </x:c>
      <x:c r="O106" s="3" t="n">
        <x:f t="shared" si="12"/>
        <x:v>12</x:v>
      </x:c>
      <x:c r="P106" s="22" t="n">
        <x:f t="shared" si="13">IF(N106=0,"",M106/N106)</x:f>
        <x:v>0.8571428571428571</x:v>
      </x:c>
      <x:c r="Q106" s="22" t="n">
        <x:f t="shared" si="14">IF(L106=0,"",M106/L106)</x:f>
        <x:v>0.375</x:v>
      </x:c>
      <x:c r="R106" s="22" t="n">
        <x:f t="shared" si="15">IF(L106=0,"",N106/L106)</x:f>
        <x:v>0.4375</x:v>
      </x:c>
      <x:c r="S106" s="22" t="n">
        <x:f>IF(L106=0,"",O106/L106)</x:f>
        <x:v>0.75</x:v>
      </x:c>
      <x:c r="T106" s="24" t="n">
        <x:v>18</x:v>
      </x:c>
      <x:c r="U106" s="26" t="n">
        <x:v>0.04</x:v>
      </x:c>
      <x:c r="V106" s="24" t="n">
        <x:v>131</x:v>
      </x:c>
      <x:c r="W106"/>
      <x:c r="X106"/>
    </x:row>
    <x:row r="107">
      <x:c r="A107" s="1" t="n">
        <x:v>105</x:v>
      </x:c>
      <x:c r="B107" s="27" t="n">
        <x:v>45737</x:v>
      </x:c>
      <x:c r="C107" s="1" t="str">
        <x:v>Split</x:v>
      </x:c>
      <x:c r="D107" s="1" t="str">
        <x:v>MVP</x:v>
      </x:c>
      <x:c r="E107" s="1" t="str">
        <x:v>Sage</x:v>
      </x:c>
      <x:c r="F107" s="1" t="str">
        <x:v>Sentinel</x:v>
      </x:c>
      <x:c r="G107" s="1" t="n">
        <x:v>13</x:v>
      </x:c>
      <x:c r="H107" s="1" t="n">
        <x:f t="shared" si="8"/>
        <x:v>11</x:v>
      </x:c>
      <x:c r="I107" s="1" t="str">
        <x:f t="shared" si="9">IF(G107&gt;H107,"Win",IF(G107&lt;H107,"Loss","Draw"))</x:f>
        <x:v>Win</x:v>
      </x:c>
      <x:c r="J107" s="1" t="n">
        <x:f t="shared" si="10">IF(I107="Win",1,IF(I107="Loss",0,""))</x:f>
        <x:v>1</x:v>
      </x:c>
      <x:c r="K107" s="1" t="n">
        <x:f t="shared" si="11">G107-H107</x:f>
        <x:v>2</x:v>
      </x:c>
      <x:c r="L107" s="1" t="n">
        <x:f>G107+H107</x:f>
        <x:v>24</x:v>
      </x:c>
      <x:c r="M107" s="1" t="n">
        <x:v>26</x:v>
      </x:c>
      <x:c r="N107" s="1" t="n">
        <x:v>15</x:v>
      </x:c>
      <x:c r="O107" s="3" t="n">
        <x:f t="shared" si="12"/>
        <x:v>9</x:v>
      </x:c>
      <x:c r="P107" s="22" t="n">
        <x:f t="shared" si="13">IF(N107=0,"",M107/N107)</x:f>
        <x:v>1.7333333333333334</x:v>
      </x:c>
      <x:c r="Q107" s="22" t="n">
        <x:f t="shared" si="14">IF(L107=0,"",M107/L107)</x:f>
        <x:v>1.0833333333333333</x:v>
      </x:c>
      <x:c r="R107" s="22" t="n">
        <x:f t="shared" si="15">IF(L107=0,"",N107/L107)</x:f>
        <x:v>0.625</x:v>
      </x:c>
      <x:c r="S107" s="22" t="n">
        <x:f>IF(L107=0,"",O107/L107)</x:f>
        <x:v>0.375</x:v>
      </x:c>
      <x:c r="T107" s="24" t="n">
        <x:v>62</x:v>
      </x:c>
      <x:c r="U107" s="26" t="n">
        <x:v>0.09</x:v>
      </x:c>
      <x:c r="V107" s="24" t="n">
        <x:v>284</x:v>
      </x:c>
      <x:c r="W107"/>
      <x:c r="X107"/>
    </x:row>
    <x:row r="108">
      <x:c r="A108" s="1" t="n">
        <x:v>106</x:v>
      </x:c>
      <x:c r="B108" s="27" t="n">
        <x:v>45737</x:v>
      </x:c>
      <x:c r="C108" s="1" t="str">
        <x:v>Icebox</x:v>
      </x:c>
      <x:c r="D108" s="1" t="str">
        <x:v>10th</x:v>
      </x:c>
      <x:c r="E108" s="1" t="str">
        <x:v>Sage</x:v>
      </x:c>
      <x:c r="F108" s="1" t="str">
        <x:v>Sentinel</x:v>
      </x:c>
      <x:c r="G108" s="1" t="n">
        <x:v>13</x:v>
      </x:c>
      <x:c r="H108" s="1" t="n">
        <x:f t="shared" si="8"/>
        <x:v>8</x:v>
      </x:c>
      <x:c r="I108" s="1" t="str">
        <x:f t="shared" si="9">IF(G108&gt;H108,"Win",IF(G108&lt;H108,"Loss","Draw"))</x:f>
        <x:v>Win</x:v>
      </x:c>
      <x:c r="J108" s="1" t="n">
        <x:f t="shared" si="10">IF(I108="Win",1,IF(I108="Loss",0,""))</x:f>
        <x:v>1</x:v>
      </x:c>
      <x:c r="K108" s="1" t="n">
        <x:f t="shared" si="11">G108-H108</x:f>
        <x:v>5</x:v>
      </x:c>
      <x:c r="L108" s="1" t="n">
        <x:f>G108+H108</x:f>
        <x:v>21</x:v>
      </x:c>
      <x:c r="M108" s="1" t="n">
        <x:v>8</x:v>
      </x:c>
      <x:c r="N108" s="1" t="n">
        <x:v>13</x:v>
      </x:c>
      <x:c r="O108" s="3" t="n">
        <x:f t="shared" si="12"/>
        <x:v>7</x:v>
      </x:c>
      <x:c r="P108" s="22" t="n">
        <x:f t="shared" si="13">IF(N108=0,"",M108/N108)</x:f>
        <x:v>0.6153846153846154</x:v>
      </x:c>
      <x:c r="Q108" s="22" t="n">
        <x:f t="shared" si="14">IF(L108=0,"",M108/L108)</x:f>
        <x:v>0.38095238095238093</x:v>
      </x:c>
      <x:c r="R108" s="22" t="n">
        <x:f t="shared" si="15">IF(L108=0,"",N108/L108)</x:f>
        <x:v>0.6190476190476191</x:v>
      </x:c>
      <x:c r="S108" s="22" t="n">
        <x:f>IF(L108=0,"",O108/L108)</x:f>
        <x:v>0.3333333333333333</x:v>
      </x:c>
      <x:c r="T108" s="24" t="n">
        <x:v>-35</x:v>
      </x:c>
      <x:c r="U108" s="26" t="n">
        <x:v>0.02</x:v>
      </x:c>
      <x:c r="V108" s="24" t="n">
        <x:v>101</x:v>
      </x:c>
      <x:c r="W108"/>
      <x:c r="X108"/>
    </x:row>
    <x:row r="109">
      <x:c r="A109" s="1" t="n">
        <x:v>107</x:v>
      </x:c>
      <x:c r="B109" s="27" t="n">
        <x:v>45737</x:v>
      </x:c>
      <x:c r="C109" s="1" t="str">
        <x:v>Ascent</x:v>
      </x:c>
      <x:c r="D109" s="1" t="str">
        <x:v>8th</x:v>
      </x:c>
      <x:c r="E109" s="1" t="str">
        <x:v>Sage</x:v>
      </x:c>
      <x:c r="F109" s="1" t="str">
        <x:v>Sentinel</x:v>
      </x:c>
      <x:c r="G109" s="1" t="n">
        <x:v>6</x:v>
      </x:c>
      <x:c r="H109" s="1" t="n">
        <x:f t="shared" si="8"/>
        <x:v>13</x:v>
      </x:c>
      <x:c r="I109" s="1" t="str">
        <x:f t="shared" si="9">IF(G109&gt;H109,"Win",IF(G109&lt;H109,"Loss","Draw"))</x:f>
        <x:v>Loss</x:v>
      </x:c>
      <x:c r="J109" s="1" t="n">
        <x:f t="shared" si="10">IF(I109="Win",1,IF(I109="Loss",0,""))</x:f>
        <x:v>0</x:v>
      </x:c>
      <x:c r="K109" s="1" t="n">
        <x:f t="shared" si="11">G109-H109</x:f>
        <x:v>-7</x:v>
      </x:c>
      <x:c r="L109" s="1" t="n">
        <x:f>G109+H109</x:f>
        <x:v>19</x:v>
      </x:c>
      <x:c r="M109" s="1" t="n">
        <x:v>9</x:v>
      </x:c>
      <x:c r="N109" s="1" t="n">
        <x:v>17</x:v>
      </x:c>
      <x:c r="O109" s="3" t="n">
        <x:f t="shared" si="12"/>
        <x:v>5</x:v>
      </x:c>
      <x:c r="P109" s="22" t="n">
        <x:f t="shared" si="13">IF(N109=0,"",M109/N109)</x:f>
        <x:v>0.5294117647058824</x:v>
      </x:c>
      <x:c r="Q109" s="22" t="n">
        <x:f t="shared" si="14">IF(L109=0,"",M109/L109)</x:f>
        <x:v>0.47368421052631576</x:v>
      </x:c>
      <x:c r="R109" s="22" t="n">
        <x:f t="shared" si="15">IF(L109=0,"",N109/L109)</x:f>
        <x:v>0.8947368421052632</x:v>
      </x:c>
      <x:c r="S109" s="22" t="n">
        <x:f>IF(L109=0,"",O109/L109)</x:f>
        <x:v>0.2631578947368421</x:v>
      </x:c>
      <x:c r="T109" s="24" t="n">
        <x:v>-45</x:v>
      </x:c>
      <x:c r="U109" s="26" t="n">
        <x:v>0.07</x:v>
      </x:c>
      <x:c r="V109" s="24" t="n">
        <x:v>170</x:v>
      </x:c>
      <x:c r="W109"/>
      <x:c r="X109"/>
    </x:row>
    <x:row r="110">
      <x:c r="A110" s="1" t="n">
        <x:v>108</x:v>
      </x:c>
      <x:c r="B110" s="27" t="n">
        <x:v>45737</x:v>
      </x:c>
      <x:c r="C110" s="1" t="str">
        <x:v>Fracture</x:v>
      </x:c>
      <x:c r="D110" s="1" t="str">
        <x:v>5th</x:v>
      </x:c>
      <x:c r="E110" s="1" t="str">
        <x:v>Sage</x:v>
      </x:c>
      <x:c r="F110" s="1" t="str">
        <x:v>Sentinel</x:v>
      </x:c>
      <x:c r="G110" s="1" t="n">
        <x:v>12</x:v>
      </x:c>
      <x:c r="H110" s="1" t="n">
        <x:f t="shared" si="8"/>
        <x:v>14</x:v>
      </x:c>
      <x:c r="I110" s="1" t="str">
        <x:f t="shared" si="9">IF(G110&gt;H110,"Win",IF(G110&lt;H110,"Loss","Draw"))</x:f>
        <x:v>Loss</x:v>
      </x:c>
      <x:c r="J110" s="1" t="n">
        <x:f t="shared" si="10">IF(I110="Win",1,IF(I110="Loss",0,""))</x:f>
        <x:v>0</x:v>
      </x:c>
      <x:c r="K110" s="1" t="n">
        <x:f t="shared" si="11">G110-H110</x:f>
        <x:v>-2</x:v>
      </x:c>
      <x:c r="L110" s="1" t="n">
        <x:f>G110+H110</x:f>
        <x:v>26</x:v>
      </x:c>
      <x:c r="M110" s="1" t="n">
        <x:v>19</x:v>
      </x:c>
      <x:c r="N110" s="1" t="n">
        <x:v>15</x:v>
      </x:c>
      <x:c r="O110" s="3" t="n">
        <x:f t="shared" si="12"/>
        <x:v>10</x:v>
      </x:c>
      <x:c r="P110" s="22" t="n">
        <x:f t="shared" si="13">IF(N110=0,"",M110/N110)</x:f>
        <x:v>1.2666666666666666</x:v>
      </x:c>
      <x:c r="Q110" s="22" t="n">
        <x:f t="shared" si="14">IF(L110=0,"",M110/L110)</x:f>
        <x:v>0.7307692307692307</x:v>
      </x:c>
      <x:c r="R110" s="22" t="n">
        <x:f t="shared" si="15">IF(L110=0,"",N110/L110)</x:f>
        <x:v>0.5769230769230769</x:v>
      </x:c>
      <x:c r="S110" s="22" t="n">
        <x:f>IF(L110=0,"",O110/L110)</x:f>
        <x:v>0.38461538461538464</x:v>
      </x:c>
      <x:c r="T110" s="24" t="n">
        <x:v>-33</x:v>
      </x:c>
      <x:c r="U110" s="26" t="n">
        <x:v>0.01</x:v>
      </x:c>
      <x:c r="V110" s="24" t="n">
        <x:v>189</x:v>
      </x:c>
      <x:c r="W110"/>
      <x:c r="X110"/>
    </x:row>
    <x:row r="111">
      <x:c r="A111" s="1" t="n">
        <x:v>109</x:v>
      </x:c>
      <x:c r="B111" s="27" t="n">
        <x:v>45737</x:v>
      </x:c>
      <x:c r="C111" s="1" t="str">
        <x:v>Lotus</x:v>
      </x:c>
      <x:c r="D111" s="1" t="str">
        <x:v>9th</x:v>
      </x:c>
      <x:c r="E111" s="1" t="str">
        <x:v>Breach</x:v>
      </x:c>
      <x:c r="F111" s="1" t="str">
        <x:v>Initiator</x:v>
      </x:c>
      <x:c r="G111" s="1" t="n">
        <x:v>6</x:v>
      </x:c>
      <x:c r="H111" s="1" t="n">
        <x:f t="shared" si="8"/>
        <x:v>13</x:v>
      </x:c>
      <x:c r="I111" s="1" t="str">
        <x:f t="shared" si="9">IF(G111&gt;H111,"Win",IF(G111&lt;H111,"Loss","Draw"))</x:f>
        <x:v>Loss</x:v>
      </x:c>
      <x:c r="J111" s="1" t="n">
        <x:f t="shared" si="10">IF(I111="Win",1,IF(I111="Loss",0,""))</x:f>
        <x:v>0</x:v>
      </x:c>
      <x:c r="K111" s="1" t="n">
        <x:f t="shared" si="11">G111-H111</x:f>
        <x:v>-7</x:v>
      </x:c>
      <x:c r="L111" s="1" t="n">
        <x:f>G111+H111</x:f>
        <x:v>19</x:v>
      </x:c>
      <x:c r="M111" s="1" t="n">
        <x:v>8</x:v>
      </x:c>
      <x:c r="N111" s="1" t="n">
        <x:v>13</x:v>
      </x:c>
      <x:c r="O111" s="3" t="n">
        <x:f t="shared" si="12"/>
        <x:v>3</x:v>
      </x:c>
      <x:c r="P111" s="22" t="n">
        <x:f t="shared" si="13">IF(N111=0,"",M111/N111)</x:f>
        <x:v>0.6153846153846154</x:v>
      </x:c>
      <x:c r="Q111" s="22" t="n">
        <x:f t="shared" si="14">IF(L111=0,"",M111/L111)</x:f>
        <x:v>0.42105263157894735</x:v>
      </x:c>
      <x:c r="R111" s="22" t="n">
        <x:f t="shared" si="15">IF(L111=0,"",N111/L111)</x:f>
        <x:v>0.6842105263157895</x:v>
      </x:c>
      <x:c r="S111" s="22" t="n">
        <x:f>IF(L111=0,"",O111/L111)</x:f>
        <x:v>0.15789473684210525</x:v>
      </x:c>
      <x:c r="T111" s="24" t="n">
        <x:v>-53</x:v>
      </x:c>
      <x:c r="U111" s="26" t="n">
        <x:v>0.08</x:v>
      </x:c>
      <x:c r="V111" s="24" t="n">
        <x:v>120</x:v>
      </x:c>
      <x:c r="W111"/>
      <x:c r="X111"/>
    </x:row>
    <x:row r="112">
      <x:c r="A112" s="1" t="n">
        <x:v>110</x:v>
      </x:c>
      <x:c r="B112" s="27" t="n">
        <x:v>45737</x:v>
      </x:c>
      <x:c r="C112" s="1" t="str">
        <x:v>Pearl</x:v>
      </x:c>
      <x:c r="D112" s="1" t="str">
        <x:v>8th</x:v>
      </x:c>
      <x:c r="E112" s="1" t="str">
        <x:v>Sage</x:v>
      </x:c>
      <x:c r="F112" s="1" t="str">
        <x:v>Sentinel</x:v>
      </x:c>
      <x:c r="G112" s="1" t="n">
        <x:v>13</x:v>
      </x:c>
      <x:c r="H112" s="1" t="n">
        <x:f t="shared" si="8"/>
        <x:v>3</x:v>
      </x:c>
      <x:c r="I112" s="1" t="str">
        <x:f t="shared" si="9">IF(G112&gt;H112,"Win",IF(G112&lt;H112,"Loss","Draw"))</x:f>
        <x:v>Win</x:v>
      </x:c>
      <x:c r="J112" s="1" t="n">
        <x:f t="shared" si="10">IF(I112="Win",1,IF(I112="Loss",0,""))</x:f>
        <x:v>1</x:v>
      </x:c>
      <x:c r="K112" s="1" t="n">
        <x:f t="shared" si="11">G112-H112</x:f>
        <x:v>10</x:v>
      </x:c>
      <x:c r="L112" s="1" t="n">
        <x:f>G112+H112</x:f>
        <x:v>16</x:v>
      </x:c>
      <x:c r="M112" s="1" t="n">
        <x:v>7</x:v>
      </x:c>
      <x:c r="N112" s="1" t="n">
        <x:v>7</x:v>
      </x:c>
      <x:c r="O112" s="3" t="n">
        <x:f t="shared" si="12"/>
        <x:v>10</x:v>
      </x:c>
      <x:c r="P112" s="22" t="n">
        <x:f t="shared" si="13">IF(N112=0,"",M112/N112)</x:f>
        <x:v>1</x:v>
      </x:c>
      <x:c r="Q112" s="22" t="n">
        <x:f t="shared" si="14">IF(L112=0,"",M112/L112)</x:f>
        <x:v>0.4375</x:v>
      </x:c>
      <x:c r="R112" s="22" t="n">
        <x:f t="shared" si="15">IF(L112=0,"",N112/L112)</x:f>
        <x:v>0.4375</x:v>
      </x:c>
      <x:c r="S112" s="22" t="n">
        <x:f>IF(L112=0,"",O112/L112)</x:f>
        <x:v>0.625</x:v>
      </x:c>
      <x:c r="T112" s="24" t="n">
        <x:v>-19</x:v>
      </x:c>
      <x:c r="U112" s="26" t="n">
        <x:v>0</x:v>
      </x:c>
      <x:c r="V112" s="24" t="n">
        <x:v>123</x:v>
      </x:c>
      <x:c r="W112"/>
      <x:c r="X112"/>
    </x:row>
    <x:row r="113">
      <x:c r="A113" s="1" t="n">
        <x:v>111</x:v>
      </x:c>
      <x:c r="B113" s="27" t="n">
        <x:v>45738</x:v>
      </x:c>
      <x:c r="C113" s="1" t="str">
        <x:v>Split</x:v>
      </x:c>
      <x:c r="D113" s="1" t="str">
        <x:v>9th</x:v>
      </x:c>
      <x:c r="E113" s="1" t="str">
        <x:v>Clove</x:v>
      </x:c>
      <x:c r="F113" s="1" t="str">
        <x:v>Controller</x:v>
      </x:c>
      <x:c r="G113" s="1" t="n">
        <x:v>12</x:v>
      </x:c>
      <x:c r="H113" s="1" t="n">
        <x:f t="shared" si="8"/>
        <x:v>14</x:v>
      </x:c>
      <x:c r="I113" s="1" t="str">
        <x:f t="shared" si="9">IF(G113&gt;H113,"Win",IF(G113&lt;H113,"Loss","Draw"))</x:f>
        <x:v>Loss</x:v>
      </x:c>
      <x:c r="J113" s="1" t="n">
        <x:f t="shared" si="10">IF(I113="Win",1,IF(I113="Loss",0,""))</x:f>
        <x:v>0</x:v>
      </x:c>
      <x:c r="K113" s="1" t="n">
        <x:f t="shared" si="11">G113-H113</x:f>
        <x:v>-2</x:v>
      </x:c>
      <x:c r="L113" s="1" t="n">
        <x:f>G113+H113</x:f>
        <x:v>26</x:v>
      </x:c>
      <x:c r="M113" s="1" t="n">
        <x:v>10</x:v>
      </x:c>
      <x:c r="N113" s="1" t="n">
        <x:v>21</x:v>
      </x:c>
      <x:c r="O113" s="3" t="n">
        <x:f t="shared" si="12"/>
        <x:v>3</x:v>
      </x:c>
      <x:c r="P113" s="22" t="n">
        <x:f t="shared" si="13">IF(N113=0,"",M113/N113)</x:f>
        <x:v>0.47619047619047616</x:v>
      </x:c>
      <x:c r="Q113" s="22" t="n">
        <x:f t="shared" si="14">IF(L113=0,"",M113/L113)</x:f>
        <x:v>0.38461538461538464</x:v>
      </x:c>
      <x:c r="R113" s="22" t="n">
        <x:f t="shared" si="15">IF(L113=0,"",N113/L113)</x:f>
        <x:v>0.8076923076923077</x:v>
      </x:c>
      <x:c r="S113" s="22" t="n">
        <x:f>IF(L113=0,"",O113/L113)</x:f>
        <x:v>0.11538461538461539</x:v>
      </x:c>
      <x:c r="T113" s="24" t="n">
        <x:v>-56</x:v>
      </x:c>
      <x:c r="U113" s="26" t="n">
        <x:v>0.05</x:v>
      </x:c>
      <x:c r="V113" s="24" t="n">
        <x:v>122</x:v>
      </x:c>
      <x:c r="W113"/>
      <x:c r="X113"/>
    </x:row>
    <x:row r="114">
      <x:c r="A114" s="1" t="n">
        <x:v>112</x:v>
      </x:c>
      <x:c r="B114" s="27" t="n">
        <x:v>45738</x:v>
      </x:c>
      <x:c r="C114" s="1" t="str">
        <x:v>Pearl</x:v>
      </x:c>
      <x:c r="D114" s="1" t="str">
        <x:v>10th</x:v>
      </x:c>
      <x:c r="E114" s="1" t="str">
        <x:v>Sage</x:v>
      </x:c>
      <x:c r="F114" s="1" t="str">
        <x:v>Sentinel</x:v>
      </x:c>
      <x:c r="G114" s="1" t="n">
        <x:v>6</x:v>
      </x:c>
      <x:c r="H114" s="1" t="n">
        <x:f t="shared" si="8"/>
        <x:v>13</x:v>
      </x:c>
      <x:c r="I114" s="1" t="str">
        <x:f t="shared" si="9">IF(G114&gt;H114,"Win",IF(G114&lt;H114,"Loss","Draw"))</x:f>
        <x:v>Loss</x:v>
      </x:c>
      <x:c r="J114" s="1" t="n">
        <x:f t="shared" si="10">IF(I114="Win",1,IF(I114="Loss",0,""))</x:f>
        <x:v>0</x:v>
      </x:c>
      <x:c r="K114" s="1" t="n">
        <x:f t="shared" si="11">G114-H114</x:f>
        <x:v>-7</x:v>
      </x:c>
      <x:c r="L114" s="1" t="n">
        <x:f>G114+H114</x:f>
        <x:v>19</x:v>
      </x:c>
      <x:c r="M114" s="1" t="n">
        <x:v>4</x:v>
      </x:c>
      <x:c r="N114" s="1" t="n">
        <x:v>18</x:v>
      </x:c>
      <x:c r="O114" s="3" t="n">
        <x:f t="shared" si="12"/>
        <x:v>4</x:v>
      </x:c>
      <x:c r="P114" s="22" t="n">
        <x:f t="shared" si="13">IF(N114=0,"",M114/N114)</x:f>
        <x:v>0.2222222222222222</x:v>
      </x:c>
      <x:c r="Q114" s="22" t="n">
        <x:f t="shared" si="14">IF(L114=0,"",M114/L114)</x:f>
        <x:v>0.21052631578947367</x:v>
      </x:c>
      <x:c r="R114" s="22" t="n">
        <x:f t="shared" si="15">IF(L114=0,"",N114/L114)</x:f>
        <x:v>0.9473684210526315</x:v>
      </x:c>
      <x:c r="S114" s="22" t="n">
        <x:f>IF(L114=0,"",O114/L114)</x:f>
        <x:v>0.21052631578947367</x:v>
      </x:c>
      <x:c r="T114" s="24" t="n">
        <x:v>-90</x:v>
      </x:c>
      <x:c r="U114" s="26" t="n">
        <x:v>0.04</x:v>
      </x:c>
      <x:c r="V114" s="24" t="n">
        <x:v>96</x:v>
      </x:c>
      <x:c r="W114"/>
      <x:c r="X114"/>
    </x:row>
    <x:row r="115">
      <x:c r="A115" s="1" t="n">
        <x:v>113</x:v>
      </x:c>
      <x:c r="B115" s="27" t="n">
        <x:v>45738</x:v>
      </x:c>
      <x:c r="C115" s="1" t="str">
        <x:v>Lotus</x:v>
      </x:c>
      <x:c r="D115" s="1" t="str">
        <x:v>9th</x:v>
      </x:c>
      <x:c r="E115" s="1" t="str">
        <x:v>Sage</x:v>
      </x:c>
      <x:c r="F115" s="1" t="str">
        <x:v>Sentinel</x:v>
      </x:c>
      <x:c r="G115" s="1" t="n">
        <x:v>10</x:v>
      </x:c>
      <x:c r="H115" s="1" t="n">
        <x:f t="shared" si="8"/>
        <x:v>13</x:v>
      </x:c>
      <x:c r="I115" s="1" t="str">
        <x:f t="shared" si="9">IF(G115&gt;H115,"Win",IF(G115&lt;H115,"Loss","Draw"))</x:f>
        <x:v>Loss</x:v>
      </x:c>
      <x:c r="J115" s="1" t="n">
        <x:f t="shared" si="10">IF(I115="Win",1,IF(I115="Loss",0,""))</x:f>
        <x:v>0</x:v>
      </x:c>
      <x:c r="K115" s="1" t="n">
        <x:f t="shared" si="11">G115-H115</x:f>
        <x:v>-3</x:v>
      </x:c>
      <x:c r="L115" s="1" t="n">
        <x:f>G115+H115</x:f>
        <x:v>23</x:v>
      </x:c>
      <x:c r="M115" s="1" t="n">
        <x:v>12</x:v>
      </x:c>
      <x:c r="N115" s="1" t="n">
        <x:v>15</x:v>
      </x:c>
      <x:c r="O115" s="3" t="n">
        <x:f t="shared" si="12"/>
        <x:v>10</x:v>
      </x:c>
      <x:c r="P115" s="22" t="n">
        <x:f t="shared" si="13">IF(N115=0,"",M115/N115)</x:f>
        <x:v>0.8</x:v>
      </x:c>
      <x:c r="Q115" s="22" t="n">
        <x:f t="shared" si="14">IF(L115=0,"",M115/L115)</x:f>
        <x:v>0.5217391304347826</x:v>
      </x:c>
      <x:c r="R115" s="22" t="n">
        <x:f t="shared" si="15">IF(L115=0,"",N115/L115)</x:f>
        <x:v>0.6521739130434783</x:v>
      </x:c>
      <x:c r="S115" s="22" t="n">
        <x:f>IF(L115=0,"",O115/L115)</x:f>
        <x:v>0.43478260869565216</x:v>
      </x:c>
      <x:c r="T115" s="24" t="n">
        <x:v>-19</x:v>
      </x:c>
      <x:c r="U115" s="26" t="n">
        <x:v>0.05</x:v>
      </x:c>
      <x:c r="V115" s="24" t="n">
        <x:v>144</x:v>
      </x:c>
      <x:c r="W115"/>
      <x:c r="X115"/>
    </x:row>
    <x:row r="116">
      <x:c r="A116" s="1" t="n">
        <x:v>114</x:v>
      </x:c>
      <x:c r="B116" s="27" t="n">
        <x:v>45739</x:v>
      </x:c>
      <x:c r="C116" s="1" t="str">
        <x:v>Fracture</x:v>
      </x:c>
      <x:c r="D116" s="1" t="str">
        <x:v>8th</x:v>
      </x:c>
      <x:c r="E116" s="1" t="str">
        <x:v>Sage</x:v>
      </x:c>
      <x:c r="F116" s="1" t="str">
        <x:v>Sentinel</x:v>
      </x:c>
      <x:c r="G116" s="1" t="n">
        <x:v>13</x:v>
      </x:c>
      <x:c r="H116" s="1" t="n">
        <x:f t="shared" si="8"/>
        <x:v>1</x:v>
      </x:c>
      <x:c r="I116" s="1" t="str">
        <x:f t="shared" si="9">IF(G116&gt;H116,"Win",IF(G116&lt;H116,"Loss","Draw"))</x:f>
        <x:v>Win</x:v>
      </x:c>
      <x:c r="J116" s="1" t="n">
        <x:f t="shared" si="10">IF(I116="Win",1,IF(I116="Loss",0,""))</x:f>
        <x:v>1</x:v>
      </x:c>
      <x:c r="K116" s="1" t="n">
        <x:f t="shared" si="11">G116-H116</x:f>
        <x:v>12</x:v>
      </x:c>
      <x:c r="L116" s="1" t="n">
        <x:f>G116+H116</x:f>
        <x:v>14</x:v>
      </x:c>
      <x:c r="M116" s="1" t="n">
        <x:v>4</x:v>
      </x:c>
      <x:c r="N116" s="1" t="n">
        <x:v>6</x:v>
      </x:c>
      <x:c r="O116" s="3" t="n">
        <x:f t="shared" si="12"/>
        <x:v>6</x:v>
      </x:c>
      <x:c r="P116" s="22" t="n">
        <x:f t="shared" si="13">IF(N116=0,"",M116/N116)</x:f>
        <x:v>0.6666666666666666</x:v>
      </x:c>
      <x:c r="Q116" s="22" t="n">
        <x:f t="shared" si="14">IF(L116=0,"",M116/L116)</x:f>
        <x:v>0.2857142857142857</x:v>
      </x:c>
      <x:c r="R116" s="22" t="n">
        <x:f t="shared" si="15">IF(L116=0,"",N116/L116)</x:f>
        <x:v>0.42857142857142855</x:v>
      </x:c>
      <x:c r="S116" s="22" t="n">
        <x:f>IF(L116=0,"",O116/L116)</x:f>
        <x:v>0.42857142857142855</x:v>
      </x:c>
      <x:c r="T116" s="24" t="n">
        <x:v>-55</x:v>
      </x:c>
      <x:c r="U116" s="26" t="n">
        <x:v>0</x:v>
      </x:c>
      <x:c r="V116" s="24" t="n">
        <x:v>74</x:v>
      </x:c>
      <x:c r="W116"/>
      <x:c r="X116"/>
    </x:row>
    <x:row r="117">
      <x:c r="A117" s="1" t="n">
        <x:v>115</x:v>
      </x:c>
      <x:c r="B117" s="27" t="n">
        <x:v>45739</x:v>
      </x:c>
      <x:c r="C117" s="1" t="str">
        <x:v>Haven</x:v>
      </x:c>
      <x:c r="D117" s="1" t="str">
        <x:v>8th</x:v>
      </x:c>
      <x:c r="E117" s="1" t="str">
        <x:v>Sage</x:v>
      </x:c>
      <x:c r="F117" s="1" t="str">
        <x:v>Sentinel</x:v>
      </x:c>
      <x:c r="G117" s="1" t="n">
        <x:v>7</x:v>
      </x:c>
      <x:c r="H117" s="1" t="n">
        <x:f t="shared" si="8"/>
        <x:v>13</x:v>
      </x:c>
      <x:c r="I117" s="1" t="str">
        <x:f t="shared" si="9">IF(G117&gt;H117,"Win",IF(G117&lt;H117,"Loss","Draw"))</x:f>
        <x:v>Loss</x:v>
      </x:c>
      <x:c r="J117" s="1" t="n">
        <x:f t="shared" si="10">IF(I117="Win",1,IF(I117="Loss",0,""))</x:f>
        <x:v>0</x:v>
      </x:c>
      <x:c r="K117" s="1" t="n">
        <x:f t="shared" si="11">G117-H117</x:f>
        <x:v>-6</x:v>
      </x:c>
      <x:c r="L117" s="1" t="n">
        <x:f>G117+H117</x:f>
        <x:v>20</x:v>
      </x:c>
      <x:c r="M117" s="1" t="n">
        <x:v>4</x:v>
      </x:c>
      <x:c r="N117" s="1" t="n">
        <x:v>10</x:v>
      </x:c>
      <x:c r="O117" s="3" t="n">
        <x:f t="shared" si="12"/>
        <x:v>2</x:v>
      </x:c>
      <x:c r="P117" s="22" t="n">
        <x:f t="shared" si="13">IF(N117=0,"",M117/N117)</x:f>
        <x:v>0.4</x:v>
      </x:c>
      <x:c r="Q117" s="22" t="n">
        <x:f t="shared" si="14">IF(L117=0,"",M117/L117)</x:f>
        <x:v>0.2</x:v>
      </x:c>
      <x:c r="R117" s="22" t="n">
        <x:f t="shared" si="15">IF(L117=0,"",N117/L117)</x:f>
        <x:v>0.5</x:v>
      </x:c>
      <x:c r="S117" s="22" t="n">
        <x:f>IF(L117=0,"",O117/L117)</x:f>
        <x:v>0.1</x:v>
      </x:c>
      <x:c r="T117" s="24" t="n">
        <x:v>-58</x:v>
      </x:c>
      <x:c r="U117" s="26" t="n">
        <x:v>0.13</x:v>
      </x:c>
      <x:c r="V117" s="24" t="n">
        <x:v>56</x:v>
      </x:c>
      <x:c r="W117"/>
      <x:c r="X117"/>
    </x:row>
    <x:row r="118">
      <x:c r="A118" s="1" t="n">
        <x:v>116</x:v>
      </x:c>
      <x:c r="B118" s="27" t="n">
        <x:v>45739</x:v>
      </x:c>
      <x:c r="C118" s="1" t="str">
        <x:v>Ascent</x:v>
      </x:c>
      <x:c r="D118" s="1" t="str">
        <x:v>10th</x:v>
      </x:c>
      <x:c r="E118" s="1" t="str">
        <x:v>Sage</x:v>
      </x:c>
      <x:c r="F118" s="1" t="str">
        <x:v>Sentinel</x:v>
      </x:c>
      <x:c r="G118" s="1" t="n">
        <x:v>13</x:v>
      </x:c>
      <x:c r="H118" s="1" t="n">
        <x:f t="shared" si="8"/>
        <x:v>10</x:v>
      </x:c>
      <x:c r="I118" s="1" t="str">
        <x:f t="shared" si="9">IF(G118&gt;H118,"Win",IF(G118&lt;H118,"Loss","Draw"))</x:f>
        <x:v>Win</x:v>
      </x:c>
      <x:c r="J118" s="1" t="n">
        <x:f t="shared" si="10">IF(I118="Win",1,IF(I118="Loss",0,""))</x:f>
        <x:v>1</x:v>
      </x:c>
      <x:c r="K118" s="1" t="n">
        <x:f t="shared" si="11">G118-H118</x:f>
        <x:v>3</x:v>
      </x:c>
      <x:c r="L118" s="1" t="n">
        <x:f>G118+H118</x:f>
        <x:v>23</x:v>
      </x:c>
      <x:c r="M118" s="1" t="n">
        <x:v>11</x:v>
      </x:c>
      <x:c r="N118" s="1" t="n">
        <x:v>14</x:v>
      </x:c>
      <x:c r="O118" s="3" t="n">
        <x:f t="shared" si="12"/>
        <x:v>11</x:v>
      </x:c>
      <x:c r="P118" s="22" t="n">
        <x:f t="shared" si="13">IF(N118=0,"",M118/N118)</x:f>
        <x:v>0.7857142857142857</x:v>
      </x:c>
      <x:c r="Q118" s="22" t="n">
        <x:f t="shared" si="14">IF(L118=0,"",M118/L118)</x:f>
        <x:v>0.4782608695652174</x:v>
      </x:c>
      <x:c r="R118" s="22" t="n">
        <x:f t="shared" si="15">IF(L118=0,"",N118/L118)</x:f>
        <x:v>0.6086956521739131</x:v>
      </x:c>
      <x:c r="S118" s="22" t="n">
        <x:f>IF(L118=0,"",O118/L118)</x:f>
        <x:v>0.4782608695652174</x:v>
      </x:c>
      <x:c r="T118" s="24" t="n">
        <x:v>-34</x:v>
      </x:c>
      <x:c r="U118" s="26" t="n">
        <x:v>0.11</x:v>
      </x:c>
      <x:c r="V118" s="24" t="n">
        <x:v>123</x:v>
      </x:c>
      <x:c r="W118"/>
      <x:c r="X118"/>
    </x:row>
    <x:row r="119">
      <x:c r="A119" s="1" t="n">
        <x:v>117</x:v>
      </x:c>
      <x:c r="B119" s="27" t="n">
        <x:v>45745</x:v>
      </x:c>
      <x:c r="C119" s="1" t="str">
        <x:v>Pearl</x:v>
      </x:c>
      <x:c r="D119" s="1" t="str">
        <x:v>10th</x:v>
      </x:c>
      <x:c r="E119" s="1" t="str">
        <x:v>Sage</x:v>
      </x:c>
      <x:c r="F119" s="1" t="str">
        <x:v>Sentinel</x:v>
      </x:c>
      <x:c r="G119" s="1" t="n">
        <x:v>12</x:v>
      </x:c>
      <x:c r="H119" s="1" t="n">
        <x:f t="shared" si="8"/>
        <x:v>14</x:v>
      </x:c>
      <x:c r="I119" s="1" t="str">
        <x:f t="shared" si="9">IF(G119&gt;H119,"Win",IF(G119&lt;H119,"Loss","Draw"))</x:f>
        <x:v>Loss</x:v>
      </x:c>
      <x:c r="J119" s="1" t="n">
        <x:f t="shared" si="10">IF(I119="Win",1,IF(I119="Loss",0,""))</x:f>
        <x:v>0</x:v>
      </x:c>
      <x:c r="K119" s="1" t="n">
        <x:f t="shared" si="11">G119-H119</x:f>
        <x:v>-2</x:v>
      </x:c>
      <x:c r="L119" s="1" t="n">
        <x:f>G119+H119</x:f>
        <x:v>26</x:v>
      </x:c>
      <x:c r="M119" s="1" t="n">
        <x:v>10</x:v>
      </x:c>
      <x:c r="N119" s="1" t="n">
        <x:v>16</x:v>
      </x:c>
      <x:c r="O119" s="3" t="n">
        <x:f t="shared" si="12"/>
        <x:v>13</x:v>
      </x:c>
      <x:c r="P119" s="22" t="n">
        <x:f t="shared" si="13">IF(N119=0,"",M119/N119)</x:f>
        <x:v>0.625</x:v>
      </x:c>
      <x:c r="Q119" s="22" t="n">
        <x:f t="shared" si="14">IF(L119=0,"",M119/L119)</x:f>
        <x:v>0.38461538461538464</x:v>
      </x:c>
      <x:c r="R119" s="22" t="n">
        <x:f t="shared" si="15">IF(L119=0,"",N119/L119)</x:f>
        <x:v>0.6153846153846154</x:v>
      </x:c>
      <x:c r="S119" s="22" t="n">
        <x:f>IF(L119=0,"",O119/L119)</x:f>
        <x:v>0.5</x:v>
      </x:c>
      <x:c r="T119" s="24" t="n">
        <x:v>-30</x:v>
      </x:c>
      <x:c r="U119" s="26" t="n">
        <x:v>0.17</x:v>
      </x:c>
      <x:c r="V119" s="24" t="n">
        <x:v>120</x:v>
      </x:c>
      <x:c r="W119"/>
      <x:c r="X119"/>
    </x:row>
    <x:row r="120">
      <x:c r="A120" s="1" t="n">
        <x:v>118</x:v>
      </x:c>
      <x:c r="B120" s="27" t="n">
        <x:v>45746</x:v>
      </x:c>
      <x:c r="C120" s="1" t="str">
        <x:v>Ascent</x:v>
      </x:c>
      <x:c r="D120" s="1" t="str">
        <x:v>3rd</x:v>
      </x:c>
      <x:c r="E120" s="1" t="str">
        <x:v>Sage</x:v>
      </x:c>
      <x:c r="F120" s="1" t="str">
        <x:v>Sentinel</x:v>
      </x:c>
      <x:c r="G120" s="1" t="n">
        <x:v>12</x:v>
      </x:c>
      <x:c r="H120" s="1" t="n">
        <x:f t="shared" si="8"/>
        <x:v>0</x:v>
      </x:c>
      <x:c r="I120" s="1" t="str">
        <x:f t="shared" si="9">IF(G120&gt;H120,"Win",IF(G120&lt;H120,"Loss","Draw"))</x:f>
        <x:v>Win</x:v>
      </x:c>
      <x:c r="J120" s="1" t="n">
        <x:f t="shared" si="10">IF(I120="Win",1,IF(I120="Loss",0,""))</x:f>
        <x:v>1</x:v>
      </x:c>
      <x:c r="K120" s="1" t="n">
        <x:f t="shared" si="11">G120-H120</x:f>
        <x:v>12</x:v>
      </x:c>
      <x:c r="L120" s="1" t="n">
        <x:f>G120+H120</x:f>
        <x:v>12</x:v>
      </x:c>
      <x:c r="M120" s="1" t="n">
        <x:v>9</x:v>
      </x:c>
      <x:c r="N120" s="1" t="n">
        <x:v>2</x:v>
      </x:c>
      <x:c r="O120" s="3" t="n">
        <x:f t="shared" si="12"/>
        <x:v>3</x:v>
      </x:c>
      <x:c r="P120" s="22" t="n">
        <x:f t="shared" si="13">IF(N120=0,"",M120/N120)</x:f>
        <x:v>4.5</x:v>
      </x:c>
      <x:c r="Q120" s="22" t="n">
        <x:f t="shared" si="14">IF(L120=0,"",M120/L120)</x:f>
        <x:v>0.75</x:v>
      </x:c>
      <x:c r="R120" s="22" t="n">
        <x:f t="shared" si="15">IF(L120=0,"",N120/L120)</x:f>
        <x:v>0.16666666666666666</x:v>
      </x:c>
      <x:c r="S120" s="22" t="n">
        <x:f>IF(L120=0,"",O120/L120)</x:f>
        <x:v>0.25</x:v>
      </x:c>
      <x:c r="T120" s="24" t="n">
        <x:v>65</x:v>
      </x:c>
      <x:c r="U120" s="26" t="n">
        <x:v>0.13</x:v>
      </x:c>
      <x:c r="V120" s="24" t="n">
        <x:v>182</x:v>
      </x:c>
      <x:c r="W120"/>
      <x:c r="X120"/>
    </x:row>
    <x:row r="121">
      <x:c r="A121" s="1" t="n">
        <x:v>119</x:v>
      </x:c>
      <x:c r="B121" s="27" t="n">
        <x:v>45746</x:v>
      </x:c>
      <x:c r="C121" s="1" t="str">
        <x:v>Lotus</x:v>
      </x:c>
      <x:c r="D121" s="1" t="str">
        <x:v>7th</x:v>
      </x:c>
      <x:c r="E121" s="1" t="str">
        <x:v>Breach</x:v>
      </x:c>
      <x:c r="F121" s="1" t="str">
        <x:v>Initiator</x:v>
      </x:c>
      <x:c r="G121" s="1" t="n">
        <x:v>6</x:v>
      </x:c>
      <x:c r="H121" s="1" t="n">
        <x:f t="shared" si="8"/>
        <x:v>13</x:v>
      </x:c>
      <x:c r="I121" s="1" t="str">
        <x:f t="shared" si="9">IF(G121&gt;H121,"Win",IF(G121&lt;H121,"Loss","Draw"))</x:f>
        <x:v>Loss</x:v>
      </x:c>
      <x:c r="J121" s="1" t="n">
        <x:f t="shared" si="10">IF(I121="Win",1,IF(I121="Loss",0,""))</x:f>
        <x:v>0</x:v>
      </x:c>
      <x:c r="K121" s="1" t="n">
        <x:f t="shared" si="11">G121-H121</x:f>
        <x:v>-7</x:v>
      </x:c>
      <x:c r="L121" s="1" t="n">
        <x:f>G121+H121</x:f>
        <x:v>19</x:v>
      </x:c>
      <x:c r="M121" s="1" t="n">
        <x:v>12</x:v>
      </x:c>
      <x:c r="N121" s="1" t="n">
        <x:v>16</x:v>
      </x:c>
      <x:c r="O121" s="3" t="n">
        <x:f t="shared" si="12"/>
        <x:v>1</x:v>
      </x:c>
      <x:c r="P121" s="22" t="n">
        <x:f t="shared" si="13">IF(N121=0,"",M121/N121)</x:f>
        <x:v>0.75</x:v>
      </x:c>
      <x:c r="Q121" s="22" t="n">
        <x:f t="shared" si="14">IF(L121=0,"",M121/L121)</x:f>
        <x:v>0.631578947368421</x:v>
      </x:c>
      <x:c r="R121" s="22" t="n">
        <x:f t="shared" si="15">IF(L121=0,"",N121/L121)</x:f>
        <x:v>0.8421052631578947</x:v>
      </x:c>
      <x:c r="S121" s="22" t="n">
        <x:f>IF(L121=0,"",O121/L121)</x:f>
        <x:v>0.05263157894736842</x:v>
      </x:c>
      <x:c r="T121" s="24" t="n">
        <x:v>-27</x:v>
      </x:c>
      <x:c r="U121" s="26" t="n">
        <x:v>0.07</x:v>
      </x:c>
      <x:c r="V121" s="24" t="n">
        <x:v>174</x:v>
      </x:c>
      <x:c r="W121"/>
      <x:c r="X121"/>
    </x:row>
    <x:row r="122">
      <x:c r="A122" s="1" t="n">
        <x:v>120</x:v>
      </x:c>
      <x:c r="B122" s="27" t="n">
        <x:v>45746</x:v>
      </x:c>
      <x:c r="C122" s="1" t="str">
        <x:v>Pearl</x:v>
      </x:c>
      <x:c r="D122" s="1" t="str">
        <x:v>2nd</x:v>
      </x:c>
      <x:c r="E122" s="1" t="str">
        <x:v>Breach</x:v>
      </x:c>
      <x:c r="F122" s="1" t="str">
        <x:v>Initiator</x:v>
      </x:c>
      <x:c r="G122" s="1" t="n">
        <x:v>13</x:v>
      </x:c>
      <x:c r="H122" s="1" t="n">
        <x:f t="shared" si="8"/>
        <x:v>10</x:v>
      </x:c>
      <x:c r="I122" s="1" t="str">
        <x:f t="shared" si="9">IF(G122&gt;H122,"Win",IF(G122&lt;H122,"Loss","Draw"))</x:f>
        <x:v>Win</x:v>
      </x:c>
      <x:c r="J122" s="1" t="n">
        <x:f t="shared" si="10">IF(I122="Win",1,IF(I122="Loss",0,""))</x:f>
        <x:v>1</x:v>
      </x:c>
      <x:c r="K122" s="1" t="n">
        <x:f t="shared" si="11">G122-H122</x:f>
        <x:v>3</x:v>
      </x:c>
      <x:c r="L122" s="1" t="n">
        <x:f>G122+H122</x:f>
        <x:v>23</x:v>
      </x:c>
      <x:c r="M122" s="1" t="n">
        <x:v>24</x:v>
      </x:c>
      <x:c r="N122" s="1" t="n">
        <x:v>13</x:v>
      </x:c>
      <x:c r="O122" s="3" t="n">
        <x:f t="shared" si="12"/>
        <x:v>8</x:v>
      </x:c>
      <x:c r="P122" s="22" t="n">
        <x:f t="shared" si="13">IF(N122=0,"",M122/N122)</x:f>
        <x:v>1.8461538461538463</x:v>
      </x:c>
      <x:c r="Q122" s="22" t="n">
        <x:f t="shared" si="14">IF(L122=0,"",M122/L122)</x:f>
        <x:v>1.0434782608695652</x:v>
      </x:c>
      <x:c r="R122" s="22" t="n">
        <x:f t="shared" si="15">IF(L122=0,"",N122/L122)</x:f>
        <x:v>0.5652173913043478</x:v>
      </x:c>
      <x:c r="S122" s="22" t="n">
        <x:f>IF(L122=0,"",O122/L122)</x:f>
        <x:v>0.34782608695652173</x:v>
      </x:c>
      <x:c r="T122" s="24" t="n">
        <x:v>91</x:v>
      </x:c>
      <x:c r="U122" s="26" t="n">
        <x:v>0.09</x:v>
      </x:c>
      <x:c r="V122" s="24" t="n">
        <x:v>289</x:v>
      </x:c>
      <x:c r="W122"/>
      <x:c r="X122"/>
    </x:row>
    <x:row r="123">
      <x:c r="A123" s="1" t="n">
        <x:v>121</x:v>
      </x:c>
      <x:c r="B123" s="27" t="n">
        <x:v>45746</x:v>
      </x:c>
      <x:c r="C123" s="1" t="str">
        <x:v>Icebox</x:v>
      </x:c>
      <x:c r="D123" s="1" t="str">
        <x:v>9th</x:v>
      </x:c>
      <x:c r="E123" s="1" t="str">
        <x:v>Sage</x:v>
      </x:c>
      <x:c r="F123" s="1" t="str">
        <x:v>Sentinel</x:v>
      </x:c>
      <x:c r="G123" s="1" t="n">
        <x:v>14</x:v>
      </x:c>
      <x:c r="H123" s="1" t="n">
        <x:f t="shared" si="8"/>
        <x:v>14</x:v>
      </x:c>
      <x:c r="I123" s="1" t="str">
        <x:f t="shared" si="9">IF(G123&gt;H123,"Win",IF(G123&lt;H123,"Loss","Draw"))</x:f>
        <x:v>Draw</x:v>
      </x:c>
      <x:c r="J123" s="1" t="str">
        <x:f t="shared" si="10">IF(I123="Win",1,IF(I123="Loss",0,""))</x:f>
      </x:c>
      <x:c r="K123" s="1" t="n">
        <x:f t="shared" si="11">G123-H123</x:f>
        <x:v>0</x:v>
      </x:c>
      <x:c r="L123" s="1" t="n">
        <x:f>G123+H123</x:f>
        <x:v>28</x:v>
      </x:c>
      <x:c r="M123" s="1" t="n">
        <x:v>16</x:v>
      </x:c>
      <x:c r="N123" s="1" t="n">
        <x:v>20</x:v>
      </x:c>
      <x:c r="O123" s="3" t="n">
        <x:f t="shared" si="12"/>
        <x:v>11</x:v>
      </x:c>
      <x:c r="P123" s="22" t="n">
        <x:f t="shared" si="13">IF(N123=0,"",M123/N123)</x:f>
        <x:v>0.8</x:v>
      </x:c>
      <x:c r="Q123" s="22" t="n">
        <x:f t="shared" si="14">IF(L123=0,"",M123/L123)</x:f>
        <x:v>0.5714285714285714</x:v>
      </x:c>
      <x:c r="R123" s="22" t="n">
        <x:f t="shared" si="15">IF(L123=0,"",N123/L123)</x:f>
        <x:v>0.7142857142857143</x:v>
      </x:c>
      <x:c r="S123" s="22" t="n">
        <x:f>IF(L123=0,"",O123/L123)</x:f>
        <x:v>0.39285714285714285</x:v>
      </x:c>
      <x:c r="T123" s="24" t="n">
        <x:v>-39</x:v>
      </x:c>
      <x:c r="U123" s="26" t="n">
        <x:v>0.1</x:v>
      </x:c>
      <x:c r="V123" s="24" t="n">
        <x:v>155</x:v>
      </x:c>
      <x:c r="W123"/>
      <x:c r="X123"/>
    </x:row>
    <x:row r="124">
      <x:c r="A124" s="1" t="n">
        <x:v>122</x:v>
      </x:c>
      <x:c r="B124" s="27" t="n">
        <x:v>45747</x:v>
      </x:c>
      <x:c r="C124" s="1" t="str">
        <x:v>Haven</x:v>
      </x:c>
      <x:c r="D124" s="1" t="str">
        <x:v>7th</x:v>
      </x:c>
      <x:c r="E124" s="1" t="str">
        <x:v>Sage</x:v>
      </x:c>
      <x:c r="F124" s="1" t="str">
        <x:v>Sentinel</x:v>
      </x:c>
      <x:c r="G124" s="1" t="n">
        <x:v>10</x:v>
      </x:c>
      <x:c r="H124" s="1" t="n">
        <x:f t="shared" si="8"/>
        <x:v>13</x:v>
      </x:c>
      <x:c r="I124" s="1" t="str">
        <x:f t="shared" si="9">IF(G124&gt;H124,"Win",IF(G124&lt;H124,"Loss","Draw"))</x:f>
        <x:v>Loss</x:v>
      </x:c>
      <x:c r="J124" s="1" t="n">
        <x:f t="shared" si="10">IF(I124="Win",1,IF(I124="Loss",0,""))</x:f>
        <x:v>0</x:v>
      </x:c>
      <x:c r="K124" s="1" t="n">
        <x:f t="shared" si="11">G124-H124</x:f>
        <x:v>-3</x:v>
      </x:c>
      <x:c r="L124" s="1" t="n">
        <x:f>G124+H124</x:f>
        <x:v>23</x:v>
      </x:c>
      <x:c r="M124" s="1" t="n">
        <x:v>12</x:v>
      </x:c>
      <x:c r="N124" s="1" t="n">
        <x:v>16</x:v>
      </x:c>
      <x:c r="O124" s="3" t="n">
        <x:f t="shared" si="12"/>
        <x:v>6</x:v>
      </x:c>
      <x:c r="P124" s="22" t="n">
        <x:f t="shared" si="13">IF(N124=0,"",M124/N124)</x:f>
        <x:v>0.75</x:v>
      </x:c>
      <x:c r="Q124" s="22" t="n">
        <x:f t="shared" si="14">IF(L124=0,"",M124/L124)</x:f>
        <x:v>0.5217391304347826</x:v>
      </x:c>
      <x:c r="R124" s="22" t="n">
        <x:f t="shared" si="15">IF(L124=0,"",N124/L124)</x:f>
        <x:v>0.6956521739130435</x:v>
      </x:c>
      <x:c r="S124" s="22" t="n">
        <x:f>IF(L124=0,"",O124/L124)</x:f>
        <x:v>0.2608695652173913</x:v>
      </x:c>
      <x:c r="T124" s="24" t="n">
        <x:v>-21</x:v>
      </x:c>
      <x:c r="U124" s="26" t="n">
        <x:v>0.08</x:v>
      </x:c>
      <x:c r="V124" s="24" t="n">
        <x:v>159</x:v>
      </x:c>
      <x:c r="W124"/>
      <x:c r="X124"/>
    </x:row>
    <x:row r="125">
      <x:c r="A125" s="1" t="n">
        <x:v>123</x:v>
      </x:c>
      <x:c r="B125" s="27" t="n">
        <x:v>45747</x:v>
      </x:c>
      <x:c r="C125" s="1" t="str">
        <x:v>Fracture</x:v>
      </x:c>
      <x:c r="D125" s="1" t="str">
        <x:v>7th</x:v>
      </x:c>
      <x:c r="E125" s="1" t="str">
        <x:v>Sage</x:v>
      </x:c>
      <x:c r="F125" s="1" t="str">
        <x:v>Sentinel</x:v>
      </x:c>
      <x:c r="G125" s="1" t="n">
        <x:v>15</x:v>
      </x:c>
      <x:c r="H125" s="1" t="n">
        <x:f t="shared" si="8"/>
        <x:v>15</x:v>
      </x:c>
      <x:c r="I125" s="1" t="str">
        <x:f t="shared" si="9">IF(G125&gt;H125,"Win",IF(G125&lt;H125,"Loss","Draw"))</x:f>
        <x:v>Draw</x:v>
      </x:c>
      <x:c r="J125" s="1" t="str">
        <x:f t="shared" si="10">IF(I125="Win",1,IF(I125="Loss",0,""))</x:f>
      </x:c>
      <x:c r="K125" s="1" t="n">
        <x:f t="shared" si="11">G125-H125</x:f>
        <x:v>0</x:v>
      </x:c>
      <x:c r="L125" s="1" t="n">
        <x:f>G125+H125</x:f>
        <x:v>30</x:v>
      </x:c>
      <x:c r="M125" s="1" t="n">
        <x:v>14</x:v>
      </x:c>
      <x:c r="N125" s="1" t="n">
        <x:v>18</x:v>
      </x:c>
      <x:c r="O125" s="3" t="n">
        <x:f t="shared" si="12"/>
        <x:v>3</x:v>
      </x:c>
      <x:c r="P125" s="22" t="n">
        <x:f t="shared" si="13">IF(N125=0,"",M125/N125)</x:f>
        <x:v>0.7777777777777778</x:v>
      </x:c>
      <x:c r="Q125" s="22" t="n">
        <x:f t="shared" si="14">IF(L125=0,"",M125/L125)</x:f>
        <x:v>0.4666666666666667</x:v>
      </x:c>
      <x:c r="R125" s="22" t="n">
        <x:f t="shared" si="15">IF(L125=0,"",N125/L125)</x:f>
        <x:v>0.6</x:v>
      </x:c>
      <x:c r="S125" s="22" t="n">
        <x:f>IF(L125=0,"",O125/L125)</x:f>
        <x:v>0.1</x:v>
      </x:c>
      <x:c r="T125" s="24" t="n">
        <x:v>-29</x:v>
      </x:c>
      <x:c r="U125" s="26" t="n">
        <x:v>0.13</x:v>
      </x:c>
      <x:c r="V125" s="24" t="n">
        <x:v>135</x:v>
      </x:c>
      <x:c r="W125"/>
      <x:c r="X125"/>
    </x:row>
    <x:row r="126">
      <x:c r="A126" s="1" t="n">
        <x:v>124</x:v>
      </x:c>
      <x:c r="B126" s="27" t="n">
        <x:v>45750</x:v>
      </x:c>
      <x:c r="C126" s="1" t="str">
        <x:v>Lotus</x:v>
      </x:c>
      <x:c r="D126" s="1" t="str">
        <x:v>10th</x:v>
      </x:c>
      <x:c r="E126" s="1" t="str">
        <x:v>Sage</x:v>
      </x:c>
      <x:c r="F126" s="1" t="str">
        <x:v>Sentinel</x:v>
      </x:c>
      <x:c r="G126" s="1" t="n">
        <x:v>13</x:v>
      </x:c>
      <x:c r="H126" s="1" t="n">
        <x:f t="shared" si="8"/>
        <x:v>9</x:v>
      </x:c>
      <x:c r="I126" s="1" t="str">
        <x:f t="shared" si="9">IF(G126&gt;H126,"Win",IF(G126&lt;H126,"Loss","Draw"))</x:f>
        <x:v>Win</x:v>
      </x:c>
      <x:c r="J126" s="1" t="n">
        <x:f t="shared" si="10">IF(I126="Win",1,IF(I126="Loss",0,""))</x:f>
        <x:v>1</x:v>
      </x:c>
      <x:c r="K126" s="1" t="n">
        <x:f t="shared" si="11">G126-H126</x:f>
        <x:v>4</x:v>
      </x:c>
      <x:c r="L126" s="1" t="n">
        <x:f>G126+H126</x:f>
        <x:v>22</x:v>
      </x:c>
      <x:c r="M126" s="1" t="n">
        <x:v>11</x:v>
      </x:c>
      <x:c r="N126" s="1" t="n">
        <x:v>16</x:v>
      </x:c>
      <x:c r="O126" s="3" t="n">
        <x:f t="shared" si="12"/>
        <x:v>4</x:v>
      </x:c>
      <x:c r="P126" s="22" t="n">
        <x:f t="shared" si="13">IF(N126=0,"",M126/N126)</x:f>
        <x:v>0.6875</x:v>
      </x:c>
      <x:c r="Q126" s="22" t="n">
        <x:f t="shared" si="14">IF(L126=0,"",M126/L126)</x:f>
        <x:v>0.5</x:v>
      </x:c>
      <x:c r="R126" s="22" t="n">
        <x:f t="shared" si="15">IF(L126=0,"",N126/L126)</x:f>
        <x:v>0.7272727272727273</x:v>
      </x:c>
      <x:c r="S126" s="22" t="n">
        <x:f>IF(L126=0,"",O126/L126)</x:f>
        <x:v>0.18181818181818182</x:v>
      </x:c>
      <x:c r="T126" s="24" t="n">
        <x:v>-51</x:v>
      </x:c>
      <x:c r="U126" s="26" t="n">
        <x:v>0.06</x:v>
      </x:c>
      <x:c r="V126" s="24" t="n">
        <x:v>145</x:v>
      </x:c>
      <x:c r="W126"/>
      <x:c r="X126"/>
    </x:row>
    <x:row r="127">
      <x:c r="A127" s="1" t="n">
        <x:v>125</x:v>
      </x:c>
      <x:c r="B127" s="27" t="n">
        <x:v>45752</x:v>
      </x:c>
      <x:c r="C127" s="1" t="str">
        <x:v>Fracture</x:v>
      </x:c>
      <x:c r="D127" s="1" t="str">
        <x:v>5th</x:v>
      </x:c>
      <x:c r="E127" s="1" t="str">
        <x:v>Breach</x:v>
      </x:c>
      <x:c r="F127" s="1" t="str">
        <x:v>Initiator</x:v>
      </x:c>
      <x:c r="G127" s="1" t="n">
        <x:v>13</x:v>
      </x:c>
      <x:c r="H127" s="1" t="n">
        <x:f t="shared" si="8"/>
        <x:v>5</x:v>
      </x:c>
      <x:c r="I127" s="1" t="str">
        <x:f t="shared" si="9">IF(G127&gt;H127,"Win",IF(G127&lt;H127,"Loss","Draw"))</x:f>
        <x:v>Win</x:v>
      </x:c>
      <x:c r="J127" s="1" t="n">
        <x:f t="shared" si="10">IF(I127="Win",1,IF(I127="Loss",0,""))</x:f>
        <x:v>1</x:v>
      </x:c>
      <x:c r="K127" s="1" t="n">
        <x:f t="shared" si="11">G127-H127</x:f>
        <x:v>8</x:v>
      </x:c>
      <x:c r="L127" s="1" t="n">
        <x:f>G127+H127</x:f>
        <x:v>18</x:v>
      </x:c>
      <x:c r="M127" s="1" t="n">
        <x:v>12</x:v>
      </x:c>
      <x:c r="N127" s="1" t="n">
        <x:v>9</x:v>
      </x:c>
      <x:c r="O127" s="3" t="n">
        <x:f t="shared" si="12"/>
        <x:v>3</x:v>
      </x:c>
      <x:c r="P127" s="22" t="n">
        <x:f t="shared" si="13">IF(N127=0,"",M127/N127)</x:f>
        <x:v>1.3333333333333333</x:v>
      </x:c>
      <x:c r="Q127" s="22" t="n">
        <x:f t="shared" si="14">IF(L127=0,"",M127/L127)</x:f>
        <x:v>0.6666666666666666</x:v>
      </x:c>
      <x:c r="R127" s="22" t="n">
        <x:f t="shared" si="15">IF(L127=0,"",N127/L127)</x:f>
        <x:v>0.5</x:v>
      </x:c>
      <x:c r="S127" s="22" t="n">
        <x:f>IF(L127=0,"",O127/L127)</x:f>
        <x:v>0.16666666666666666</x:v>
      </x:c>
      <x:c r="T127" s="24" t="n">
        <x:v>30</x:v>
      </x:c>
      <x:c r="U127" s="26" t="n">
        <x:v>0.04</x:v>
      </x:c>
      <x:c r="V127" s="24" t="n">
        <x:v>182</x:v>
      </x:c>
      <x:c r="W127"/>
      <x:c r="X127"/>
    </x:row>
    <x:row r="128">
      <x:c r="A128" s="1" t="n">
        <x:v>126</x:v>
      </x:c>
      <x:c r="B128" s="27" t="n">
        <x:v>45753</x:v>
      </x:c>
      <x:c r="C128" s="1" t="str">
        <x:v>Lotus</x:v>
      </x:c>
      <x:c r="D128" s="1" t="str">
        <x:v>10th</x:v>
      </x:c>
      <x:c r="E128" s="1" t="str">
        <x:v>Breach</x:v>
      </x:c>
      <x:c r="F128" s="1" t="str">
        <x:v>Initiator</x:v>
      </x:c>
      <x:c r="G128" s="1" t="n">
        <x:v>13</x:v>
      </x:c>
      <x:c r="H128" s="1" t="n">
        <x:f t="shared" si="8"/>
        <x:v>4</x:v>
      </x:c>
      <x:c r="I128" s="1" t="str">
        <x:f t="shared" si="9">IF(G128&gt;H128,"Win",IF(G128&lt;H128,"Loss","Draw"))</x:f>
        <x:v>Win</x:v>
      </x:c>
      <x:c r="J128" s="1" t="n">
        <x:f t="shared" si="10">IF(I128="Win",1,IF(I128="Loss",0,""))</x:f>
        <x:v>1</x:v>
      </x:c>
      <x:c r="K128" s="1" t="n">
        <x:f t="shared" si="11">G128-H128</x:f>
        <x:v>9</x:v>
      </x:c>
      <x:c r="L128" s="1" t="n">
        <x:f>G128+H128</x:f>
        <x:v>17</x:v>
      </x:c>
      <x:c r="M128" s="1" t="n">
        <x:v>6</x:v>
      </x:c>
      <x:c r="N128" s="1" t="n">
        <x:v>10</x:v>
      </x:c>
      <x:c r="O128" s="3" t="n">
        <x:f t="shared" si="12"/>
        <x:v>2</x:v>
      </x:c>
      <x:c r="P128" s="22" t="n">
        <x:f t="shared" si="13">IF(N128=0,"",M128/N128)</x:f>
        <x:v>0.6</x:v>
      </x:c>
      <x:c r="Q128" s="22" t="n">
        <x:f t="shared" si="14">IF(L128=0,"",M128/L128)</x:f>
        <x:v>0.35294117647058826</x:v>
      </x:c>
      <x:c r="R128" s="22" t="n">
        <x:f t="shared" si="15">IF(L128=0,"",N128/L128)</x:f>
        <x:v>0.5882352941176471</x:v>
      </x:c>
      <x:c r="S128" s="22" t="n">
        <x:f>IF(L128=0,"",O128/L128)</x:f>
        <x:v>0.11764705882352941</x:v>
      </x:c>
      <x:c r="T128" s="24" t="n">
        <x:v>-78</x:v>
      </x:c>
      <x:c r="U128" s="26" t="n">
        <x:v>0.07</x:v>
      </x:c>
      <x:c r="V128" s="24" t="n">
        <x:v>92</x:v>
      </x:c>
      <x:c r="W128"/>
      <x:c r="X128"/>
    </x:row>
    <x:row r="129">
      <x:c r="A129" s="1" t="n">
        <x:v>127</x:v>
      </x:c>
      <x:c r="B129" s="27" t="n">
        <x:v>45754</x:v>
      </x:c>
      <x:c r="C129" s="1" t="str">
        <x:v>Ascent</x:v>
      </x:c>
      <x:c r="D129" s="1" t="str">
        <x:v>10th</x:v>
      </x:c>
      <x:c r="E129" s="1" t="str">
        <x:v>Killjoy</x:v>
      </x:c>
      <x:c r="F129" s="1" t="str">
        <x:v>Sentinel</x:v>
      </x:c>
      <x:c r="G129" s="1" t="n">
        <x:v>9</x:v>
      </x:c>
      <x:c r="H129" s="1" t="n">
        <x:f t="shared" si="8"/>
        <x:v>13</x:v>
      </x:c>
      <x:c r="I129" s="1" t="str">
        <x:f t="shared" si="9">IF(G129&gt;H129,"Win",IF(G129&lt;H129,"Loss","Draw"))</x:f>
        <x:v>Loss</x:v>
      </x:c>
      <x:c r="J129" s="1" t="n">
        <x:f t="shared" si="10">IF(I129="Win",1,IF(I129="Loss",0,""))</x:f>
        <x:v>0</x:v>
      </x:c>
      <x:c r="K129" s="1" t="n">
        <x:f t="shared" si="11">G129-H129</x:f>
        <x:v>-4</x:v>
      </x:c>
      <x:c r="L129" s="1" t="n">
        <x:f>G129+H129</x:f>
        <x:v>22</x:v>
      </x:c>
      <x:c r="M129" s="1" t="n">
        <x:v>10</x:v>
      </x:c>
      <x:c r="N129" s="1" t="n">
        <x:v>15</x:v>
      </x:c>
      <x:c r="O129" s="3" t="n">
        <x:f t="shared" si="12"/>
        <x:v>4</x:v>
      </x:c>
      <x:c r="P129" s="22" t="n">
        <x:f t="shared" si="13">IF(N129=0,"",M129/N129)</x:f>
        <x:v>0.6666666666666666</x:v>
      </x:c>
      <x:c r="Q129" s="22" t="n">
        <x:f t="shared" si="14">IF(L129=0,"",M129/L129)</x:f>
        <x:v>0.45454545454545453</x:v>
      </x:c>
      <x:c r="R129" s="22" t="n">
        <x:f t="shared" si="15">IF(L129=0,"",N129/L129)</x:f>
        <x:v>0.6818181818181818</x:v>
      </x:c>
      <x:c r="S129" s="22" t="n">
        <x:f>IF(L129=0,"",O129/L129)</x:f>
        <x:v>0.18181818181818182</x:v>
      </x:c>
      <x:c r="T129" s="24" t="n">
        <x:v>-30</x:v>
      </x:c>
      <x:c r="U129" s="26" t="n">
        <x:v>0.05</x:v>
      </x:c>
      <x:c r="V129" s="24" t="n">
        <x:v>141</x:v>
      </x:c>
      <x:c r="W129"/>
      <x:c r="X129"/>
    </x:row>
    <x:row r="130">
      <x:c r="A130" s="1" t="n">
        <x:v>128</x:v>
      </x:c>
      <x:c r="B130" s="27" t="n">
        <x:v>45754</x:v>
      </x:c>
      <x:c r="C130" s="1" t="str">
        <x:v>Haven</x:v>
      </x:c>
      <x:c r="D130" s="1" t="str">
        <x:v>3rd</x:v>
      </x:c>
      <x:c r="E130" s="1" t="str">
        <x:v>Killjoy</x:v>
      </x:c>
      <x:c r="F130" s="1" t="str">
        <x:v>Sentinel</x:v>
      </x:c>
      <x:c r="G130" s="1" t="n">
        <x:v>13</x:v>
      </x:c>
      <x:c r="H130" s="1" t="n">
        <x:f t="shared" si="8"/>
        <x:v>11</x:v>
      </x:c>
      <x:c r="I130" s="1" t="str">
        <x:f t="shared" si="9">IF(G130&gt;H130,"Win",IF(G130&lt;H130,"Loss","Draw"))</x:f>
        <x:v>Win</x:v>
      </x:c>
      <x:c r="J130" s="1" t="n">
        <x:f t="shared" si="10">IF(I130="Win",1,IF(I130="Loss",0,""))</x:f>
        <x:v>1</x:v>
      </x:c>
      <x:c r="K130" s="1" t="n">
        <x:f t="shared" si="11">G130-H130</x:f>
        <x:v>2</x:v>
      </x:c>
      <x:c r="L130" s="1" t="n">
        <x:f>G130+H130</x:f>
        <x:v>24</x:v>
      </x:c>
      <x:c r="M130" s="1" t="n">
        <x:v>26</x:v>
      </x:c>
      <x:c r="N130" s="1" t="n">
        <x:v>16</x:v>
      </x:c>
      <x:c r="O130" s="3" t="n">
        <x:f t="shared" si="12"/>
        <x:v>10</x:v>
      </x:c>
      <x:c r="P130" s="22" t="n">
        <x:f t="shared" si="13">IF(N130=0,"",M130/N130)</x:f>
        <x:v>1.625</x:v>
      </x:c>
      <x:c r="Q130" s="22" t="n">
        <x:f t="shared" si="14">IF(L130=0,"",M130/L130)</x:f>
        <x:v>1.0833333333333333</x:v>
      </x:c>
      <x:c r="R130" s="22" t="n">
        <x:f t="shared" si="15">IF(L130=0,"",N130/L130)</x:f>
        <x:v>0.6666666666666666</x:v>
      </x:c>
      <x:c r="S130" s="22" t="n">
        <x:f>IF(L130=0,"",O130/L130)</x:f>
        <x:v>0.4166666666666667</x:v>
      </x:c>
      <x:c r="T130" s="24" t="n">
        <x:v>102</x:v>
      </x:c>
      <x:c r="U130" s="26" t="n">
        <x:v>0.05</x:v>
      </x:c>
      <x:c r="V130" s="24" t="n">
        <x:v>339</x:v>
      </x:c>
      <x:c r="W130"/>
      <x:c r="X130"/>
    </x:row>
    <x:row r="131">
      <x:c r="A131" s="1" t="n">
        <x:v>129</x:v>
      </x:c>
      <x:c r="B131" s="27" t="n">
        <x:v>45754</x:v>
      </x:c>
      <x:c r="C131" s="1" t="str">
        <x:v>Icebox</x:v>
      </x:c>
      <x:c r="D131" s="1" t="str">
        <x:v>6th</x:v>
      </x:c>
      <x:c r="E131" s="1" t="str">
        <x:v>Killjoy</x:v>
      </x:c>
      <x:c r="F131" s="1" t="str">
        <x:v>Sentinel</x:v>
      </x:c>
      <x:c r="G131" s="1" t="n">
        <x:v>13</x:v>
      </x:c>
      <x:c r="H131" s="1" t="n">
        <x:f t="shared" ref="H131:H194" si="16">IF(F131&gt;G131,"Win",IF(F131&lt;G131,"Loss","Draw"))</x:f>
        <x:v>3</x:v>
      </x:c>
      <x:c r="I131" s="1" t="str">
        <x:f t="shared" ref="I131:I194" si="17">IF(G131&gt;H131,"Win",IF(G131&lt;H131,"Loss","Draw"))</x:f>
        <x:v>Win</x:v>
      </x:c>
      <x:c r="J131" s="1" t="n">
        <x:f t="shared" ref="J131:J194" si="18">IF(I131="Win",1,IF(I131="Loss",0,""))</x:f>
        <x:v>1</x:v>
      </x:c>
      <x:c r="K131" s="1" t="n">
        <x:f t="shared" ref="K131:K194" si="19">G131-H131</x:f>
        <x:v>10</x:v>
      </x:c>
      <x:c r="L131" s="1" t="n">
        <x:f>G131+H131</x:f>
        <x:v>16</x:v>
      </x:c>
      <x:c r="M131" s="1" t="n">
        <x:v>10</x:v>
      </x:c>
      <x:c r="N131" s="1" t="n">
        <x:v>5</x:v>
      </x:c>
      <x:c r="O131" s="3" t="n">
        <x:f t="shared" ref="O131:O194" si="20">IF(M131=0,"",L131/M131)</x:f>
        <x:v>6</x:v>
      </x:c>
      <x:c r="P131" s="22" t="n">
        <x:f t="shared" ref="P131:P194" si="21">IF(N131=0,"",M131/N131)</x:f>
        <x:v>2</x:v>
      </x:c>
      <x:c r="Q131" s="22" t="n">
        <x:f t="shared" ref="Q131:Q194" si="22">IF(L131=0,"",M131/L131)</x:f>
        <x:v>0.625</x:v>
      </x:c>
      <x:c r="R131" s="22" t="n">
        <x:f t="shared" ref="R131:R194" si="23">IF(L131=0,"",N131/L131)</x:f>
        <x:v>0.3125</x:v>
      </x:c>
      <x:c r="S131" s="22" t="n">
        <x:f>IF(L131=0,"",O131/L131)</x:f>
        <x:v>0.375</x:v>
      </x:c>
      <x:c r="T131" s="24" t="n">
        <x:v>29</x:v>
      </x:c>
      <x:c r="U131" s="26" t="n">
        <x:v>0.05</x:v>
      </x:c>
      <x:c r="V131" s="24" t="n">
        <x:v>166</x:v>
      </x:c>
      <x:c r="W131"/>
      <x:c r="X131"/>
    </x:row>
    <x:row r="132">
      <x:c r="A132" s="1" t="n">
        <x:v>130</x:v>
      </x:c>
      <x:c r="B132" s="27" t="n">
        <x:v>45755</x:v>
      </x:c>
      <x:c r="C132" s="1" t="str">
        <x:v>Fracture</x:v>
      </x:c>
      <x:c r="D132" s="1" t="str">
        <x:v>6th</x:v>
      </x:c>
      <x:c r="E132" s="1" t="str">
        <x:v>Killjoy</x:v>
      </x:c>
      <x:c r="F132" s="1" t="str">
        <x:v>Sentinel</x:v>
      </x:c>
      <x:c r="G132" s="1" t="n">
        <x:v>2</x:v>
      </x:c>
      <x:c r="H132" s="1" t="n">
        <x:f t="shared" si="16"/>
        <x:v>13</x:v>
      </x:c>
      <x:c r="I132" s="1" t="str">
        <x:f t="shared" si="17">IF(G132&gt;H132,"Win",IF(G132&lt;H132,"Loss","Draw"))</x:f>
        <x:v>Loss</x:v>
      </x:c>
      <x:c r="J132" s="1" t="n">
        <x:f t="shared" si="18">IF(I132="Win",1,IF(I132="Loss",0,""))</x:f>
        <x:v>0</x:v>
      </x:c>
      <x:c r="K132" s="1" t="n">
        <x:f t="shared" si="19">G132-H132</x:f>
        <x:v>-11</x:v>
      </x:c>
      <x:c r="L132" s="1" t="n">
        <x:f>G132+H132</x:f>
        <x:v>15</x:v>
      </x:c>
      <x:c r="M132" s="1" t="n">
        <x:v>9</x:v>
      </x:c>
      <x:c r="N132" s="1" t="n">
        <x:v>14</x:v>
      </x:c>
      <x:c r="O132" s="3" t="n">
        <x:f t="shared" si="20"/>
        <x:v>3</x:v>
      </x:c>
      <x:c r="P132" s="22" t="n">
        <x:f t="shared" si="21">IF(N132=0,"",M132/N132)</x:f>
        <x:v>0.6428571428571429</x:v>
      </x:c>
      <x:c r="Q132" s="22" t="n">
        <x:f t="shared" si="22">IF(L132=0,"",M132/L132)</x:f>
        <x:v>0.6</x:v>
      </x:c>
      <x:c r="R132" s="22" t="n">
        <x:f t="shared" si="23">IF(L132=0,"",N132/L132)</x:f>
        <x:v>0.9333333333333333</x:v>
      </x:c>
      <x:c r="S132" s="22" t="n">
        <x:f>IF(L132=0,"",O132/L132)</x:f>
        <x:v>0.2</x:v>
      </x:c>
      <x:c r="T132" s="24" t="n">
        <x:v>-52</x:v>
      </x:c>
      <x:c r="U132" s="26" t="n">
        <x:v>0.1</x:v>
      </x:c>
      <x:c r="V132" s="24" t="n">
        <x:v>176</x:v>
      </x:c>
      <x:c r="W132"/>
      <x:c r="X132"/>
    </x:row>
    <x:row r="133">
      <x:c r="A133" s="1" t="n">
        <x:v>131</x:v>
      </x:c>
      <x:c r="B133" s="27" t="n">
        <x:v>45755</x:v>
      </x:c>
      <x:c r="C133" s="1" t="str">
        <x:v>Fracture</x:v>
      </x:c>
      <x:c r="D133" s="1" t="str">
        <x:v>9th</x:v>
      </x:c>
      <x:c r="E133" s="1" t="str">
        <x:v>Killjoy</x:v>
      </x:c>
      <x:c r="F133" s="1" t="str">
        <x:v>Sentinel</x:v>
      </x:c>
      <x:c r="G133" s="1" t="n">
        <x:v>4</x:v>
      </x:c>
      <x:c r="H133" s="1" t="n">
        <x:f t="shared" si="16"/>
        <x:v>9</x:v>
      </x:c>
      <x:c r="I133" s="1" t="str">
        <x:f t="shared" si="17">IF(G133&gt;H133,"Win",IF(G133&lt;H133,"Loss","Draw"))</x:f>
        <x:v>Loss</x:v>
      </x:c>
      <x:c r="J133" s="1" t="n">
        <x:f t="shared" si="18">IF(I133="Win",1,IF(I133="Loss",0,""))</x:f>
        <x:v>0</x:v>
      </x:c>
      <x:c r="K133" s="1" t="n">
        <x:f t="shared" si="19">G133-H133</x:f>
        <x:v>-5</x:v>
      </x:c>
      <x:c r="L133" s="1" t="n">
        <x:f>G133+H133</x:f>
        <x:v>13</x:v>
      </x:c>
      <x:c r="M133" s="1" t="n">
        <x:v>3</x:v>
      </x:c>
      <x:c r="N133" s="1" t="n">
        <x:v>6</x:v>
      </x:c>
      <x:c r="O133" s="3" t="n">
        <x:f t="shared" si="20"/>
        <x:v>2</x:v>
      </x:c>
      <x:c r="P133" s="22" t="n">
        <x:f t="shared" si="21">IF(N133=0,"",M133/N133)</x:f>
        <x:v>0.5</x:v>
      </x:c>
      <x:c r="Q133" s="22" t="n">
        <x:f t="shared" si="22">IF(L133=0,"",M133/L133)</x:f>
        <x:v>0.23076923076923078</x:v>
      </x:c>
      <x:c r="R133" s="22" t="n">
        <x:f t="shared" si="23">IF(L133=0,"",N133/L133)</x:f>
        <x:v>0.46153846153846156</x:v>
      </x:c>
      <x:c r="S133" s="22" t="n">
        <x:f>IF(L133=0,"",O133/L133)</x:f>
        <x:v>0.15384615384615385</x:v>
      </x:c>
      <x:c r="T133" s="24" t="n">
        <x:v>-42</x:v>
      </x:c>
      <x:c r="U133" s="26" t="n">
        <x:v>0.1</x:v>
      </x:c>
      <x:c r="V133" s="24" t="n">
        <x:v>67</x:v>
      </x:c>
      <x:c r="W133"/>
      <x:c r="X133"/>
    </x:row>
    <x:row r="134">
      <x:c r="A134" s="1" t="n">
        <x:v>132</x:v>
      </x:c>
      <x:c r="B134" s="27" t="n">
        <x:v>45756</x:v>
      </x:c>
      <x:c r="C134" s="1" t="str">
        <x:v>Ascent</x:v>
      </x:c>
      <x:c r="D134" s="1" t="str">
        <x:v>5th</x:v>
      </x:c>
      <x:c r="E134" s="1" t="str">
        <x:v>Killjoy</x:v>
      </x:c>
      <x:c r="F134" s="1" t="str">
        <x:v>Sentinel</x:v>
      </x:c>
      <x:c r="G134" s="1" t="n">
        <x:v>10</x:v>
      </x:c>
      <x:c r="H134" s="1" t="n">
        <x:f t="shared" si="16"/>
        <x:v>13</x:v>
      </x:c>
      <x:c r="I134" s="1" t="str">
        <x:f t="shared" si="17">IF(G134&gt;H134,"Win",IF(G134&lt;H134,"Loss","Draw"))</x:f>
        <x:v>Loss</x:v>
      </x:c>
      <x:c r="J134" s="1" t="n">
        <x:f t="shared" si="18">IF(I134="Win",1,IF(I134="Loss",0,""))</x:f>
        <x:v>0</x:v>
      </x:c>
      <x:c r="K134" s="1" t="n">
        <x:f t="shared" si="19">G134-H134</x:f>
        <x:v>-3</x:v>
      </x:c>
      <x:c r="L134" s="1" t="n">
        <x:f>G134+H134</x:f>
        <x:v>23</x:v>
      </x:c>
      <x:c r="M134" s="1" t="n">
        <x:v>18</x:v>
      </x:c>
      <x:c r="N134" s="1" t="n">
        <x:v>15</x:v>
      </x:c>
      <x:c r="O134" s="3" t="n">
        <x:f t="shared" si="20"/>
        <x:v>4</x:v>
      </x:c>
      <x:c r="P134" s="22" t="n">
        <x:f t="shared" si="21">IF(N134=0,"",M134/N134)</x:f>
        <x:v>1.2</x:v>
      </x:c>
      <x:c r="Q134" s="22" t="n">
        <x:f t="shared" si="22">IF(L134=0,"",M134/L134)</x:f>
        <x:v>0.782608695652174</x:v>
      </x:c>
      <x:c r="R134" s="22" t="n">
        <x:f t="shared" si="23">IF(L134=0,"",N134/L134)</x:f>
        <x:v>0.6521739130434783</x:v>
      </x:c>
      <x:c r="S134" s="22" t="n">
        <x:f>IF(L134=0,"",O134/L134)</x:f>
        <x:v>0.17391304347826086</x:v>
      </x:c>
      <x:c r="T134" s="24" t="n">
        <x:v>-4</x:v>
      </x:c>
      <x:c r="U134" s="26" t="n">
        <x:v>0.05</x:v>
      </x:c>
      <x:c r="V134" s="24" t="n">
        <x:v>214</x:v>
      </x:c>
      <x:c r="W134"/>
      <x:c r="X134"/>
    </x:row>
    <x:row r="135">
      <x:c r="A135" s="1" t="n">
        <x:v>133</x:v>
      </x:c>
      <x:c r="B135" s="27" t="n">
        <x:v>45756</x:v>
      </x:c>
      <x:c r="C135" s="1" t="str">
        <x:v>Pearl</x:v>
      </x:c>
      <x:c r="D135" s="1" t="str">
        <x:v>6th</x:v>
      </x:c>
      <x:c r="E135" s="1" t="str">
        <x:v>Killjoy</x:v>
      </x:c>
      <x:c r="F135" s="1" t="str">
        <x:v>Sentinel</x:v>
      </x:c>
      <x:c r="G135" s="1" t="n">
        <x:v>13</x:v>
      </x:c>
      <x:c r="H135" s="1" t="n">
        <x:f t="shared" si="16"/>
        <x:v>15</x:v>
      </x:c>
      <x:c r="I135" s="1" t="str">
        <x:f t="shared" si="17">IF(G135&gt;H135,"Win",IF(G135&lt;H135,"Loss","Draw"))</x:f>
        <x:v>Loss</x:v>
      </x:c>
      <x:c r="J135" s="1" t="n">
        <x:f t="shared" si="18">IF(I135="Win",1,IF(I135="Loss",0,""))</x:f>
        <x:v>0</x:v>
      </x:c>
      <x:c r="K135" s="1" t="n">
        <x:f t="shared" si="19">G135-H135</x:f>
        <x:v>-2</x:v>
      </x:c>
      <x:c r="L135" s="1" t="n">
        <x:f>G135+H135</x:f>
        <x:v>28</x:v>
      </x:c>
      <x:c r="M135" s="1" t="n">
        <x:v>23</x:v>
      </x:c>
      <x:c r="N135" s="1" t="n">
        <x:v>23</x:v>
      </x:c>
      <x:c r="O135" s="3" t="n">
        <x:f t="shared" si="20"/>
        <x:v>9</x:v>
      </x:c>
      <x:c r="P135" s="22" t="n">
        <x:f t="shared" si="21">IF(N135=0,"",M135/N135)</x:f>
        <x:v>1</x:v>
      </x:c>
      <x:c r="Q135" s="22" t="n">
        <x:f t="shared" si="22">IF(L135=0,"",M135/L135)</x:f>
        <x:v>0.8214285714285714</x:v>
      </x:c>
      <x:c r="R135" s="22" t="n">
        <x:f t="shared" si="23">IF(L135=0,"",N135/L135)</x:f>
        <x:v>0.8214285714285714</x:v>
      </x:c>
      <x:c r="S135" s="22" t="n">
        <x:f>IF(L135=0,"",O135/L135)</x:f>
        <x:v>0.32142857142857145</x:v>
      </x:c>
      <x:c r="T135" s="24" t="n">
        <x:v>-24</x:v>
      </x:c>
      <x:c r="U135" s="26" t="n">
        <x:v>0.06</x:v>
      </x:c>
      <x:c r="V135" s="24" t="n">
        <x:v>227</x:v>
      </x:c>
      <x:c r="W135"/>
      <x:c r="X135"/>
    </x:row>
    <x:row r="136">
      <x:c r="A136" s="1" t="n">
        <x:v>134</x:v>
      </x:c>
      <x:c r="B136" s="27" t="n">
        <x:v>45756</x:v>
      </x:c>
      <x:c r="C136" s="1" t="str">
        <x:v>Haven</x:v>
      </x:c>
      <x:c r="D136" s="1" t="str">
        <x:v>9th</x:v>
      </x:c>
      <x:c r="E136" s="1" t="str">
        <x:v>Killjoy</x:v>
      </x:c>
      <x:c r="F136" s="1" t="str">
        <x:v>Sentinel</x:v>
      </x:c>
      <x:c r="G136" s="1" t="n">
        <x:v>13</x:v>
      </x:c>
      <x:c r="H136" s="1" t="n">
        <x:f t="shared" si="16"/>
        <x:v>1</x:v>
      </x:c>
      <x:c r="I136" s="1" t="str">
        <x:f t="shared" si="17">IF(G136&gt;H136,"Win",IF(G136&lt;H136,"Loss","Draw"))</x:f>
        <x:v>Win</x:v>
      </x:c>
      <x:c r="J136" s="1" t="n">
        <x:f t="shared" si="18">IF(I136="Win",1,IF(I136="Loss",0,""))</x:f>
        <x:v>1</x:v>
      </x:c>
      <x:c r="K136" s="1" t="n">
        <x:f t="shared" si="19">G136-H136</x:f>
        <x:v>12</x:v>
      </x:c>
      <x:c r="L136" s="1" t="n">
        <x:f>G136+H136</x:f>
        <x:v>14</x:v>
      </x:c>
      <x:c r="M136" s="1" t="n">
        <x:v>5</x:v>
      </x:c>
      <x:c r="N136" s="1" t="n">
        <x:v>6</x:v>
      </x:c>
      <x:c r="O136" s="3" t="n">
        <x:f t="shared" si="20"/>
        <x:v>2</x:v>
      </x:c>
      <x:c r="P136" s="22" t="n">
        <x:f t="shared" si="21">IF(N136=0,"",M136/N136)</x:f>
        <x:v>0.8333333333333334</x:v>
      </x:c>
      <x:c r="Q136" s="22" t="n">
        <x:f t="shared" si="22">IF(L136=0,"",M136/L136)</x:f>
        <x:v>0.35714285714285715</x:v>
      </x:c>
      <x:c r="R136" s="22" t="n">
        <x:f t="shared" si="23">IF(L136=0,"",N136/L136)</x:f>
        <x:v>0.42857142857142855</x:v>
      </x:c>
      <x:c r="S136" s="22" t="n">
        <x:f>IF(L136=0,"",O136/L136)</x:f>
        <x:v>0.14285714285714285</x:v>
      </x:c>
      <x:c r="T136" s="24" t="n">
        <x:v>-7</x:v>
      </x:c>
      <x:c r="U136" s="26" t="n">
        <x:v>0.08</x:v>
      </x:c>
      <x:c r="V136" s="24" t="n">
        <x:v>108</x:v>
      </x:c>
      <x:c r="W136"/>
      <x:c r="X136"/>
    </x:row>
    <x:row r="137">
      <x:c r="A137" s="1" t="n">
        <x:v>135</x:v>
      </x:c>
      <x:c r="B137" s="27" t="n">
        <x:v>45757</x:v>
      </x:c>
      <x:c r="C137" s="1" t="str">
        <x:v>Split</x:v>
      </x:c>
      <x:c r="D137" s="1" t="str">
        <x:v>7th</x:v>
      </x:c>
      <x:c r="E137" s="1" t="str">
        <x:v>Killjoy</x:v>
      </x:c>
      <x:c r="F137" s="1" t="str">
        <x:v>Sentinel</x:v>
      </x:c>
      <x:c r="G137" s="1" t="n">
        <x:v>13</x:v>
      </x:c>
      <x:c r="H137" s="1" t="n">
        <x:f t="shared" si="16"/>
        <x:v>9</x:v>
      </x:c>
      <x:c r="I137" s="1" t="str">
        <x:f t="shared" si="17">IF(G137&gt;H137,"Win",IF(G137&lt;H137,"Loss","Draw"))</x:f>
        <x:v>Win</x:v>
      </x:c>
      <x:c r="J137" s="1" t="n">
        <x:f t="shared" si="18">IF(I137="Win",1,IF(I137="Loss",0,""))</x:f>
        <x:v>1</x:v>
      </x:c>
      <x:c r="K137" s="1" t="n">
        <x:f t="shared" si="19">G137-H137</x:f>
        <x:v>4</x:v>
      </x:c>
      <x:c r="L137" s="1" t="n">
        <x:f>G137+H137</x:f>
        <x:v>22</x:v>
      </x:c>
      <x:c r="M137" s="1" t="n">
        <x:v>13</x:v>
      </x:c>
      <x:c r="N137" s="1" t="n">
        <x:v>15</x:v>
      </x:c>
      <x:c r="O137" s="3" t="n">
        <x:f t="shared" si="20"/>
        <x:v>4</x:v>
      </x:c>
      <x:c r="P137" s="22" t="n">
        <x:f t="shared" si="21">IF(N137=0,"",M137/N137)</x:f>
        <x:v>0.8666666666666667</x:v>
      </x:c>
      <x:c r="Q137" s="22" t="n">
        <x:f t="shared" si="22">IF(L137=0,"",M137/L137)</x:f>
        <x:v>0.5909090909090909</x:v>
      </x:c>
      <x:c r="R137" s="22" t="n">
        <x:f t="shared" si="23">IF(L137=0,"",N137/L137)</x:f>
        <x:v>0.6818181818181818</x:v>
      </x:c>
      <x:c r="S137" s="22" t="n">
        <x:f>IF(L137=0,"",O137/L137)</x:f>
        <x:v>0.18181818181818182</x:v>
      </x:c>
      <x:c r="T137" s="24" t="n">
        <x:v>-3</x:v>
      </x:c>
      <x:c r="U137" s="26" t="n">
        <x:v>0.03</x:v>
      </x:c>
      <x:c r="V137" s="24" t="n">
        <x:v>173</x:v>
      </x:c>
      <x:c r="W137"/>
      <x:c r="X137"/>
    </x:row>
    <x:row r="138">
      <x:c r="A138" s="1" t="n">
        <x:v>136</x:v>
      </x:c>
      <x:c r="B138" s="27" t="n">
        <x:v>45758</x:v>
      </x:c>
      <x:c r="C138" s="1" t="str">
        <x:v>Split</x:v>
      </x:c>
      <x:c r="D138" s="1" t="str">
        <x:v>5th</x:v>
      </x:c>
      <x:c r="E138" s="1" t="str">
        <x:v>Killjoy</x:v>
      </x:c>
      <x:c r="F138" s="1" t="str">
        <x:v>Sentinel</x:v>
      </x:c>
      <x:c r="G138" s="1" t="n">
        <x:v>4</x:v>
      </x:c>
      <x:c r="H138" s="1" t="n">
        <x:f t="shared" si="16"/>
        <x:v>13</x:v>
      </x:c>
      <x:c r="I138" s="1" t="str">
        <x:f t="shared" si="17">IF(G138&gt;H138,"Win",IF(G138&lt;H138,"Loss","Draw"))</x:f>
        <x:v>Loss</x:v>
      </x:c>
      <x:c r="J138" s="1" t="n">
        <x:f t="shared" si="18">IF(I138="Win",1,IF(I138="Loss",0,""))</x:f>
        <x:v>0</x:v>
      </x:c>
      <x:c r="K138" s="1" t="n">
        <x:f t="shared" si="19">G138-H138</x:f>
        <x:v>-9</x:v>
      </x:c>
      <x:c r="L138" s="1" t="n">
        <x:f>G138+H138</x:f>
        <x:v>17</x:v>
      </x:c>
      <x:c r="M138" s="1" t="n">
        <x:v>10</x:v>
      </x:c>
      <x:c r="N138" s="1" t="n">
        <x:v>13</x:v>
      </x:c>
      <x:c r="O138" s="3" t="n">
        <x:f t="shared" si="20"/>
        <x:v>1</x:v>
      </x:c>
      <x:c r="P138" s="22" t="n">
        <x:f t="shared" si="21">IF(N138=0,"",M138/N138)</x:f>
        <x:v>0.7692307692307693</x:v>
      </x:c>
      <x:c r="Q138" s="22" t="n">
        <x:f t="shared" si="22">IF(L138=0,"",M138/L138)</x:f>
        <x:v>0.5882352941176471</x:v>
      </x:c>
      <x:c r="R138" s="22" t="n">
        <x:f t="shared" si="23">IF(L138=0,"",N138/L138)</x:f>
        <x:v>0.7647058823529411</x:v>
      </x:c>
      <x:c r="S138" s="22" t="n">
        <x:f>IF(L138=0,"",O138/L138)</x:f>
        <x:v>0.058823529411764705</x:v>
      </x:c>
      <x:c r="T138" s="24" t="n">
        <x:v>-18</x:v>
      </x:c>
      <x:c r="U138" s="26" t="n">
        <x:v>0.07</x:v>
      </x:c>
      <x:c r="V138" s="24" t="n">
        <x:v>186</x:v>
      </x:c>
      <x:c r="W138"/>
      <x:c r="X138"/>
    </x:row>
    <x:row r="139">
      <x:c r="A139" s="1" t="n">
        <x:v>137</x:v>
      </x:c>
      <x:c r="B139" s="27" t="n">
        <x:v>45759</x:v>
      </x:c>
      <x:c r="C139" s="1" t="str">
        <x:v>Fracture</x:v>
      </x:c>
      <x:c r="D139" s="1" t="str">
        <x:v>10th</x:v>
      </x:c>
      <x:c r="E139" s="1" t="str">
        <x:v>Killjoy</x:v>
      </x:c>
      <x:c r="F139" s="1" t="str">
        <x:v>Sentinel</x:v>
      </x:c>
      <x:c r="G139" s="1" t="n">
        <x:v>13</x:v>
      </x:c>
      <x:c r="H139" s="1" t="n">
        <x:f t="shared" si="16"/>
        <x:v>2</x:v>
      </x:c>
      <x:c r="I139" s="1" t="str">
        <x:f t="shared" si="17">IF(G139&gt;H139,"Win",IF(G139&lt;H139,"Loss","Draw"))</x:f>
        <x:v>Win</x:v>
      </x:c>
      <x:c r="J139" s="1" t="n">
        <x:f t="shared" si="18">IF(I139="Win",1,IF(I139="Loss",0,""))</x:f>
        <x:v>1</x:v>
      </x:c>
      <x:c r="K139" s="1" t="n">
        <x:f t="shared" si="19">G139-H139</x:f>
        <x:v>11</x:v>
      </x:c>
      <x:c r="L139" s="1" t="n">
        <x:f>G139+H139</x:f>
        <x:v>15</x:v>
      </x:c>
      <x:c r="M139" s="1" t="n">
        <x:v>2</x:v>
      </x:c>
      <x:c r="N139" s="1" t="n">
        <x:v>7</x:v>
      </x:c>
      <x:c r="O139" s="3" t="n">
        <x:f t="shared" si="20"/>
        <x:v>4</x:v>
      </x:c>
      <x:c r="P139" s="22" t="n">
        <x:f t="shared" si="21">IF(N139=0,"",M139/N139)</x:f>
        <x:v>0.2857142857142857</x:v>
      </x:c>
      <x:c r="Q139" s="22" t="n">
        <x:f t="shared" si="22">IF(L139=0,"",M139/L139)</x:f>
        <x:v>0.13333333333333333</x:v>
      </x:c>
      <x:c r="R139" s="22" t="n">
        <x:f t="shared" si="23">IF(L139=0,"",N139/L139)</x:f>
        <x:v>0.4666666666666667</x:v>
      </x:c>
      <x:c r="S139" s="22" t="n">
        <x:f>IF(L139=0,"",O139/L139)</x:f>
        <x:v>0.26666666666666666</x:v>
      </x:c>
      <x:c r="T139" s="24" t="n">
        <x:v>-35</x:v>
      </x:c>
      <x:c r="U139" s="26" t="n">
        <x:v>0.11</x:v>
      </x:c>
      <x:c r="V139" s="24" t="n">
        <x:v>61</x:v>
      </x:c>
      <x:c r="W139"/>
      <x:c r="X139"/>
    </x:row>
    <x:row r="140">
      <x:c r="A140" s="1" t="n">
        <x:v>138</x:v>
      </x:c>
      <x:c r="B140" s="27" t="n">
        <x:v>45759</x:v>
      </x:c>
      <x:c r="C140" s="1" t="str">
        <x:v>Pearl</x:v>
      </x:c>
      <x:c r="D140" s="1" t="str">
        <x:v>10th</x:v>
      </x:c>
      <x:c r="E140" s="1" t="str">
        <x:v>Killjoy</x:v>
      </x:c>
      <x:c r="F140" s="1" t="str">
        <x:v>Sentinel</x:v>
      </x:c>
      <x:c r="G140" s="1" t="n">
        <x:v>13</x:v>
      </x:c>
      <x:c r="H140" s="1" t="n">
        <x:f t="shared" si="16"/>
        <x:v>9</x:v>
      </x:c>
      <x:c r="I140" s="1" t="str">
        <x:f t="shared" si="17">IF(G140&gt;H140,"Win",IF(G140&lt;H140,"Loss","Draw"))</x:f>
        <x:v>Win</x:v>
      </x:c>
      <x:c r="J140" s="1" t="n">
        <x:f t="shared" si="18">IF(I140="Win",1,IF(I140="Loss",0,""))</x:f>
        <x:v>1</x:v>
      </x:c>
      <x:c r="K140" s="1" t="n">
        <x:f t="shared" si="19">G140-H140</x:f>
        <x:v>4</x:v>
      </x:c>
      <x:c r="L140" s="1" t="n">
        <x:f>G140+H140</x:f>
        <x:v>22</x:v>
      </x:c>
      <x:c r="M140" s="1" t="n">
        <x:v>2</x:v>
      </x:c>
      <x:c r="N140" s="1" t="n">
        <x:v>15</x:v>
      </x:c>
      <x:c r="O140" s="3" t="n">
        <x:f t="shared" si="20"/>
        <x:v>3</x:v>
      </x:c>
      <x:c r="P140" s="22" t="n">
        <x:f t="shared" si="21">IF(N140=0,"",M140/N140)</x:f>
        <x:v>0.13333333333333333</x:v>
      </x:c>
      <x:c r="Q140" s="22" t="n">
        <x:f t="shared" si="22">IF(L140=0,"",M140/L140)</x:f>
        <x:v>0.09090909090909091</x:v>
      </x:c>
      <x:c r="R140" s="22" t="n">
        <x:f t="shared" si="23">IF(L140=0,"",N140/L140)</x:f>
        <x:v>0.6818181818181818</x:v>
      </x:c>
      <x:c r="S140" s="22" t="n">
        <x:f>IF(L140=0,"",O140/L140)</x:f>
        <x:v>0.13636363636363635</x:v>
      </x:c>
      <x:c r="T140" s="24" t="n">
        <x:v>-83</x:v>
      </x:c>
      <x:c r="U140" s="26" t="n">
        <x:v>0.12</x:v>
      </x:c>
      <x:c r="V140" s="24" t="n">
        <x:v>32</x:v>
      </x:c>
      <x:c r="W140"/>
      <x:c r="X140"/>
    </x:row>
    <x:row r="141">
      <x:c r="A141" s="1" t="n">
        <x:v>139</x:v>
      </x:c>
      <x:c r="B141" s="27" t="n">
        <x:v>45760</x:v>
      </x:c>
      <x:c r="C141" s="1" t="str">
        <x:v>Icebox</x:v>
      </x:c>
      <x:c r="D141" s="1" t="str">
        <x:v>10th</x:v>
      </x:c>
      <x:c r="E141" s="1" t="str">
        <x:v>Sage</x:v>
      </x:c>
      <x:c r="F141" s="1" t="str">
        <x:v>Sentinel</x:v>
      </x:c>
      <x:c r="G141" s="1" t="n">
        <x:v>13</x:v>
      </x:c>
      <x:c r="H141" s="1" t="n">
        <x:f t="shared" si="16"/>
        <x:v>9</x:v>
      </x:c>
      <x:c r="I141" s="1" t="str">
        <x:f t="shared" si="17">IF(G141&gt;H141,"Win",IF(G141&lt;H141,"Loss","Draw"))</x:f>
        <x:v>Win</x:v>
      </x:c>
      <x:c r="J141" s="1" t="n">
        <x:f t="shared" si="18">IF(I141="Win",1,IF(I141="Loss",0,""))</x:f>
        <x:v>1</x:v>
      </x:c>
      <x:c r="K141" s="1" t="n">
        <x:f t="shared" si="19">G141-H141</x:f>
        <x:v>4</x:v>
      </x:c>
      <x:c r="L141" s="1" t="n">
        <x:f>G141+H141</x:f>
        <x:v>22</x:v>
      </x:c>
      <x:c r="M141" s="1" t="n">
        <x:v>7</x:v>
      </x:c>
      <x:c r="N141" s="1" t="n">
        <x:v>12</x:v>
      </x:c>
      <x:c r="O141" s="3" t="n">
        <x:f t="shared" si="20"/>
        <x:v>5</x:v>
      </x:c>
      <x:c r="P141" s="22" t="n">
        <x:f t="shared" si="21">IF(N141=0,"",M141/N141)</x:f>
        <x:v>0.5833333333333334</x:v>
      </x:c>
      <x:c r="Q141" s="22" t="n">
        <x:f t="shared" si="22">IF(L141=0,"",M141/L141)</x:f>
        <x:v>0.3181818181818182</x:v>
      </x:c>
      <x:c r="R141" s="22" t="n">
        <x:f t="shared" si="23">IF(L141=0,"",N141/L141)</x:f>
        <x:v>0.5454545454545454</x:v>
      </x:c>
      <x:c r="S141" s="22" t="n">
        <x:f>IF(L141=0,"",O141/L141)</x:f>
        <x:v>0.22727272727272727</x:v>
      </x:c>
      <x:c r="T141" s="24" t="n">
        <x:v>-40</x:v>
      </x:c>
      <x:c r="U141" s="26" t="n">
        <x:v>0.1</x:v>
      </x:c>
      <x:c r="V141" s="24" t="n">
        <x:v>90</x:v>
      </x:c>
      <x:c r="W141"/>
      <x:c r="X141"/>
    </x:row>
    <x:row r="142">
      <x:c r="A142" s="1" t="n">
        <x:v>140</x:v>
      </x:c>
      <x:c r="B142" s="27" t="n">
        <x:v>45762</x:v>
      </x:c>
      <x:c r="C142" s="1" t="str">
        <x:v>Ascent</x:v>
      </x:c>
      <x:c r="D142" s="1" t="str">
        <x:v>2nd</x:v>
      </x:c>
      <x:c r="E142" s="1" t="str">
        <x:v>Killjoy</x:v>
      </x:c>
      <x:c r="F142" s="1" t="str">
        <x:v>Sentinel</x:v>
      </x:c>
      <x:c r="G142" s="1" t="n">
        <x:v>10</x:v>
      </x:c>
      <x:c r="H142" s="1" t="n">
        <x:f t="shared" si="16"/>
        <x:v>2</x:v>
      </x:c>
      <x:c r="I142" s="1" t="str">
        <x:f t="shared" si="17">IF(G142&gt;H142,"Win",IF(G142&lt;H142,"Loss","Draw"))</x:f>
        <x:v>Win</x:v>
      </x:c>
      <x:c r="J142" s="1" t="n">
        <x:f t="shared" si="18">IF(I142="Win",1,IF(I142="Loss",0,""))</x:f>
        <x:v>1</x:v>
      </x:c>
      <x:c r="K142" s="1" t="n">
        <x:f t="shared" si="19">G142-H142</x:f>
        <x:v>8</x:v>
      </x:c>
      <x:c r="L142" s="1" t="n">
        <x:f>G142+H142</x:f>
        <x:v>12</x:v>
      </x:c>
      <x:c r="M142" s="1" t="n">
        <x:v>13</x:v>
      </x:c>
      <x:c r="N142" s="1" t="n">
        <x:v>3</x:v>
      </x:c>
      <x:c r="O142" s="3" t="n">
        <x:f t="shared" si="20"/>
        <x:v>3</x:v>
      </x:c>
      <x:c r="P142" s="22" t="n">
        <x:f t="shared" si="21">IF(N142=0,"",M142/N142)</x:f>
        <x:v>4.333333333333333</x:v>
      </x:c>
      <x:c r="Q142" s="22" t="n">
        <x:f t="shared" si="22">IF(L142=0,"",M142/L142)</x:f>
        <x:v>1.0833333333333333</x:v>
      </x:c>
      <x:c r="R142" s="22" t="n">
        <x:f t="shared" si="23">IF(L142=0,"",N142/L142)</x:f>
        <x:v>0.25</x:v>
      </x:c>
      <x:c r="S142" s="22" t="n">
        <x:f>IF(L142=0,"",O142/L142)</x:f>
        <x:v>0.25</x:v>
      </x:c>
      <x:c r="T142" s="24" t="n">
        <x:v>77</x:v>
      </x:c>
      <x:c r="U142" s="26" t="n">
        <x:v>0.04</x:v>
      </x:c>
      <x:c r="V142" s="24" t="n">
        <x:v>290</x:v>
      </x:c>
      <x:c r="W142"/>
      <x:c r="X142"/>
    </x:row>
    <x:row r="143">
      <x:c r="A143" s="1" t="n">
        <x:v>141</x:v>
      </x:c>
      <x:c r="B143" s="27" t="n">
        <x:v>45762</x:v>
      </x:c>
      <x:c r="C143" s="1" t="str">
        <x:v>Lotus</x:v>
      </x:c>
      <x:c r="D143" s="1" t="str">
        <x:v>8th</x:v>
      </x:c>
      <x:c r="E143" s="1" t="str">
        <x:v>Sage</x:v>
      </x:c>
      <x:c r="F143" s="1" t="str">
        <x:v>Sentinel</x:v>
      </x:c>
      <x:c r="G143" s="1" t="n">
        <x:v>9</x:v>
      </x:c>
      <x:c r="H143" s="1" t="n">
        <x:f t="shared" si="16"/>
        <x:v>13</x:v>
      </x:c>
      <x:c r="I143" s="1" t="str">
        <x:f t="shared" si="17">IF(G143&gt;H143,"Win",IF(G143&lt;H143,"Loss","Draw"))</x:f>
        <x:v>Loss</x:v>
      </x:c>
      <x:c r="J143" s="1" t="n">
        <x:f t="shared" si="18">IF(I143="Win",1,IF(I143="Loss",0,""))</x:f>
        <x:v>0</x:v>
      </x:c>
      <x:c r="K143" s="1" t="n">
        <x:f t="shared" si="19">G143-H143</x:f>
        <x:v>-4</x:v>
      </x:c>
      <x:c r="L143" s="1" t="n">
        <x:f>G143+H143</x:f>
        <x:v>22</x:v>
      </x:c>
      <x:c r="M143" s="1" t="n">
        <x:v>12</x:v>
      </x:c>
      <x:c r="N143" s="1" t="n">
        <x:v>18</x:v>
      </x:c>
      <x:c r="O143" s="3" t="n">
        <x:f t="shared" si="20"/>
        <x:v>8</x:v>
      </x:c>
      <x:c r="P143" s="22" t="n">
        <x:f t="shared" si="21">IF(N143=0,"",M143/N143)</x:f>
        <x:v>0.6666666666666666</x:v>
      </x:c>
      <x:c r="Q143" s="22" t="n">
        <x:f t="shared" si="22">IF(L143=0,"",M143/L143)</x:f>
        <x:v>0.5454545454545454</x:v>
      </x:c>
      <x:c r="R143" s="22" t="n">
        <x:f t="shared" si="23">IF(L143=0,"",N143/L143)</x:f>
        <x:v>0.8181818181818182</x:v>
      </x:c>
      <x:c r="S143" s="22" t="n">
        <x:f>IF(L143=0,"",O143/L143)</x:f>
        <x:v>0.36363636363636365</x:v>
      </x:c>
      <x:c r="T143" s="24" t="n">
        <x:v>-83</x:v>
      </x:c>
      <x:c r="U143" s="26" t="n">
        <x:v>0.05</x:v>
      </x:c>
      <x:c r="V143" s="24" t="n">
        <x:v>145</x:v>
      </x:c>
      <x:c r="W143"/>
      <x:c r="X143"/>
    </x:row>
    <x:row r="144">
      <x:c r="A144" s="1" t="n">
        <x:v>142</x:v>
      </x:c>
      <x:c r="B144" s="27" t="n">
        <x:v>45762</x:v>
      </x:c>
      <x:c r="C144" s="1" t="str">
        <x:v>Ascent</x:v>
      </x:c>
      <x:c r="D144" s="1" t="str">
        <x:v>2nd</x:v>
      </x:c>
      <x:c r="E144" s="1" t="str">
        <x:v>Killjoy</x:v>
      </x:c>
      <x:c r="F144" s="1" t="str">
        <x:v>Sentinel</x:v>
      </x:c>
      <x:c r="G144" s="1" t="n">
        <x:v>11</x:v>
      </x:c>
      <x:c r="H144" s="1" t="n">
        <x:f t="shared" si="16"/>
        <x:v>13</x:v>
      </x:c>
      <x:c r="I144" s="1" t="str">
        <x:f t="shared" si="17">IF(G144&gt;H144,"Win",IF(G144&lt;H144,"Loss","Draw"))</x:f>
        <x:v>Loss</x:v>
      </x:c>
      <x:c r="J144" s="1" t="n">
        <x:f t="shared" si="18">IF(I144="Win",1,IF(I144="Loss",0,""))</x:f>
        <x:v>0</x:v>
      </x:c>
      <x:c r="K144" s="1" t="n">
        <x:f t="shared" si="19">G144-H144</x:f>
        <x:v>-2</x:v>
      </x:c>
      <x:c r="L144" s="1" t="n">
        <x:f>G144+H144</x:f>
        <x:v>24</x:v>
      </x:c>
      <x:c r="M144" s="1" t="n">
        <x:v>23</x:v>
      </x:c>
      <x:c r="N144" s="1" t="n">
        <x:v>19</x:v>
      </x:c>
      <x:c r="O144" s="3" t="n">
        <x:f t="shared" si="20"/>
        <x:v>5</x:v>
      </x:c>
      <x:c r="P144" s="22" t="n">
        <x:f t="shared" si="21">IF(N144=0,"",M144/N144)</x:f>
        <x:v>1.2105263157894737</x:v>
      </x:c>
      <x:c r="Q144" s="22" t="n">
        <x:f t="shared" si="22">IF(L144=0,"",M144/L144)</x:f>
        <x:v>0.9583333333333334</x:v>
      </x:c>
      <x:c r="R144" s="22" t="n">
        <x:f t="shared" si="23">IF(L144=0,"",N144/L144)</x:f>
        <x:v>0.7916666666666666</x:v>
      </x:c>
      <x:c r="S144" s="22" t="n">
        <x:f>IF(L144=0,"",O144/L144)</x:f>
        <x:v>0.20833333333333334</x:v>
      </x:c>
      <x:c r="T144" s="24" t="n">
        <x:v>11</x:v>
      </x:c>
      <x:c r="U144" s="26" t="n">
        <x:v>0.08</x:v>
      </x:c>
      <x:c r="V144" s="24" t="n">
        <x:v>275</x:v>
      </x:c>
      <x:c r="W144"/>
      <x:c r="X144"/>
    </x:row>
    <x:row r="145">
      <x:c r="A145" s="1" t="n">
        <x:v>143</x:v>
      </x:c>
      <x:c r="B145" s="27" t="n">
        <x:v>45762</x:v>
      </x:c>
      <x:c r="C145" s="1" t="str">
        <x:v>Pearl</x:v>
      </x:c>
      <x:c r="D145" s="1" t="str">
        <x:v>10th</x:v>
      </x:c>
      <x:c r="E145" s="1" t="str">
        <x:v>Killjoy</x:v>
      </x:c>
      <x:c r="F145" s="1" t="str">
        <x:v>Sentinel</x:v>
      </x:c>
      <x:c r="G145" s="1" t="n">
        <x:v>13</x:v>
      </x:c>
      <x:c r="H145" s="1" t="n">
        <x:f t="shared" si="16"/>
        <x:v>10</x:v>
      </x:c>
      <x:c r="I145" s="1" t="str">
        <x:f t="shared" si="17">IF(G145&gt;H145,"Win",IF(G145&lt;H145,"Loss","Draw"))</x:f>
        <x:v>Win</x:v>
      </x:c>
      <x:c r="J145" s="1" t="n">
        <x:f t="shared" si="18">IF(I145="Win",1,IF(I145="Loss",0,""))</x:f>
        <x:v>1</x:v>
      </x:c>
      <x:c r="K145" s="1" t="n">
        <x:f t="shared" si="19">G145-H145</x:f>
        <x:v>3</x:v>
      </x:c>
      <x:c r="L145" s="1" t="n">
        <x:f>G145+H145</x:f>
        <x:v>23</x:v>
      </x:c>
      <x:c r="M145" s="1" t="n">
        <x:v>5</x:v>
      </x:c>
      <x:c r="N145" s="1" t="n">
        <x:v>17</x:v>
      </x:c>
      <x:c r="O145" s="3" t="n">
        <x:f t="shared" si="20"/>
        <x:v>6</x:v>
      </x:c>
      <x:c r="P145" s="22" t="n">
        <x:f t="shared" si="21">IF(N145=0,"",M145/N145)</x:f>
        <x:v>0.29411764705882354</x:v>
      </x:c>
      <x:c r="Q145" s="22" t="n">
        <x:f t="shared" si="22">IF(L145=0,"",M145/L145)</x:f>
        <x:v>0.21739130434782608</x:v>
      </x:c>
      <x:c r="R145" s="22" t="n">
        <x:f t="shared" si="23">IF(L145=0,"",N145/L145)</x:f>
        <x:v>0.7391304347826086</x:v>
      </x:c>
      <x:c r="S145" s="22" t="n">
        <x:f>IF(L145=0,"",O145/L145)</x:f>
        <x:v>0.2608695652173913</x:v>
      </x:c>
      <x:c r="T145" s="24" t="n">
        <x:v>-58</x:v>
      </x:c>
      <x:c r="U145" s="26" t="n">
        <x:v>0.08</x:v>
      </x:c>
      <x:c r="V145" s="24" t="n">
        <x:v>97</x:v>
      </x:c>
      <x:c r="W145"/>
      <x:c r="X145"/>
    </x:row>
    <x:row r="146">
      <x:c r="A146" s="1" t="n">
        <x:v>144</x:v>
      </x:c>
      <x:c r="B146" s="27" t="n">
        <x:v>45763</x:v>
      </x:c>
      <x:c r="C146" s="1" t="str">
        <x:v>Split</x:v>
      </x:c>
      <x:c r="D146" s="1" t="str">
        <x:v>8th</x:v>
      </x:c>
      <x:c r="E146" s="1" t="str">
        <x:v>Killjoy</x:v>
      </x:c>
      <x:c r="F146" s="1" t="str">
        <x:v>Sentinel</x:v>
      </x:c>
      <x:c r="G146" s="1" t="n">
        <x:v>13</x:v>
      </x:c>
      <x:c r="H146" s="1" t="n">
        <x:f t="shared" si="16"/>
        <x:v>6</x:v>
      </x:c>
      <x:c r="I146" s="1" t="str">
        <x:f t="shared" si="17">IF(G146&gt;H146,"Win",IF(G146&lt;H146,"Loss","Draw"))</x:f>
        <x:v>Win</x:v>
      </x:c>
      <x:c r="J146" s="1" t="n">
        <x:f t="shared" si="18">IF(I146="Win",1,IF(I146="Loss",0,""))</x:f>
        <x:v>1</x:v>
      </x:c>
      <x:c r="K146" s="1" t="n">
        <x:f t="shared" si="19">G146-H146</x:f>
        <x:v>7</x:v>
      </x:c>
      <x:c r="L146" s="1" t="n">
        <x:f>G146+H146</x:f>
        <x:v>19</x:v>
      </x:c>
      <x:c r="M146" s="1" t="n">
        <x:v>12</x:v>
      </x:c>
      <x:c r="N146" s="1" t="n">
        <x:v>10</x:v>
      </x:c>
      <x:c r="O146" s="3" t="n">
        <x:f t="shared" si="20"/>
        <x:v>4</x:v>
      </x:c>
      <x:c r="P146" s="22" t="n">
        <x:f t="shared" si="21">IF(N146=0,"",M146/N146)</x:f>
        <x:v>1.2</x:v>
      </x:c>
      <x:c r="Q146" s="22" t="n">
        <x:f t="shared" si="22">IF(L146=0,"",M146/L146)</x:f>
        <x:v>0.631578947368421</x:v>
      </x:c>
      <x:c r="R146" s="22" t="n">
        <x:f t="shared" si="23">IF(L146=0,"",N146/L146)</x:f>
        <x:v>0.5263157894736842</x:v>
      </x:c>
      <x:c r="S146" s="22" t="n">
        <x:f>IF(L146=0,"",O146/L146)</x:f>
        <x:v>0.21052631578947367</x:v>
      </x:c>
      <x:c r="T146" s="24" t="n">
        <x:v>-15</x:v>
      </x:c>
      <x:c r="U146" s="26" t="n">
        <x:v>0</x:v>
      </x:c>
      <x:c r="V146" s="24" t="n">
        <x:v>162</x:v>
      </x:c>
      <x:c r="W146"/>
      <x:c r="X146"/>
    </x:row>
    <x:row r="147">
      <x:c r="A147" s="1" t="n">
        <x:v>145</x:v>
      </x:c>
      <x:c r="B147" s="27" t="n">
        <x:v>45763</x:v>
      </x:c>
      <x:c r="C147" s="1" t="str">
        <x:v>Ascent</x:v>
      </x:c>
      <x:c r="D147" s="1" t="str">
        <x:v>10th</x:v>
      </x:c>
      <x:c r="E147" s="1" t="str">
        <x:v>Killjoy</x:v>
      </x:c>
      <x:c r="F147" s="1" t="str">
        <x:v>Sentinel</x:v>
      </x:c>
      <x:c r="G147" s="1" t="n">
        <x:v>13</x:v>
      </x:c>
      <x:c r="H147" s="1" t="n">
        <x:f t="shared" si="16"/>
        <x:v>4</x:v>
      </x:c>
      <x:c r="I147" s="1" t="str">
        <x:f t="shared" si="17">IF(G147&gt;H147,"Win",IF(G147&lt;H147,"Loss","Draw"))</x:f>
        <x:v>Win</x:v>
      </x:c>
      <x:c r="J147" s="1" t="n">
        <x:f t="shared" si="18">IF(I147="Win",1,IF(I147="Loss",0,""))</x:f>
        <x:v>1</x:v>
      </x:c>
      <x:c r="K147" s="1" t="n">
        <x:f t="shared" si="19">G147-H147</x:f>
        <x:v>9</x:v>
      </x:c>
      <x:c r="L147" s="1" t="n">
        <x:f>G147+H147</x:f>
        <x:v>17</x:v>
      </x:c>
      <x:c r="M147" s="1" t="n">
        <x:v>9</x:v>
      </x:c>
      <x:c r="N147" s="1" t="n">
        <x:v>9</x:v>
      </x:c>
      <x:c r="O147" s="3" t="n">
        <x:f t="shared" si="20"/>
        <x:v>3</x:v>
      </x:c>
      <x:c r="P147" s="22" t="n">
        <x:f t="shared" si="21">IF(N147=0,"",M147/N147)</x:f>
        <x:v>1</x:v>
      </x:c>
      <x:c r="Q147" s="22" t="n">
        <x:f t="shared" si="22">IF(L147=0,"",M147/L147)</x:f>
        <x:v>0.5294117647058824</x:v>
      </x:c>
      <x:c r="R147" s="22" t="n">
        <x:f t="shared" si="23">IF(L147=0,"",N147/L147)</x:f>
        <x:v>0.5294117647058824</x:v>
      </x:c>
      <x:c r="S147" s="22" t="n">
        <x:f>IF(L147=0,"",O147/L147)</x:f>
        <x:v>0.17647058823529413</x:v>
      </x:c>
      <x:c r="T147" s="24" t="n">
        <x:v>-8</x:v>
      </x:c>
      <x:c r="U147" s="26" t="n">
        <x:v>0.06</x:v>
      </x:c>
      <x:c r="V147" s="24" t="n">
        <x:v>151</x:v>
      </x:c>
      <x:c r="W147"/>
      <x:c r="X147"/>
    </x:row>
    <x:row r="148">
      <x:c r="A148" s="1" t="n">
        <x:v>146</x:v>
      </x:c>
      <x:c r="B148" s="27" t="n">
        <x:v>45763</x:v>
      </x:c>
      <x:c r="C148" s="1" t="str">
        <x:v>Haven</x:v>
      </x:c>
      <x:c r="D148" s="1" t="str">
        <x:v>10th</x:v>
      </x:c>
      <x:c r="E148" s="1" t="str">
        <x:v>Sage</x:v>
      </x:c>
      <x:c r="F148" s="1" t="str">
        <x:v>Sentinel</x:v>
      </x:c>
      <x:c r="G148" s="1" t="n">
        <x:v>13</x:v>
      </x:c>
      <x:c r="H148" s="1" t="n">
        <x:f t="shared" si="16"/>
        <x:v>5</x:v>
      </x:c>
      <x:c r="I148" s="1" t="str">
        <x:f t="shared" si="17">IF(G148&gt;H148,"Win",IF(G148&lt;H148,"Loss","Draw"))</x:f>
        <x:v>Win</x:v>
      </x:c>
      <x:c r="J148" s="1" t="n">
        <x:f t="shared" si="18">IF(I148="Win",1,IF(I148="Loss",0,""))</x:f>
        <x:v>1</x:v>
      </x:c>
      <x:c r="K148" s="1" t="n">
        <x:f t="shared" si="19">G148-H148</x:f>
        <x:v>8</x:v>
      </x:c>
      <x:c r="L148" s="1" t="n">
        <x:f>G148+H148</x:f>
        <x:v>18</x:v>
      </x:c>
      <x:c r="M148" s="1" t="n">
        <x:v>2</x:v>
      </x:c>
      <x:c r="N148" s="1" t="n">
        <x:v>11</x:v>
      </x:c>
      <x:c r="O148" s="3" t="n">
        <x:f t="shared" si="20"/>
        <x:v>9</x:v>
      </x:c>
      <x:c r="P148" s="22" t="n">
        <x:f t="shared" si="21">IF(N148=0,"",M148/N148)</x:f>
        <x:v>0.18181818181818182</x:v>
      </x:c>
      <x:c r="Q148" s="22" t="n">
        <x:f t="shared" si="22">IF(L148=0,"",M148/L148)</x:f>
        <x:v>0.1111111111111111</x:v>
      </x:c>
      <x:c r="R148" s="22" t="n">
        <x:f t="shared" si="23">IF(L148=0,"",N148/L148)</x:f>
        <x:v>0.6111111111111112</x:v>
      </x:c>
      <x:c r="S148" s="22" t="n">
        <x:f>IF(L148=0,"",O148/L148)</x:f>
        <x:v>0.5</x:v>
      </x:c>
      <x:c r="T148" s="24" t="n">
        <x:v>-82</x:v>
      </x:c>
      <x:c r="U148" s="26" t="n">
        <x:v>0</x:v>
      </x:c>
      <x:c r="V148" s="24" t="n">
        <x:v>53</x:v>
      </x:c>
      <x:c r="W148"/>
      <x:c r="X148"/>
    </x:row>
    <x:row r="149">
      <x:c r="A149" s="1" t="n">
        <x:v>147</x:v>
      </x:c>
      <x:c r="B149" s="27" t="n">
        <x:v>45764</x:v>
      </x:c>
      <x:c r="C149" s="1" t="str">
        <x:v>Split</x:v>
      </x:c>
      <x:c r="D149" s="1" t="str">
        <x:v>6th</x:v>
      </x:c>
      <x:c r="E149" s="1" t="str">
        <x:v>Killjoy</x:v>
      </x:c>
      <x:c r="F149" s="1" t="str">
        <x:v>Sentinel</x:v>
      </x:c>
      <x:c r="G149" s="1" t="n">
        <x:v>13</x:v>
      </x:c>
      <x:c r="H149" s="1" t="n">
        <x:f t="shared" si="16"/>
        <x:v>9</x:v>
      </x:c>
      <x:c r="I149" s="1" t="str">
        <x:f t="shared" si="17">IF(G149&gt;H149,"Win",IF(G149&lt;H149,"Loss","Draw"))</x:f>
        <x:v>Win</x:v>
      </x:c>
      <x:c r="J149" s="1" t="n">
        <x:f t="shared" si="18">IF(I149="Win",1,IF(I149="Loss",0,""))</x:f>
        <x:v>1</x:v>
      </x:c>
      <x:c r="K149" s="1" t="n">
        <x:f t="shared" si="19">G149-H149</x:f>
        <x:v>4</x:v>
      </x:c>
      <x:c r="L149" s="1" t="n">
        <x:f>G149+H149</x:f>
        <x:v>22</x:v>
      </x:c>
      <x:c r="M149" s="1" t="n">
        <x:v>15</x:v>
      </x:c>
      <x:c r="N149" s="1" t="n">
        <x:v>10</x:v>
      </x:c>
      <x:c r="O149" s="3" t="n">
        <x:f t="shared" si="20"/>
        <x:v>6</x:v>
      </x:c>
      <x:c r="P149" s="22" t="n">
        <x:f t="shared" si="21">IF(N149=0,"",M149/N149)</x:f>
        <x:v>1.5</x:v>
      </x:c>
      <x:c r="Q149" s="22" t="n">
        <x:f t="shared" si="22">IF(L149=0,"",M149/L149)</x:f>
        <x:v>0.6818181818181818</x:v>
      </x:c>
      <x:c r="R149" s="22" t="n">
        <x:f t="shared" si="23">IF(L149=0,"",N149/L149)</x:f>
        <x:v>0.45454545454545453</x:v>
      </x:c>
      <x:c r="S149" s="22" t="n">
        <x:f>IF(L149=0,"",O149/L149)</x:f>
        <x:v>0.2727272727272727</x:v>
      </x:c>
      <x:c r="T149" s="24" t="n">
        <x:v>19</x:v>
      </x:c>
      <x:c r="U149" s="26" t="n">
        <x:v>0.08</x:v>
      </x:c>
      <x:c r="V149" s="24" t="n">
        <x:v>204</x:v>
      </x:c>
      <x:c r="W149"/>
      <x:c r="X149"/>
    </x:row>
    <x:row r="150">
      <x:c r="A150" s="1" t="n">
        <x:v>148</x:v>
      </x:c>
      <x:c r="B150" s="27" t="n">
        <x:v>45764</x:v>
      </x:c>
      <x:c r="C150" s="1" t="str">
        <x:v>Ascent</x:v>
      </x:c>
      <x:c r="D150" s="1" t="str">
        <x:v>7th</x:v>
      </x:c>
      <x:c r="E150" s="1" t="str">
        <x:v>Killjoy</x:v>
      </x:c>
      <x:c r="F150" s="1" t="str">
        <x:v>Sentinel</x:v>
      </x:c>
      <x:c r="G150" s="1" t="n">
        <x:v>6</x:v>
      </x:c>
      <x:c r="H150" s="1" t="n">
        <x:f t="shared" si="16"/>
        <x:v>13</x:v>
      </x:c>
      <x:c r="I150" s="1" t="str">
        <x:f t="shared" si="17">IF(G150&gt;H150,"Win",IF(G150&lt;H150,"Loss","Draw"))</x:f>
        <x:v>Loss</x:v>
      </x:c>
      <x:c r="J150" s="1" t="n">
        <x:f t="shared" si="18">IF(I150="Win",1,IF(I150="Loss",0,""))</x:f>
        <x:v>0</x:v>
      </x:c>
      <x:c r="K150" s="1" t="n">
        <x:f t="shared" si="19">G150-H150</x:f>
        <x:v>-7</x:v>
      </x:c>
      <x:c r="L150" s="1" t="n">
        <x:f>G150+H150</x:f>
        <x:v>19</x:v>
      </x:c>
      <x:c r="M150" s="1" t="n">
        <x:v>12</x:v>
      </x:c>
      <x:c r="N150" s="1" t="n">
        <x:v>18</x:v>
      </x:c>
      <x:c r="O150" s="3" t="n">
        <x:f t="shared" si="20"/>
        <x:v>5</x:v>
      </x:c>
      <x:c r="P150" s="22" t="n">
        <x:f t="shared" si="21">IF(N150=0,"",M150/N150)</x:f>
        <x:v>0.6666666666666666</x:v>
      </x:c>
      <x:c r="Q150" s="22" t="n">
        <x:f t="shared" si="22">IF(L150=0,"",M150/L150)</x:f>
        <x:v>0.631578947368421</x:v>
      </x:c>
      <x:c r="R150" s="22" t="n">
        <x:f t="shared" si="23">IF(L150=0,"",N150/L150)</x:f>
        <x:v>0.9473684210526315</x:v>
      </x:c>
      <x:c r="S150" s="22" t="n">
        <x:f>IF(L150=0,"",O150/L150)</x:f>
        <x:v>0.2631578947368421</x:v>
      </x:c>
      <x:c r="T150" s="24" t="n">
        <x:v>-45</x:v>
      </x:c>
      <x:c r="U150" s="26" t="n">
        <x:v>0.02</x:v>
      </x:c>
      <x:c r="V150" s="24" t="n">
        <x:v>195</x:v>
      </x:c>
      <x:c r="W150"/>
      <x:c r="X150"/>
    </x:row>
    <x:row r="151">
      <x:c r="A151" s="1" t="n">
        <x:v>149</x:v>
      </x:c>
      <x:c r="B151" s="27" t="n">
        <x:v>45765</x:v>
      </x:c>
      <x:c r="C151" s="1" t="str">
        <x:v>Icebox</x:v>
      </x:c>
      <x:c r="D151" s="1" t="str">
        <x:v>8th</x:v>
      </x:c>
      <x:c r="E151" s="1" t="str">
        <x:v>Astra</x:v>
      </x:c>
      <x:c r="F151" s="1" t="str">
        <x:v>Controller</x:v>
      </x:c>
      <x:c r="G151" s="1" t="n">
        <x:v>5</x:v>
      </x:c>
      <x:c r="H151" s="1" t="n">
        <x:f t="shared" si="16"/>
        <x:v>0</x:v>
      </x:c>
      <x:c r="I151" s="1" t="str">
        <x:f t="shared" si="17">IF(G151&gt;H151,"Win",IF(G151&lt;H151,"Loss","Draw"))</x:f>
        <x:v>Win</x:v>
      </x:c>
      <x:c r="J151" s="1" t="n">
        <x:f t="shared" si="18">IF(I151="Win",1,IF(I151="Loss",0,""))</x:f>
        <x:v>1</x:v>
      </x:c>
      <x:c r="K151" s="1" t="n">
        <x:f t="shared" si="19">G151-H151</x:f>
        <x:v>5</x:v>
      </x:c>
      <x:c r="L151" s="1" t="n">
        <x:f>G151+H151</x:f>
        <x:v>5</x:v>
      </x:c>
      <x:c r="M151" s="1" t="n">
        <x:v>3</x:v>
      </x:c>
      <x:c r="N151" s="1" t="n">
        <x:v>1</x:v>
      </x:c>
      <x:c r="O151" s="3" t="n">
        <x:f t="shared" si="20"/>
        <x:v>0</x:v>
      </x:c>
      <x:c r="P151" s="22" t="n">
        <x:f t="shared" si="21">IF(N151=0,"",M151/N151)</x:f>
        <x:v>3</x:v>
      </x:c>
      <x:c r="Q151" s="22" t="n">
        <x:f t="shared" si="22">IF(L151=0,"",M151/L151)</x:f>
        <x:v>0.6</x:v>
      </x:c>
      <x:c r="R151" s="22" t="n">
        <x:f t="shared" si="23">IF(L151=0,"",N151/L151)</x:f>
        <x:v>0.2</x:v>
      </x:c>
      <x:c r="S151" s="22" t="n">
        <x:f>IF(L151=0,"",O151/L151)</x:f>
        <x:v>0</x:v>
      </x:c>
      <x:c r="T151" s="24" t="n">
        <x:v>13</x:v>
      </x:c>
      <x:c r="U151" s="26" t="n">
        <x:v>0.33</x:v>
      </x:c>
      <x:c r="V151" s="24" t="n">
        <x:v>81</x:v>
      </x:c>
      <x:c r="W151"/>
      <x:c r="X151"/>
    </x:row>
    <x:row r="152">
      <x:c r="A152" s="1" t="n">
        <x:v>150</x:v>
      </x:c>
      <x:c r="B152" s="27" t="n">
        <x:v>45765</x:v>
      </x:c>
      <x:c r="C152" s="1" t="str">
        <x:v>Fracture</x:v>
      </x:c>
      <x:c r="D152" s="1" t="str">
        <x:v>6th</x:v>
      </x:c>
      <x:c r="E152" s="1" t="str">
        <x:v>Astra</x:v>
      </x:c>
      <x:c r="F152" s="1" t="str">
        <x:v>Controller</x:v>
      </x:c>
      <x:c r="G152" s="1" t="n">
        <x:v>13</x:v>
      </x:c>
      <x:c r="H152" s="1" t="n">
        <x:f t="shared" si="16"/>
        <x:v>8</x:v>
      </x:c>
      <x:c r="I152" s="1" t="str">
        <x:f t="shared" si="17">IF(G152&gt;H152,"Win",IF(G152&lt;H152,"Loss","Draw"))</x:f>
        <x:v>Win</x:v>
      </x:c>
      <x:c r="J152" s="1" t="n">
        <x:f t="shared" si="18">IF(I152="Win",1,IF(I152="Loss",0,""))</x:f>
        <x:v>1</x:v>
      </x:c>
      <x:c r="K152" s="1" t="n">
        <x:f t="shared" si="19">G152-H152</x:f>
        <x:v>5</x:v>
      </x:c>
      <x:c r="L152" s="1" t="n">
        <x:f>G152+H152</x:f>
        <x:v>21</x:v>
      </x:c>
      <x:c r="M152" s="1" t="n">
        <x:v>14</x:v>
      </x:c>
      <x:c r="N152" s="1" t="n">
        <x:v>13</x:v>
      </x:c>
      <x:c r="O152" s="3" t="n">
        <x:f t="shared" si="20"/>
        <x:v>7</x:v>
      </x:c>
      <x:c r="P152" s="22" t="n">
        <x:f t="shared" si="21">IF(N152=0,"",M152/N152)</x:f>
        <x:v>1.0769230769230769</x:v>
      </x:c>
      <x:c r="Q152" s="22" t="n">
        <x:f t="shared" si="22">IF(L152=0,"",M152/L152)</x:f>
        <x:v>0.6666666666666666</x:v>
      </x:c>
      <x:c r="R152" s="22" t="n">
        <x:f t="shared" si="23">IF(L152=0,"",N152/L152)</x:f>
        <x:v>0.6190476190476191</x:v>
      </x:c>
      <x:c r="S152" s="22" t="n">
        <x:f>IF(L152=0,"",O152/L152)</x:f>
        <x:v>0.3333333333333333</x:v>
      </x:c>
      <x:c r="T152" s="24" t="n">
        <x:v>12</x:v>
      </x:c>
      <x:c r="U152" s="26" t="n">
        <x:v>0.05</x:v>
      </x:c>
      <x:c r="V152" s="24" t="n">
        <x:v>188</x:v>
      </x:c>
      <x:c r="W152"/>
      <x:c r="X152"/>
    </x:row>
    <x:row r="153">
      <x:c r="A153" s="1" t="n">
        <x:v>151</x:v>
      </x:c>
      <x:c r="B153" s="27" t="n">
        <x:v>45765</x:v>
      </x:c>
      <x:c r="C153" s="1" t="str">
        <x:v>Pearl</x:v>
      </x:c>
      <x:c r="D153" s="1" t="str">
        <x:v>9th</x:v>
      </x:c>
      <x:c r="E153" s="1" t="str">
        <x:v>Killjoy</x:v>
      </x:c>
      <x:c r="F153" s="1" t="str">
        <x:v>Sentinel</x:v>
      </x:c>
      <x:c r="G153" s="1" t="n">
        <x:v>13</x:v>
      </x:c>
      <x:c r="H153" s="1" t="n">
        <x:f t="shared" si="16"/>
        <x:v>9</x:v>
      </x:c>
      <x:c r="I153" s="1" t="str">
        <x:f t="shared" si="17">IF(G153&gt;H153,"Win",IF(G153&lt;H153,"Loss","Draw"))</x:f>
        <x:v>Win</x:v>
      </x:c>
      <x:c r="J153" s="1" t="n">
        <x:f t="shared" si="18">IF(I153="Win",1,IF(I153="Loss",0,""))</x:f>
        <x:v>1</x:v>
      </x:c>
      <x:c r="K153" s="1" t="n">
        <x:f t="shared" si="19">G153-H153</x:f>
        <x:v>4</x:v>
      </x:c>
      <x:c r="L153" s="1" t="n">
        <x:f>G153+H153</x:f>
        <x:v>22</x:v>
      </x:c>
      <x:c r="M153" s="1" t="n">
        <x:v>8</x:v>
      </x:c>
      <x:c r="N153" s="1" t="n">
        <x:v>11</x:v>
      </x:c>
      <x:c r="O153" s="3" t="n">
        <x:f t="shared" si="20"/>
        <x:v>2</x:v>
      </x:c>
      <x:c r="P153" s="22" t="n">
        <x:f t="shared" si="21">IF(N153=0,"",M153/N153)</x:f>
        <x:v>0.7272727272727273</x:v>
      </x:c>
      <x:c r="Q153" s="22" t="n">
        <x:f t="shared" si="22">IF(L153=0,"",M153/L153)</x:f>
        <x:v>0.36363636363636365</x:v>
      </x:c>
      <x:c r="R153" s="22" t="n">
        <x:f t="shared" si="23">IF(L153=0,"",N153/L153)</x:f>
        <x:v>0.5</x:v>
      </x:c>
      <x:c r="S153" s="22" t="n">
        <x:f>IF(L153=0,"",O153/L153)</x:f>
        <x:v>0.09090909090909091</x:v>
      </x:c>
      <x:c r="T153" s="24" t="n">
        <x:v>-30</x:v>
      </x:c>
      <x:c r="U153" s="26" t="n">
        <x:v>0.08</x:v>
      </x:c>
      <x:c r="V153" s="24" t="n">
        <x:v>95</x:v>
      </x:c>
      <x:c r="W153"/>
      <x:c r="X153"/>
    </x:row>
    <x:row r="154">
      <x:c r="A154" s="1" t="n">
        <x:v>152</x:v>
      </x:c>
      <x:c r="B154" s="27" t="n">
        <x:v>45765</x:v>
      </x:c>
      <x:c r="C154" s="1" t="str">
        <x:v>Haven</x:v>
      </x:c>
      <x:c r="D154" s="1" t="str">
        <x:v>10th</x:v>
      </x:c>
      <x:c r="E154" s="1" t="str">
        <x:v>Astra</x:v>
      </x:c>
      <x:c r="F154" s="1" t="str">
        <x:v>Controller</x:v>
      </x:c>
      <x:c r="G154" s="1" t="n">
        <x:v>14</x:v>
      </x:c>
      <x:c r="H154" s="1" t="n">
        <x:f t="shared" si="16"/>
        <x:v>12</x:v>
      </x:c>
      <x:c r="I154" s="1" t="str">
        <x:f t="shared" si="17">IF(G154&gt;H154,"Win",IF(G154&lt;H154,"Loss","Draw"))</x:f>
        <x:v>Win</x:v>
      </x:c>
      <x:c r="J154" s="1" t="n">
        <x:f t="shared" si="18">IF(I154="Win",1,IF(I154="Loss",0,""))</x:f>
        <x:v>1</x:v>
      </x:c>
      <x:c r="K154" s="1" t="n">
        <x:f t="shared" si="19">G154-H154</x:f>
        <x:v>2</x:v>
      </x:c>
      <x:c r="L154" s="1" t="n">
        <x:f>G154+H154</x:f>
        <x:v>26</x:v>
      </x:c>
      <x:c r="M154" s="1" t="n">
        <x:v>8</x:v>
      </x:c>
      <x:c r="N154" s="1" t="n">
        <x:v>18</x:v>
      </x:c>
      <x:c r="O154" s="3" t="n">
        <x:f t="shared" si="20"/>
        <x:v>7</x:v>
      </x:c>
      <x:c r="P154" s="22" t="n">
        <x:f t="shared" si="21">IF(N154=0,"",M154/N154)</x:f>
        <x:v>0.4444444444444444</x:v>
      </x:c>
      <x:c r="Q154" s="22" t="n">
        <x:f t="shared" si="22">IF(L154=0,"",M154/L154)</x:f>
        <x:v>0.3076923076923077</x:v>
      </x:c>
      <x:c r="R154" s="22" t="n">
        <x:f t="shared" si="23">IF(L154=0,"",N154/L154)</x:f>
        <x:v>0.6923076923076923</x:v>
      </x:c>
      <x:c r="S154" s="22" t="n">
        <x:f>IF(L154=0,"",O154/L154)</x:f>
        <x:v>0.2692307692307692</x:v>
      </x:c>
      <x:c r="T154" s="24" t="n">
        <x:v>-49</x:v>
      </x:c>
      <x:c r="U154" s="26" t="n">
        <x:v>0.07</x:v>
      </x:c>
      <x:c r="V154" s="24" t="n">
        <x:v>109</x:v>
      </x:c>
      <x:c r="W154"/>
      <x:c r="X154"/>
    </x:row>
    <x:row r="155">
      <x:c r="A155" s="1" t="n">
        <x:v>153</x:v>
      </x:c>
      <x:c r="B155" s="27" t="n">
        <x:v>45767</x:v>
      </x:c>
      <x:c r="C155" s="1" t="str">
        <x:v>Lotus</x:v>
      </x:c>
      <x:c r="D155" s="1" t="str">
        <x:v>9th</x:v>
      </x:c>
      <x:c r="E155" s="1" t="str">
        <x:v>Sage</x:v>
      </x:c>
      <x:c r="F155" s="1" t="str">
        <x:v>Sentinel</x:v>
      </x:c>
      <x:c r="G155" s="1" t="n">
        <x:v>10</x:v>
      </x:c>
      <x:c r="H155" s="1" t="n">
        <x:f t="shared" si="16"/>
        <x:v>13</x:v>
      </x:c>
      <x:c r="I155" s="1" t="str">
        <x:f t="shared" si="17">IF(G155&gt;H155,"Win",IF(G155&lt;H155,"Loss","Draw"))</x:f>
        <x:v>Loss</x:v>
      </x:c>
      <x:c r="J155" s="1" t="n">
        <x:f t="shared" si="18">IF(I155="Win",1,IF(I155="Loss",0,""))</x:f>
        <x:v>0</x:v>
      </x:c>
      <x:c r="K155" s="1" t="n">
        <x:f t="shared" si="19">G155-H155</x:f>
        <x:v>-3</x:v>
      </x:c>
      <x:c r="L155" s="1" t="n">
        <x:f>G155+H155</x:f>
        <x:v>23</x:v>
      </x:c>
      <x:c r="M155" s="1" t="n">
        <x:v>10</x:v>
      </x:c>
      <x:c r="N155" s="1" t="n">
        <x:v>18</x:v>
      </x:c>
      <x:c r="O155" s="3" t="n">
        <x:f t="shared" si="20"/>
        <x:v>2</x:v>
      </x:c>
      <x:c r="P155" s="22" t="n">
        <x:f t="shared" si="21">IF(N155=0,"",M155/N155)</x:f>
        <x:v>0.5555555555555556</x:v>
      </x:c>
      <x:c r="Q155" s="22" t="n">
        <x:f t="shared" si="22">IF(L155=0,"",M155/L155)</x:f>
        <x:v>0.43478260869565216</x:v>
      </x:c>
      <x:c r="R155" s="22" t="n">
        <x:f t="shared" si="23">IF(L155=0,"",N155/L155)</x:f>
        <x:v>0.782608695652174</x:v>
      </x:c>
      <x:c r="S155" s="22" t="n">
        <x:f>IF(L155=0,"",O155/L155)</x:f>
        <x:v>0.08695652173913043</x:v>
      </x:c>
      <x:c r="T155" s="24" t="n">
        <x:v>-58</x:v>
      </x:c>
      <x:c r="U155" s="26" t="n">
        <x:v>0.09</x:v>
      </x:c>
      <x:c r="V155" s="24" t="n">
        <x:v>124</x:v>
      </x:c>
      <x:c r="W155"/>
      <x:c r="X155"/>
    </x:row>
    <x:row r="156">
      <x:c r="A156" s="1" t="n">
        <x:v>154</x:v>
      </x:c>
      <x:c r="B156" s="27" t="n">
        <x:v>45768</x:v>
      </x:c>
      <x:c r="C156" s="1" t="str">
        <x:v>Ascent</x:v>
      </x:c>
      <x:c r="D156" s="1" t="str">
        <x:v>10th</x:v>
      </x:c>
      <x:c r="E156" s="1" t="str">
        <x:v>Sage</x:v>
      </x:c>
      <x:c r="F156" s="1" t="str">
        <x:v>Sentinel</x:v>
      </x:c>
      <x:c r="G156" s="1" t="n">
        <x:v>13</x:v>
      </x:c>
      <x:c r="H156" s="1" t="n">
        <x:f t="shared" si="16"/>
        <x:v>4</x:v>
      </x:c>
      <x:c r="I156" s="1" t="str">
        <x:f t="shared" si="17">IF(G156&gt;H156,"Win",IF(G156&lt;H156,"Loss","Draw"))</x:f>
        <x:v>Win</x:v>
      </x:c>
      <x:c r="J156" s="1" t="n">
        <x:f t="shared" si="18">IF(I156="Win",1,IF(I156="Loss",0,""))</x:f>
        <x:v>1</x:v>
      </x:c>
      <x:c r="K156" s="1" t="n">
        <x:f t="shared" si="19">G156-H156</x:f>
        <x:v>9</x:v>
      </x:c>
      <x:c r="L156" s="1" t="n">
        <x:f>G156+H156</x:f>
        <x:v>17</x:v>
      </x:c>
      <x:c r="M156" s="1" t="n">
        <x:v>7</x:v>
      </x:c>
      <x:c r="N156" s="1" t="n">
        <x:v>10</x:v>
      </x:c>
      <x:c r="O156" s="3" t="n">
        <x:f t="shared" si="20"/>
        <x:v>4</x:v>
      </x:c>
      <x:c r="P156" s="22" t="n">
        <x:f t="shared" si="21">IF(N156=0,"",M156/N156)</x:f>
        <x:v>0.7</x:v>
      </x:c>
      <x:c r="Q156" s="22" t="n">
        <x:f t="shared" si="22">IF(L156=0,"",M156/L156)</x:f>
        <x:v>0.4117647058823529</x:v>
      </x:c>
      <x:c r="R156" s="22" t="n">
        <x:f t="shared" si="23">IF(L156=0,"",N156/L156)</x:f>
        <x:v>0.5882352941176471</x:v>
      </x:c>
      <x:c r="S156" s="22" t="n">
        <x:f>IF(L156=0,"",O156/L156)</x:f>
        <x:v>0.23529411764705882</x:v>
      </x:c>
      <x:c r="T156" s="24" t="n">
        <x:v>-63</x:v>
      </x:c>
      <x:c r="U156" s="26" t="n">
        <x:v>0.03</x:v>
      </x:c>
      <x:c r="V156" s="24" t="n">
        <x:v>111</x:v>
      </x:c>
      <x:c r="W156"/>
      <x:c r="X156"/>
    </x:row>
    <x:row r="157">
      <x:c r="A157" s="1" t="n">
        <x:v>155</x:v>
      </x:c>
      <x:c r="B157" s="27" t="n">
        <x:v>45769</x:v>
      </x:c>
      <x:c r="C157" s="1" t="str">
        <x:v>Lotus</x:v>
      </x:c>
      <x:c r="D157" s="1" t="str">
        <x:v>2nd</x:v>
      </x:c>
      <x:c r="E157" s="1" t="str">
        <x:v>Sage</x:v>
      </x:c>
      <x:c r="F157" s="1" t="str">
        <x:v>Sentinel</x:v>
      </x:c>
      <x:c r="G157" s="1" t="n">
        <x:v>5</x:v>
      </x:c>
      <x:c r="H157" s="1" t="n">
        <x:f t="shared" si="16"/>
        <x:v>13</x:v>
      </x:c>
      <x:c r="I157" s="1" t="str">
        <x:f t="shared" si="17">IF(G157&gt;H157,"Win",IF(G157&lt;H157,"Loss","Draw"))</x:f>
        <x:v>Loss</x:v>
      </x:c>
      <x:c r="J157" s="1" t="n">
        <x:f t="shared" si="18">IF(I157="Win",1,IF(I157="Loss",0,""))</x:f>
        <x:v>0</x:v>
      </x:c>
      <x:c r="K157" s="1" t="n">
        <x:f t="shared" si="19">G157-H157</x:f>
        <x:v>-8</x:v>
      </x:c>
      <x:c r="L157" s="1" t="n">
        <x:f>G157+H157</x:f>
        <x:v>18</x:v>
      </x:c>
      <x:c r="M157" s="1" t="n">
        <x:v>19</x:v>
      </x:c>
      <x:c r="N157" s="1" t="n">
        <x:v>10</x:v>
      </x:c>
      <x:c r="O157" s="3" t="n">
        <x:f t="shared" si="20"/>
        <x:v>3</x:v>
      </x:c>
      <x:c r="P157" s="22" t="n">
        <x:f t="shared" si="21">IF(N157=0,"",M157/N157)</x:f>
        <x:v>1.9</x:v>
      </x:c>
      <x:c r="Q157" s="22" t="n">
        <x:f t="shared" si="22">IF(L157=0,"",M157/L157)</x:f>
        <x:v>1.0555555555555556</x:v>
      </x:c>
      <x:c r="R157" s="22" t="n">
        <x:f t="shared" si="23">IF(L157=0,"",N157/L157)</x:f>
        <x:v>0.5555555555555556</x:v>
      </x:c>
      <x:c r="S157" s="22" t="n">
        <x:f>IF(L157=0,"",O157/L157)</x:f>
        <x:v>0.16666666666666666</x:v>
      </x:c>
      <x:c r="T157" s="24" t="n">
        <x:v>25</x:v>
      </x:c>
      <x:c r="U157" s="26" t="n">
        <x:v>0.09</x:v>
      </x:c>
      <x:c r="V157" s="24" t="n">
        <x:v>266</x:v>
      </x:c>
      <x:c r="W157"/>
      <x:c r="X157"/>
    </x:row>
    <x:row r="158">
      <x:c r="A158" s="1" t="n">
        <x:v>156</x:v>
      </x:c>
      <x:c r="B158" s="27" t="n">
        <x:v>45769</x:v>
      </x:c>
      <x:c r="C158" s="1" t="str">
        <x:v>Pearl</x:v>
      </x:c>
      <x:c r="D158" s="1" t="str">
        <x:v>8th</x:v>
      </x:c>
      <x:c r="E158" s="1" t="str">
        <x:v>Sage</x:v>
      </x:c>
      <x:c r="F158" s="1" t="str">
        <x:v>Sentinel</x:v>
      </x:c>
      <x:c r="G158" s="1" t="n">
        <x:v>7</x:v>
      </x:c>
      <x:c r="H158" s="1" t="n">
        <x:f t="shared" si="16"/>
        <x:v>13</x:v>
      </x:c>
      <x:c r="I158" s="1" t="str">
        <x:f t="shared" si="17">IF(G158&gt;H158,"Win",IF(G158&lt;H158,"Loss","Draw"))</x:f>
        <x:v>Loss</x:v>
      </x:c>
      <x:c r="J158" s="1" t="n">
        <x:f t="shared" si="18">IF(I158="Win",1,IF(I158="Loss",0,""))</x:f>
        <x:v>0</x:v>
      </x:c>
      <x:c r="K158" s="1" t="n">
        <x:f t="shared" si="19">G158-H158</x:f>
        <x:v>-6</x:v>
      </x:c>
      <x:c r="L158" s="1" t="n">
        <x:f>G158+H158</x:f>
        <x:v>20</x:v>
      </x:c>
      <x:c r="M158" s="1" t="n">
        <x:v>9</x:v>
      </x:c>
      <x:c r="N158" s="1" t="n">
        <x:v>15</x:v>
      </x:c>
      <x:c r="O158" s="3" t="n">
        <x:f t="shared" si="20"/>
        <x:v>8</x:v>
      </x:c>
      <x:c r="P158" s="22" t="n">
        <x:f t="shared" si="21">IF(N158=0,"",M158/N158)</x:f>
        <x:v>0.6</x:v>
      </x:c>
      <x:c r="Q158" s="22" t="n">
        <x:f t="shared" si="22">IF(L158=0,"",M158/L158)</x:f>
        <x:v>0.45</x:v>
      </x:c>
      <x:c r="R158" s="22" t="n">
        <x:f t="shared" si="23">IF(L158=0,"",N158/L158)</x:f>
        <x:v>0.75</x:v>
      </x:c>
      <x:c r="S158" s="22" t="n">
        <x:f>IF(L158=0,"",O158/L158)</x:f>
        <x:v>0.4</x:v>
      </x:c>
      <x:c r="T158" s="24" t="n">
        <x:v>-95</x:v>
      </x:c>
      <x:c r="U158" s="26" t="n">
        <x:v>0.02</x:v>
      </x:c>
      <x:c r="V158" s="24" t="n">
        <x:v>127</x:v>
      </x:c>
      <x:c r="W158"/>
      <x:c r="X158"/>
    </x:row>
    <x:row r="159">
      <x:c r="A159" s="1" t="n">
        <x:v>157</x:v>
      </x:c>
      <x:c r="B159" s="27" t="n">
        <x:v>45770</x:v>
      </x:c>
      <x:c r="C159" s="1" t="str">
        <x:v>Haven</x:v>
      </x:c>
      <x:c r="D159" s="1" t="str">
        <x:v>MVP</x:v>
      </x:c>
      <x:c r="E159" s="1" t="str">
        <x:v>Killjoy</x:v>
      </x:c>
      <x:c r="F159" s="1" t="str">
        <x:v>Sentinel</x:v>
      </x:c>
      <x:c r="G159" s="1" t="n">
        <x:v>13</x:v>
      </x:c>
      <x:c r="H159" s="1" t="n">
        <x:f t="shared" si="16"/>
        <x:v>8</x:v>
      </x:c>
      <x:c r="I159" s="1" t="str">
        <x:f t="shared" si="17">IF(G159&gt;H159,"Win",IF(G159&lt;H159,"Loss","Draw"))</x:f>
        <x:v>Win</x:v>
      </x:c>
      <x:c r="J159" s="1" t="n">
        <x:f t="shared" si="18">IF(I159="Win",1,IF(I159="Loss",0,""))</x:f>
        <x:v>1</x:v>
      </x:c>
      <x:c r="K159" s="1" t="n">
        <x:f t="shared" si="19">G159-H159</x:f>
        <x:v>5</x:v>
      </x:c>
      <x:c r="L159" s="1" t="n">
        <x:f>G159+H159</x:f>
        <x:v>21</x:v>
      </x:c>
      <x:c r="M159" s="1" t="n">
        <x:v>20</x:v>
      </x:c>
      <x:c r="N159" s="1" t="n">
        <x:v>14</x:v>
      </x:c>
      <x:c r="O159" s="3" t="n">
        <x:f t="shared" si="20"/>
        <x:v>8</x:v>
      </x:c>
      <x:c r="P159" s="22" t="n">
        <x:f t="shared" si="21">IF(N159=0,"",M159/N159)</x:f>
        <x:v>1.4285714285714286</x:v>
      </x:c>
      <x:c r="Q159" s="22" t="n">
        <x:f t="shared" si="22">IF(L159=0,"",M159/L159)</x:f>
        <x:v>0.9523809523809523</x:v>
      </x:c>
      <x:c r="R159" s="22" t="n">
        <x:f t="shared" si="23">IF(L159=0,"",N159/L159)</x:f>
        <x:v>0.6666666666666666</x:v>
      </x:c>
      <x:c r="S159" s="22" t="n">
        <x:f>IF(L159=0,"",O159/L159)</x:f>
        <x:v>0.38095238095238093</x:v>
      </x:c>
      <x:c r="T159" s="24" t="n">
        <x:v>50</x:v>
      </x:c>
      <x:c r="U159" s="26" t="n">
        <x:v>0.05</x:v>
      </x:c>
      <x:c r="V159" s="24" t="n">
        <x:v>287</x:v>
      </x:c>
      <x:c r="W159"/>
      <x:c r="X159"/>
    </x:row>
    <x:row r="160">
      <x:c r="A160" s="1" t="n">
        <x:v>158</x:v>
      </x:c>
      <x:c r="B160" s="27" t="n">
        <x:v>45770</x:v>
      </x:c>
      <x:c r="C160" s="1" t="str">
        <x:v>Icebox</x:v>
      </x:c>
      <x:c r="D160" s="1" t="str">
        <x:v>9th</x:v>
      </x:c>
      <x:c r="E160" s="1" t="str">
        <x:v>Sage</x:v>
      </x:c>
      <x:c r="F160" s="1" t="str">
        <x:v>Sentinel</x:v>
      </x:c>
      <x:c r="G160" s="1" t="n">
        <x:v>13</x:v>
      </x:c>
      <x:c r="H160" s="1" t="n">
        <x:f t="shared" si="16"/>
        <x:v>11</x:v>
      </x:c>
      <x:c r="I160" s="1" t="str">
        <x:f t="shared" si="17">IF(G160&gt;H160,"Win",IF(G160&lt;H160,"Loss","Draw"))</x:f>
        <x:v>Win</x:v>
      </x:c>
      <x:c r="J160" s="1" t="n">
        <x:f t="shared" si="18">IF(I160="Win",1,IF(I160="Loss",0,""))</x:f>
        <x:v>1</x:v>
      </x:c>
      <x:c r="K160" s="1" t="n">
        <x:f t="shared" si="19">G160-H160</x:f>
        <x:v>2</x:v>
      </x:c>
      <x:c r="L160" s="1" t="n">
        <x:f>G160+H160</x:f>
        <x:v>24</x:v>
      </x:c>
      <x:c r="M160" s="1" t="n">
        <x:v>7</x:v>
      </x:c>
      <x:c r="N160" s="1" t="n">
        <x:v>19</x:v>
      </x:c>
      <x:c r="O160" s="3" t="n">
        <x:f t="shared" si="20"/>
        <x:v>12</x:v>
      </x:c>
      <x:c r="P160" s="22" t="n">
        <x:f t="shared" si="21">IF(N160=0,"",M160/N160)</x:f>
        <x:v>0.3684210526315789</x:v>
      </x:c>
      <x:c r="Q160" s="22" t="n">
        <x:f t="shared" si="22">IF(L160=0,"",M160/L160)</x:f>
        <x:v>0.2916666666666667</x:v>
      </x:c>
      <x:c r="R160" s="22" t="n">
        <x:f t="shared" si="23">IF(L160=0,"",N160/L160)</x:f>
        <x:v>0.7916666666666666</x:v>
      </x:c>
      <x:c r="S160" s="22" t="n">
        <x:f>IF(L160=0,"",O160/L160)</x:f>
        <x:v>0.5</x:v>
      </x:c>
      <x:c r="T160" s="24" t="n">
        <x:v>-67</x:v>
      </x:c>
      <x:c r="U160" s="26" t="n">
        <x:v>0.03</x:v>
      </x:c>
      <x:c r="V160" s="24" t="n">
        <x:v>107</x:v>
      </x:c>
      <x:c r="W160"/>
      <x:c r="X160"/>
    </x:row>
    <x:row r="161">
      <x:c r="A161" s="1" t="n">
        <x:v>159</x:v>
      </x:c>
      <x:c r="B161" s="27" t="n">
        <x:v>45771</x:v>
      </x:c>
      <x:c r="C161" s="1" t="str">
        <x:v>Fracture</x:v>
      </x:c>
      <x:c r="D161" s="1" t="str">
        <x:v>6th</x:v>
      </x:c>
      <x:c r="E161" s="1" t="str">
        <x:v>Deadlock</x:v>
      </x:c>
      <x:c r="F161" s="1" t="str">
        <x:v>Sentinel</x:v>
      </x:c>
      <x:c r="G161" s="1" t="n">
        <x:v>8</x:v>
      </x:c>
      <x:c r="H161" s="1" t="n">
        <x:f t="shared" si="16"/>
        <x:v>13</x:v>
      </x:c>
      <x:c r="I161" s="1" t="str">
        <x:f t="shared" si="17">IF(G161&gt;H161,"Win",IF(G161&lt;H161,"Loss","Draw"))</x:f>
        <x:v>Loss</x:v>
      </x:c>
      <x:c r="J161" s="1" t="n">
        <x:f t="shared" si="18">IF(I161="Win",1,IF(I161="Loss",0,""))</x:f>
        <x:v>0</x:v>
      </x:c>
      <x:c r="K161" s="1" t="n">
        <x:f t="shared" si="19">G161-H161</x:f>
        <x:v>-5</x:v>
      </x:c>
      <x:c r="L161" s="1" t="n">
        <x:f>G161+H161</x:f>
        <x:v>21</x:v>
      </x:c>
      <x:c r="M161" s="1" t="n">
        <x:v>17</x:v>
      </x:c>
      <x:c r="N161" s="1" t="n">
        <x:v>18</x:v>
      </x:c>
      <x:c r="O161" s="3" t="n">
        <x:f t="shared" si="20"/>
        <x:v>3</x:v>
      </x:c>
      <x:c r="P161" s="22" t="n">
        <x:f t="shared" si="21">IF(N161=0,"",M161/N161)</x:f>
        <x:v>0.9444444444444444</x:v>
      </x:c>
      <x:c r="Q161" s="22" t="n">
        <x:f t="shared" si="22">IF(L161=0,"",M161/L161)</x:f>
        <x:v>0.8095238095238095</x:v>
      </x:c>
      <x:c r="R161" s="22" t="n">
        <x:f t="shared" si="23">IF(L161=0,"",N161/L161)</x:f>
        <x:v>0.8571428571428571</x:v>
      </x:c>
      <x:c r="S161" s="22" t="n">
        <x:f>IF(L161=0,"",O161/L161)</x:f>
        <x:v>0.14285714285714285</x:v>
      </x:c>
      <x:c r="T161" s="24" t="n">
        <x:v>2</x:v>
      </x:c>
      <x:c r="U161" s="26" t="n">
        <x:v>0.09</x:v>
      </x:c>
      <x:c r="V161" s="24" t="n">
        <x:v>230</x:v>
      </x:c>
      <x:c r="W161"/>
      <x:c r="X161"/>
    </x:row>
    <x:row r="162">
      <x:c r="A162" s="1" t="n">
        <x:v>160</x:v>
      </x:c>
      <x:c r="B162" s="27" t="n">
        <x:v>45771</x:v>
      </x:c>
      <x:c r="C162" s="1" t="str">
        <x:v>Ascent</x:v>
      </x:c>
      <x:c r="D162" s="1" t="str">
        <x:v>7th</x:v>
      </x:c>
      <x:c r="E162" s="1" t="str">
        <x:v>Sage</x:v>
      </x:c>
      <x:c r="F162" s="1" t="str">
        <x:v>Sentinel</x:v>
      </x:c>
      <x:c r="G162" s="1" t="n">
        <x:v>8</x:v>
      </x:c>
      <x:c r="H162" s="1" t="n">
        <x:f t="shared" si="16"/>
        <x:v>13</x:v>
      </x:c>
      <x:c r="I162" s="1" t="str">
        <x:f t="shared" si="17">IF(G162&gt;H162,"Win",IF(G162&lt;H162,"Loss","Draw"))</x:f>
        <x:v>Loss</x:v>
      </x:c>
      <x:c r="J162" s="1" t="n">
        <x:f t="shared" si="18">IF(I162="Win",1,IF(I162="Loss",0,""))</x:f>
        <x:v>0</x:v>
      </x:c>
      <x:c r="K162" s="1" t="n">
        <x:f t="shared" si="19">G162-H162</x:f>
        <x:v>-5</x:v>
      </x:c>
      <x:c r="L162" s="1" t="n">
        <x:f>G162+H162</x:f>
        <x:v>21</x:v>
      </x:c>
      <x:c r="M162" s="1" t="n">
        <x:v>13</x:v>
      </x:c>
      <x:c r="N162" s="1" t="n">
        <x:v>17</x:v>
      </x:c>
      <x:c r="O162" s="3" t="n">
        <x:f t="shared" si="20"/>
        <x:v>7</x:v>
      </x:c>
      <x:c r="P162" s="22" t="n">
        <x:f t="shared" si="21">IF(N162=0,"",M162/N162)</x:f>
        <x:v>0.7647058823529411</x:v>
      </x:c>
      <x:c r="Q162" s="22" t="n">
        <x:f t="shared" si="22">IF(L162=0,"",M162/L162)</x:f>
        <x:v>0.6190476190476191</x:v>
      </x:c>
      <x:c r="R162" s="22" t="n">
        <x:f t="shared" si="23">IF(L162=0,"",N162/L162)</x:f>
        <x:v>0.8095238095238095</x:v>
      </x:c>
      <x:c r="S162" s="22" t="n">
        <x:f>IF(L162=0,"",O162/L162)</x:f>
        <x:v>0.3333333333333333</x:v>
      </x:c>
      <x:c r="T162" s="24" t="n">
        <x:v>-53</x:v>
      </x:c>
      <x:c r="U162" s="26" t="n">
        <x:v>0.1</x:v>
      </x:c>
      <x:c r="V162" s="24" t="n">
        <x:v>174</x:v>
      </x:c>
      <x:c r="W162"/>
      <x:c r="X162"/>
    </x:row>
    <x:row r="163">
      <x:c r="A163" s="1" t="n">
        <x:v>161</x:v>
      </x:c>
      <x:c r="B163" s="27" t="n">
        <x:v>45771</x:v>
      </x:c>
      <x:c r="C163" s="1" t="str">
        <x:v>Lotus</x:v>
      </x:c>
      <x:c r="D163" s="1" t="str">
        <x:v>10th</x:v>
      </x:c>
      <x:c r="E163" s="1" t="str">
        <x:v>Sage</x:v>
      </x:c>
      <x:c r="F163" s="1" t="str">
        <x:v>Sentinel</x:v>
      </x:c>
      <x:c r="G163" s="1" t="n">
        <x:v>5</x:v>
      </x:c>
      <x:c r="H163" s="1" t="n">
        <x:f t="shared" si="16"/>
        <x:v>13</x:v>
      </x:c>
      <x:c r="I163" s="1" t="str">
        <x:f t="shared" si="17">IF(G163&gt;H163,"Win",IF(G163&lt;H163,"Loss","Draw"))</x:f>
        <x:v>Loss</x:v>
      </x:c>
      <x:c r="J163" s="1" t="n">
        <x:f t="shared" si="18">IF(I163="Win",1,IF(I163="Loss",0,""))</x:f>
        <x:v>0</x:v>
      </x:c>
      <x:c r="K163" s="1" t="n">
        <x:f t="shared" si="19">G163-H163</x:f>
        <x:v>-8</x:v>
      </x:c>
      <x:c r="L163" s="1" t="n">
        <x:f>G163+H163</x:f>
        <x:v>18</x:v>
      </x:c>
      <x:c r="M163" s="1" t="n">
        <x:v>6</x:v>
      </x:c>
      <x:c r="N163" s="1" t="n">
        <x:v>6</x:v>
      </x:c>
      <x:c r="O163" s="3" t="n">
        <x:f t="shared" si="20"/>
        <x:v>0</x:v>
      </x:c>
      <x:c r="P163" s="22" t="n">
        <x:f t="shared" si="21">IF(N163=0,"",M163/N163)</x:f>
        <x:v>1</x:v>
      </x:c>
      <x:c r="Q163" s="22" t="n">
        <x:f t="shared" si="22">IF(L163=0,"",M163/L163)</x:f>
        <x:v>0.3333333333333333</x:v>
      </x:c>
      <x:c r="R163" s="22" t="n">
        <x:f t="shared" si="23">IF(L163=0,"",N163/L163)</x:f>
        <x:v>0.3333333333333333</x:v>
      </x:c>
      <x:c r="S163" s="22" t="n">
        <x:f>IF(L163=0,"",O163/L163)</x:f>
        <x:v>0</x:v>
      </x:c>
      <x:c r="T163" s="24" t="n">
        <x:v>-16</x:v>
      </x:c>
      <x:c r="U163" s="26" t="n">
        <x:v>0.14</x:v>
      </x:c>
      <x:c r="V163" s="24" t="n">
        <x:v>88</x:v>
      </x:c>
      <x:c r="W163"/>
      <x:c r="X163"/>
    </x:row>
    <x:row r="164">
      <x:c r="A164" s="1" t="n">
        <x:v>162</x:v>
      </x:c>
      <x:c r="B164" s="27" t="n">
        <x:v>45773</x:v>
      </x:c>
      <x:c r="C164" s="1" t="str">
        <x:v>Pearl</x:v>
      </x:c>
      <x:c r="D164" s="1" t="str">
        <x:v>6th</x:v>
      </x:c>
      <x:c r="E164" s="1" t="str">
        <x:v>Deadlock</x:v>
      </x:c>
      <x:c r="F164" s="1" t="str">
        <x:v>Sentinel</x:v>
      </x:c>
      <x:c r="G164" s="1" t="n">
        <x:v>2</x:v>
      </x:c>
      <x:c r="H164" s="1" t="n">
        <x:f t="shared" si="16"/>
        <x:v>13</x:v>
      </x:c>
      <x:c r="I164" s="1" t="str">
        <x:f t="shared" si="17">IF(G164&gt;H164,"Win",IF(G164&lt;H164,"Loss","Draw"))</x:f>
        <x:v>Loss</x:v>
      </x:c>
      <x:c r="J164" s="1" t="n">
        <x:f t="shared" si="18">IF(I164="Win",1,IF(I164="Loss",0,""))</x:f>
        <x:v>0</x:v>
      </x:c>
      <x:c r="K164" s="1" t="n">
        <x:f t="shared" si="19">G164-H164</x:f>
        <x:v>-11</x:v>
      </x:c>
      <x:c r="L164" s="1" t="n">
        <x:f>G164+H164</x:f>
        <x:v>15</x:v>
      </x:c>
      <x:c r="M164" s="1" t="n">
        <x:v>6</x:v>
      </x:c>
      <x:c r="N164" s="1" t="n">
        <x:v>12</x:v>
      </x:c>
      <x:c r="O164" s="3" t="n">
        <x:f t="shared" si="20"/>
        <x:v>5</x:v>
      </x:c>
      <x:c r="P164" s="22" t="n">
        <x:f t="shared" si="21">IF(N164=0,"",M164/N164)</x:f>
        <x:v>0.5</x:v>
      </x:c>
      <x:c r="Q164" s="22" t="n">
        <x:f t="shared" si="22">IF(L164=0,"",M164/L164)</x:f>
        <x:v>0.4</x:v>
      </x:c>
      <x:c r="R164" s="22" t="n">
        <x:f t="shared" si="23">IF(L164=0,"",N164/L164)</x:f>
        <x:v>0.8</x:v>
      </x:c>
      <x:c r="S164" s="22" t="n">
        <x:f>IF(L164=0,"",O164/L164)</x:f>
        <x:v>0.3333333333333333</x:v>
      </x:c>
      <x:c r="T164" s="24" t="n">
        <x:v>-32</x:v>
      </x:c>
      <x:c r="U164" s="26" t="n">
        <x:v>0.08</x:v>
      </x:c>
      <x:c r="V164" s="24" t="n">
        <x:v>134</x:v>
      </x:c>
      <x:c r="W164"/>
      <x:c r="X164"/>
    </x:row>
    <x:row r="165">
      <x:c r="A165" s="1" t="n">
        <x:v>163</x:v>
      </x:c>
      <x:c r="B165" s="27" t="n">
        <x:v>45774</x:v>
      </x:c>
      <x:c r="C165" s="1" t="str">
        <x:v>Split</x:v>
      </x:c>
      <x:c r="D165" s="1" t="str">
        <x:v>5th</x:v>
      </x:c>
      <x:c r="E165" s="1" t="str">
        <x:v>Killjoy</x:v>
      </x:c>
      <x:c r="F165" s="1" t="str">
        <x:v>Sentinel</x:v>
      </x:c>
      <x:c r="G165" s="1" t="n">
        <x:v>13</x:v>
      </x:c>
      <x:c r="H165" s="1" t="n">
        <x:f t="shared" si="16"/>
        <x:v>8</x:v>
      </x:c>
      <x:c r="I165" s="1" t="str">
        <x:f t="shared" si="17">IF(G165&gt;H165,"Win",IF(G165&lt;H165,"Loss","Draw"))</x:f>
        <x:v>Win</x:v>
      </x:c>
      <x:c r="J165" s="1" t="n">
        <x:f t="shared" si="18">IF(I165="Win",1,IF(I165="Loss",0,""))</x:f>
        <x:v>1</x:v>
      </x:c>
      <x:c r="K165" s="1" t="n">
        <x:f t="shared" si="19">G165-H165</x:f>
        <x:v>5</x:v>
      </x:c>
      <x:c r="L165" s="1" t="n">
        <x:f>G165+H165</x:f>
        <x:v>21</x:v>
      </x:c>
      <x:c r="M165" s="1" t="n">
        <x:v>21</x:v>
      </x:c>
      <x:c r="N165" s="1" t="n">
        <x:v>9</x:v>
      </x:c>
      <x:c r="O165" s="3" t="n">
        <x:f t="shared" si="20"/>
        <x:v>3</x:v>
      </x:c>
      <x:c r="P165" s="22" t="n">
        <x:f t="shared" si="21">IF(N165=0,"",M165/N165)</x:f>
        <x:v>2.3333333333333335</x:v>
      </x:c>
      <x:c r="Q165" s="22" t="n">
        <x:f t="shared" si="22">IF(L165=0,"",M165/L165)</x:f>
        <x:v>1</x:v>
      </x:c>
      <x:c r="R165" s="22" t="n">
        <x:f t="shared" si="23">IF(L165=0,"",N165/L165)</x:f>
        <x:v>0.42857142857142855</x:v>
      </x:c>
      <x:c r="S165" s="22" t="n">
        <x:f>IF(L165=0,"",O165/L165)</x:f>
        <x:v>0.14285714285714285</x:v>
      </x:c>
      <x:c r="T165" s="24" t="n">
        <x:v>70</x:v>
      </x:c>
      <x:c r="U165" s="26" t="n">
        <x:v>0.16</x:v>
      </x:c>
      <x:c r="V165" s="24" t="n">
        <x:v>237</x:v>
      </x:c>
      <x:c r="W165"/>
      <x:c r="X165"/>
    </x:row>
    <x:row r="166">
      <x:c r="A166" s="1" t="n">
        <x:v>164</x:v>
      </x:c>
      <x:c r="B166" s="27" t="n">
        <x:v>45774</x:v>
      </x:c>
      <x:c r="C166" s="1" t="str">
        <x:v>Lotus</x:v>
      </x:c>
      <x:c r="D166" s="1" t="str">
        <x:v>6th</x:v>
      </x:c>
      <x:c r="E166" s="1" t="str">
        <x:v>Sage</x:v>
      </x:c>
      <x:c r="F166" s="1" t="str">
        <x:v>Sentinel</x:v>
      </x:c>
      <x:c r="G166" s="1" t="n">
        <x:v>7</x:v>
      </x:c>
      <x:c r="H166" s="1" t="n">
        <x:f t="shared" si="16"/>
        <x:v>13</x:v>
      </x:c>
      <x:c r="I166" s="1" t="str">
        <x:f t="shared" si="17">IF(G166&gt;H166,"Win",IF(G166&lt;H166,"Loss","Draw"))</x:f>
        <x:v>Loss</x:v>
      </x:c>
      <x:c r="J166" s="1" t="n">
        <x:f t="shared" si="18">IF(I166="Win",1,IF(I166="Loss",0,""))</x:f>
        <x:v>0</x:v>
      </x:c>
      <x:c r="K166" s="1" t="n">
        <x:f t="shared" si="19">G166-H166</x:f>
        <x:v>-6</x:v>
      </x:c>
      <x:c r="L166" s="1" t="n">
        <x:f>G166+H166</x:f>
        <x:v>20</x:v>
      </x:c>
      <x:c r="M166" s="1" t="n">
        <x:v>9</x:v>
      </x:c>
      <x:c r="N166" s="1" t="n">
        <x:v>16</x:v>
      </x:c>
      <x:c r="O166" s="3" t="n">
        <x:f t="shared" si="20"/>
        <x:v>8</x:v>
      </x:c>
      <x:c r="P166" s="22" t="n">
        <x:f t="shared" si="21">IF(N166=0,"",M166/N166)</x:f>
        <x:v>0.5625</x:v>
      </x:c>
      <x:c r="Q166" s="22" t="n">
        <x:f t="shared" si="22">IF(L166=0,"",M166/L166)</x:f>
        <x:v>0.45</x:v>
      </x:c>
      <x:c r="R166" s="22" t="n">
        <x:f t="shared" si="23">IF(L166=0,"",N166/L166)</x:f>
        <x:v>0.8</x:v>
      </x:c>
      <x:c r="S166" s="22" t="n">
        <x:f>IF(L166=0,"",O166/L166)</x:f>
        <x:v>0.4</x:v>
      </x:c>
      <x:c r="T166" s="24" t="n">
        <x:v>-32</x:v>
      </x:c>
      <x:c r="U166" s="26" t="n">
        <x:v>0.12</x:v>
      </x:c>
      <x:c r="V166" s="24" t="n">
        <x:v>156</x:v>
      </x:c>
      <x:c r="W166"/>
      <x:c r="X166"/>
    </x:row>
    <x:row r="167">
      <x:c r="A167" s="1" t="n">
        <x:v>165</x:v>
      </x:c>
      <x:c r="B167" s="27" t="n">
        <x:v>45775</x:v>
      </x:c>
      <x:c r="C167" s="1" t="str">
        <x:v>Split</x:v>
      </x:c>
      <x:c r="D167" s="1" t="str">
        <x:v>10th</x:v>
      </x:c>
      <x:c r="E167" s="1" t="str">
        <x:v>Killjoy</x:v>
      </x:c>
      <x:c r="F167" s="1" t="str">
        <x:v>Sentinel</x:v>
      </x:c>
      <x:c r="G167" s="1" t="n">
        <x:v>15</x:v>
      </x:c>
      <x:c r="H167" s="1" t="n">
        <x:f t="shared" si="16"/>
        <x:v>13</x:v>
      </x:c>
      <x:c r="I167" s="1" t="str">
        <x:f t="shared" si="17">IF(G167&gt;H167,"Win",IF(G167&lt;H167,"Loss","Draw"))</x:f>
        <x:v>Win</x:v>
      </x:c>
      <x:c r="J167" s="1" t="n">
        <x:f t="shared" si="18">IF(I167="Win",1,IF(I167="Loss",0,""))</x:f>
        <x:v>1</x:v>
      </x:c>
      <x:c r="K167" s="1" t="n">
        <x:f t="shared" si="19">G167-H167</x:f>
        <x:v>2</x:v>
      </x:c>
      <x:c r="L167" s="1" t="n">
        <x:f>G167+H167</x:f>
        <x:v>28</x:v>
      </x:c>
      <x:c r="M167" s="1" t="n">
        <x:v>11</x:v>
      </x:c>
      <x:c r="N167" s="1" t="n">
        <x:v>23</x:v>
      </x:c>
      <x:c r="O167" s="3" t="n">
        <x:f t="shared" si="20"/>
        <x:v>5</x:v>
      </x:c>
      <x:c r="P167" s="22" t="n">
        <x:f t="shared" si="21">IF(N167=0,"",M167/N167)</x:f>
        <x:v>0.4782608695652174</x:v>
      </x:c>
      <x:c r="Q167" s="22" t="n">
        <x:f t="shared" si="22">IF(L167=0,"",M167/L167)</x:f>
        <x:v>0.39285714285714285</x:v>
      </x:c>
      <x:c r="R167" s="22" t="n">
        <x:f t="shared" si="23">IF(L167=0,"",N167/L167)</x:f>
        <x:v>0.8214285714285714</x:v>
      </x:c>
      <x:c r="S167" s="22" t="n">
        <x:f>IF(L167=0,"",O167/L167)</x:f>
        <x:v>0.17857142857142858</x:v>
      </x:c>
      <x:c r="T167" s="24" t="n">
        <x:v>-69</x:v>
      </x:c>
      <x:c r="U167" s="26" t="n">
        <x:v>0.04</x:v>
      </x:c>
      <x:c r="V167" s="24" t="n">
        <x:v>124</x:v>
      </x:c>
      <x:c r="W167"/>
      <x:c r="X167"/>
    </x:row>
    <x:row r="168">
      <x:c r="A168" s="1" t="n">
        <x:v>166</x:v>
      </x:c>
      <x:c r="B168" s="27" t="n">
        <x:v>45779</x:v>
      </x:c>
      <x:c r="C168" s="1" t="str">
        <x:v>Lotus</x:v>
      </x:c>
      <x:c r="D168" s="1" t="str">
        <x:v>7th</x:v>
      </x:c>
      <x:c r="E168" s="1" t="str">
        <x:v>Sage</x:v>
      </x:c>
      <x:c r="F168" s="1" t="str">
        <x:v>Sentinel</x:v>
      </x:c>
      <x:c r="G168" s="1" t="n">
        <x:v>7</x:v>
      </x:c>
      <x:c r="H168" s="1" t="n">
        <x:f t="shared" si="16"/>
        <x:v>13</x:v>
      </x:c>
      <x:c r="I168" s="1" t="str">
        <x:f t="shared" si="17">IF(G168&gt;H168,"Win",IF(G168&lt;H168,"Loss","Draw"))</x:f>
        <x:v>Loss</x:v>
      </x:c>
      <x:c r="J168" s="1" t="n">
        <x:f t="shared" si="18">IF(I168="Win",1,IF(I168="Loss",0,""))</x:f>
        <x:v>0</x:v>
      </x:c>
      <x:c r="K168" s="1" t="n">
        <x:f t="shared" si="19">G168-H168</x:f>
        <x:v>-6</x:v>
      </x:c>
      <x:c r="L168" s="1" t="n">
        <x:f>G168+H168</x:f>
        <x:v>20</x:v>
      </x:c>
      <x:c r="M168" s="1" t="n">
        <x:v>10</x:v>
      </x:c>
      <x:c r="N168" s="1" t="n">
        <x:v>14</x:v>
      </x:c>
      <x:c r="O168" s="3" t="n">
        <x:f t="shared" si="20"/>
        <x:v>9</x:v>
      </x:c>
      <x:c r="P168" s="22" t="n">
        <x:f t="shared" si="21">IF(N168=0,"",M168/N168)</x:f>
        <x:v>0.7142857142857143</x:v>
      </x:c>
      <x:c r="Q168" s="22" t="n">
        <x:f t="shared" si="22">IF(L168=0,"",M168/L168)</x:f>
        <x:v>0.5</x:v>
      </x:c>
      <x:c r="R168" s="22" t="n">
        <x:f t="shared" si="23">IF(L168=0,"",N168/L168)</x:f>
        <x:v>0.7</x:v>
      </x:c>
      <x:c r="S168" s="22" t="n">
        <x:f>IF(L168=0,"",O168/L168)</x:f>
        <x:v>0.45</x:v>
      </x:c>
      <x:c r="T168" s="24" t="n">
        <x:v>-11</x:v>
      </x:c>
      <x:c r="U168" s="26" t="n">
        <x:v>0.09</x:v>
      </x:c>
      <x:c r="V168" s="24" t="n">
        <x:v>166</x:v>
      </x:c>
      <x:c r="W168"/>
      <x:c r="X168"/>
    </x:row>
    <x:row r="169">
      <x:c r="A169" s="1" t="n">
        <x:v>167</x:v>
      </x:c>
      <x:c r="B169" s="27" t="n">
        <x:v>45780</x:v>
      </x:c>
      <x:c r="C169" s="1" t="str">
        <x:v>Pearl</x:v>
      </x:c>
      <x:c r="D169" s="1" t="str">
        <x:v>8th</x:v>
      </x:c>
      <x:c r="E169" s="1" t="str">
        <x:v>Sage</x:v>
      </x:c>
      <x:c r="F169" s="1" t="str">
        <x:v>Sentinel</x:v>
      </x:c>
      <x:c r="G169" s="1" t="n">
        <x:v>5</x:v>
      </x:c>
      <x:c r="H169" s="1" t="n">
        <x:f t="shared" si="16"/>
        <x:v>13</x:v>
      </x:c>
      <x:c r="I169" s="1" t="str">
        <x:f t="shared" si="17">IF(G169&gt;H169,"Win",IF(G169&lt;H169,"Loss","Draw"))</x:f>
        <x:v>Loss</x:v>
      </x:c>
      <x:c r="J169" s="1" t="n">
        <x:f t="shared" si="18">IF(I169="Win",1,IF(I169="Loss",0,""))</x:f>
        <x:v>0</x:v>
      </x:c>
      <x:c r="K169" s="1" t="n">
        <x:f t="shared" si="19">G169-H169</x:f>
        <x:v>-8</x:v>
      </x:c>
      <x:c r="L169" s="1" t="n">
        <x:f>G169+H169</x:f>
        <x:v>18</x:v>
      </x:c>
      <x:c r="M169" s="1" t="n">
        <x:v>3</x:v>
      </x:c>
      <x:c r="N169" s="1" t="n">
        <x:v>16</x:v>
      </x:c>
      <x:c r="O169" s="3" t="n">
        <x:f t="shared" si="20"/>
        <x:v>7</x:v>
      </x:c>
      <x:c r="P169" s="22" t="n">
        <x:f t="shared" si="21">IF(N169=0,"",M169/N169)</x:f>
        <x:v>0.1875</x:v>
      </x:c>
      <x:c r="Q169" s="22" t="n">
        <x:f t="shared" si="22">IF(L169=0,"",M169/L169)</x:f>
        <x:v>0.16666666666666666</x:v>
      </x:c>
      <x:c r="R169" s="22" t="n">
        <x:f t="shared" si="23">IF(L169=0,"",N169/L169)</x:f>
        <x:v>0.8888888888888888</x:v>
      </x:c>
      <x:c r="S169" s="22" t="n">
        <x:f>IF(L169=0,"",O169/L169)</x:f>
        <x:v>0.3888888888888889</x:v>
      </x:c>
      <x:c r="T169" s="24" t="n">
        <x:v>-81</x:v>
      </x:c>
      <x:c r="U169" s="26" t="n">
        <x:v>0.2</x:v>
      </x:c>
      <x:c r="V169" s="24" t="n">
        <x:v>88</x:v>
      </x:c>
      <x:c r="W169"/>
      <x:c r="X169"/>
    </x:row>
    <x:row r="170">
      <x:c r="A170" s="1" t="n">
        <x:v>168</x:v>
      </x:c>
      <x:c r="B170" s="27" t="n">
        <x:v>45786</x:v>
      </x:c>
      <x:c r="C170" s="1" t="str">
        <x:v>Sunset</x:v>
      </x:c>
      <x:c r="D170" s="1" t="str">
        <x:v>9th</x:v>
      </x:c>
      <x:c r="E170" s="1" t="str">
        <x:v>Clove</x:v>
      </x:c>
      <x:c r="F170" s="1" t="str">
        <x:v>Controller</x:v>
      </x:c>
      <x:c r="G170" s="1" t="n">
        <x:v>13</x:v>
      </x:c>
      <x:c r="H170" s="1" t="n">
        <x:f t="shared" si="16"/>
        <x:v>6</x:v>
      </x:c>
      <x:c r="I170" s="1" t="str">
        <x:f t="shared" si="17">IF(G170&gt;H170,"Win",IF(G170&lt;H170,"Loss","Draw"))</x:f>
        <x:v>Win</x:v>
      </x:c>
      <x:c r="J170" s="1" t="n">
        <x:f t="shared" si="18">IF(I170="Win",1,IF(I170="Loss",0,""))</x:f>
        <x:v>1</x:v>
      </x:c>
      <x:c r="K170" s="1" t="n">
        <x:f t="shared" si="19">G170-H170</x:f>
        <x:v>7</x:v>
      </x:c>
      <x:c r="L170" s="1" t="n">
        <x:f>G170+H170</x:f>
        <x:v>19</x:v>
      </x:c>
      <x:c r="M170" s="1" t="n">
        <x:v>11</x:v>
      </x:c>
      <x:c r="N170" s="1" t="n">
        <x:v>13</x:v>
      </x:c>
      <x:c r="O170" s="3" t="n">
        <x:f t="shared" si="20"/>
        <x:v>3</x:v>
      </x:c>
      <x:c r="P170" s="22" t="n">
        <x:f t="shared" si="21">IF(N170=0,"",M170/N170)</x:f>
        <x:v>0.8461538461538461</x:v>
      </x:c>
      <x:c r="Q170" s="22" t="n">
        <x:f t="shared" si="22">IF(L170=0,"",M170/L170)</x:f>
        <x:v>0.5789473684210527</x:v>
      </x:c>
      <x:c r="R170" s="22" t="n">
        <x:f t="shared" si="23">IF(L170=0,"",N170/L170)</x:f>
        <x:v>0.6842105263157895</x:v>
      </x:c>
      <x:c r="S170" s="22" t="n">
        <x:f>IF(L170=0,"",O170/L170)</x:f>
        <x:v>0.15789473684210525</x:v>
      </x:c>
      <x:c r="T170" s="24" t="n">
        <x:v>-48</x:v>
      </x:c>
      <x:c r="U170" s="26" t="n">
        <x:v>0.14</x:v>
      </x:c>
      <x:c r="V170" s="24" t="n">
        <x:v>147</x:v>
      </x:c>
      <x:c r="W170"/>
      <x:c r="X170"/>
    </x:row>
    <x:row r="171">
      <x:c r="A171" s="1" t="n">
        <x:v>169</x:v>
      </x:c>
      <x:c r="B171" s="27" t="n">
        <x:v>45786</x:v>
      </x:c>
      <x:c r="C171" s="1" t="str">
        <x:v>Sunset</x:v>
      </x:c>
      <x:c r="D171" s="1" t="str">
        <x:v>5th</x:v>
      </x:c>
      <x:c r="E171" s="1" t="str">
        <x:v>Deadlock</x:v>
      </x:c>
      <x:c r="F171" s="1" t="str">
        <x:v>Sentinel</x:v>
      </x:c>
      <x:c r="G171" s="1" t="n">
        <x:v>5</x:v>
      </x:c>
      <x:c r="H171" s="1" t="n">
        <x:f t="shared" si="16"/>
        <x:v>13</x:v>
      </x:c>
      <x:c r="I171" s="1" t="str">
        <x:f t="shared" si="17">IF(G171&gt;H171,"Win",IF(G171&lt;H171,"Loss","Draw"))</x:f>
        <x:v>Loss</x:v>
      </x:c>
      <x:c r="J171" s="1" t="n">
        <x:f t="shared" si="18">IF(I171="Win",1,IF(I171="Loss",0,""))</x:f>
        <x:v>0</x:v>
      </x:c>
      <x:c r="K171" s="1" t="n">
        <x:f t="shared" si="19">G171-H171</x:f>
        <x:v>-8</x:v>
      </x:c>
      <x:c r="L171" s="1" t="n">
        <x:f>G171+H171</x:f>
        <x:v>18</x:v>
      </x:c>
      <x:c r="M171" s="1" t="n">
        <x:v>12</x:v>
      </x:c>
      <x:c r="N171" s="1" t="n">
        <x:v>16</x:v>
      </x:c>
      <x:c r="O171" s="3" t="n">
        <x:f t="shared" si="20"/>
        <x:v>4</x:v>
      </x:c>
      <x:c r="P171" s="22" t="n">
        <x:f t="shared" si="21">IF(N171=0,"",M171/N171)</x:f>
        <x:v>0.75</x:v>
      </x:c>
      <x:c r="Q171" s="22" t="n">
        <x:f t="shared" si="22">IF(L171=0,"",M171/L171)</x:f>
        <x:v>0.6666666666666666</x:v>
      </x:c>
      <x:c r="R171" s="22" t="n">
        <x:f t="shared" si="23">IF(L171=0,"",N171/L171)</x:f>
        <x:v>0.8888888888888888</x:v>
      </x:c>
      <x:c r="S171" s="22" t="n">
        <x:f>IF(L171=0,"",O171/L171)</x:f>
        <x:v>0.2222222222222222</x:v>
      </x:c>
      <x:c r="T171" s="24" t="n">
        <x:v>-28</x:v>
      </x:c>
      <x:c r="U171" s="26" t="n">
        <x:v>0.14</x:v>
      </x:c>
      <x:c r="V171" s="24" t="n">
        <x:v>191</x:v>
      </x:c>
      <x:c r="W171"/>
      <x:c r="X171"/>
    </x:row>
    <x:row r="172">
      <x:c r="A172" s="1" t="n">
        <x:v>170</x:v>
      </x:c>
      <x:c r="B172" s="27" t="n">
        <x:v>45786</x:v>
      </x:c>
      <x:c r="C172" s="1" t="str">
        <x:v>Icebox</x:v>
      </x:c>
      <x:c r="D172" s="1" t="str">
        <x:v>10th</x:v>
      </x:c>
      <x:c r="E172" s="1" t="str">
        <x:v>Sage</x:v>
      </x:c>
      <x:c r="F172" s="1" t="str">
        <x:v>Sentinel</x:v>
      </x:c>
      <x:c r="G172" s="1" t="n">
        <x:v>13</x:v>
      </x:c>
      <x:c r="H172" s="1" t="n">
        <x:f t="shared" si="16"/>
        <x:v>10</x:v>
      </x:c>
      <x:c r="I172" s="1" t="str">
        <x:f t="shared" si="17">IF(G172&gt;H172,"Win",IF(G172&lt;H172,"Loss","Draw"))</x:f>
        <x:v>Win</x:v>
      </x:c>
      <x:c r="J172" s="1" t="n">
        <x:f t="shared" si="18">IF(I172="Win",1,IF(I172="Loss",0,""))</x:f>
        <x:v>1</x:v>
      </x:c>
      <x:c r="K172" s="1" t="n">
        <x:f t="shared" si="19">G172-H172</x:f>
        <x:v>3</x:v>
      </x:c>
      <x:c r="L172" s="1" t="n">
        <x:f>G172+H172</x:f>
        <x:v>23</x:v>
      </x:c>
      <x:c r="M172" s="1" t="n">
        <x:v>9</x:v>
      </x:c>
      <x:c r="N172" s="1" t="n">
        <x:v>15</x:v>
      </x:c>
      <x:c r="O172" s="3" t="n">
        <x:f t="shared" si="20"/>
        <x:v>9</x:v>
      </x:c>
      <x:c r="P172" s="22" t="n">
        <x:f t="shared" si="21">IF(N172=0,"",M172/N172)</x:f>
        <x:v>0.6</x:v>
      </x:c>
      <x:c r="Q172" s="22" t="n">
        <x:f t="shared" si="22">IF(L172=0,"",M172/L172)</x:f>
        <x:v>0.391304347826087</x:v>
      </x:c>
      <x:c r="R172" s="22" t="n">
        <x:f t="shared" si="23">IF(L172=0,"",N172/L172)</x:f>
        <x:v>0.6521739130434783</x:v>
      </x:c>
      <x:c r="S172" s="22" t="n">
        <x:f>IF(L172=0,"",O172/L172)</x:f>
        <x:v>0.391304347826087</x:v>
      </x:c>
      <x:c r="T172" s="24" t="n">
        <x:v>-58</x:v>
      </x:c>
      <x:c r="U172" s="26" t="n">
        <x:v>0.04</x:v>
      </x:c>
      <x:c r="V172" s="24" t="n">
        <x:v>135</x:v>
      </x:c>
      <x:c r="W172"/>
      <x:c r="X172"/>
    </x:row>
    <x:row r="173">
      <x:c r="A173" s="1" t="n">
        <x:v>171</x:v>
      </x:c>
      <x:c r="B173" s="27" t="n">
        <x:v>45798</x:v>
      </x:c>
      <x:c r="C173" s="1" t="str">
        <x:v>Split</x:v>
      </x:c>
      <x:c r="D173" s="1" t="str">
        <x:v>8th</x:v>
      </x:c>
      <x:c r="E173" s="1" t="str">
        <x:v>Sage</x:v>
      </x:c>
      <x:c r="F173" s="1" t="str">
        <x:v>Sentinel</x:v>
      </x:c>
      <x:c r="G173" s="1" t="n">
        <x:v>11</x:v>
      </x:c>
      <x:c r="H173" s="1" t="n">
        <x:f t="shared" si="16"/>
        <x:v>13</x:v>
      </x:c>
      <x:c r="I173" s="1" t="str">
        <x:f t="shared" si="17">IF(G173&gt;H173,"Win",IF(G173&lt;H173,"Loss","Draw"))</x:f>
        <x:v>Loss</x:v>
      </x:c>
      <x:c r="J173" s="1" t="n">
        <x:f t="shared" si="18">IF(I173="Win",1,IF(I173="Loss",0,""))</x:f>
        <x:v>0</x:v>
      </x:c>
      <x:c r="K173" s="1" t="n">
        <x:f t="shared" si="19">G173-H173</x:f>
        <x:v>-2</x:v>
      </x:c>
      <x:c r="L173" s="1" t="n">
        <x:f>G173+H173</x:f>
        <x:v>24</x:v>
      </x:c>
      <x:c r="M173" s="1" t="n">
        <x:v>11</x:v>
      </x:c>
      <x:c r="N173" s="1" t="n">
        <x:v>17</x:v>
      </x:c>
      <x:c r="O173" s="3" t="n">
        <x:f t="shared" si="20"/>
        <x:v>6</x:v>
      </x:c>
      <x:c r="P173" s="22" t="n">
        <x:f t="shared" si="21">IF(N173=0,"",M173/N173)</x:f>
        <x:v>0.6470588235294118</x:v>
      </x:c>
      <x:c r="Q173" s="22" t="n">
        <x:f t="shared" si="22">IF(L173=0,"",M173/L173)</x:f>
        <x:v>0.4583333333333333</x:v>
      </x:c>
      <x:c r="R173" s="22" t="n">
        <x:f t="shared" si="23">IF(L173=0,"",N173/L173)</x:f>
        <x:v>0.7083333333333334</x:v>
      </x:c>
      <x:c r="S173" s="22" t="n">
        <x:f>IF(L173=0,"",O173/L173)</x:f>
        <x:v>0.25</x:v>
      </x:c>
      <x:c r="T173" s="24" t="n">
        <x:v>-54</x:v>
      </x:c>
      <x:c r="U173" s="26" t="n">
        <x:v>0.06</x:v>
      </x:c>
      <x:c r="V173" s="24" t="n">
        <x:v>128</x:v>
      </x:c>
      <x:c r="W173"/>
      <x:c r="X173"/>
    </x:row>
    <x:row r="174">
      <x:c r="A174" s="1" t="n">
        <x:v>172</x:v>
      </x:c>
      <x:c r="B174" s="27" t="n">
        <x:v>45799</x:v>
      </x:c>
      <x:c r="C174" s="1" t="str">
        <x:v>Lotus</x:v>
      </x:c>
      <x:c r="D174" s="1" t="str">
        <x:v>7th</x:v>
      </x:c>
      <x:c r="E174" s="1" t="str">
        <x:v>Skye</x:v>
      </x:c>
      <x:c r="F174" s="1" t="str">
        <x:v>Initiator</x:v>
      </x:c>
      <x:c r="G174" s="1" t="n">
        <x:v>1</x:v>
      </x:c>
      <x:c r="H174" s="1" t="n">
        <x:f t="shared" si="16"/>
        <x:v>13</x:v>
      </x:c>
      <x:c r="I174" s="1" t="str">
        <x:f t="shared" si="17">IF(G174&gt;H174,"Win",IF(G174&lt;H174,"Loss","Draw"))</x:f>
        <x:v>Loss</x:v>
      </x:c>
      <x:c r="J174" s="1" t="n">
        <x:f t="shared" si="18">IF(I174="Win",1,IF(I174="Loss",0,""))</x:f>
        <x:v>0</x:v>
      </x:c>
      <x:c r="K174" s="1" t="n">
        <x:f t="shared" si="19">G174-H174</x:f>
        <x:v>-12</x:v>
      </x:c>
      <x:c r="L174" s="1" t="n">
        <x:f>G174+H174</x:f>
        <x:v>14</x:v>
      </x:c>
      <x:c r="M174" s="1" t="n">
        <x:v>10</x:v>
      </x:c>
      <x:c r="N174" s="1" t="n">
        <x:v>14</x:v>
      </x:c>
      <x:c r="O174" s="3" t="n">
        <x:f t="shared" si="20"/>
        <x:v>2</x:v>
      </x:c>
      <x:c r="P174" s="22" t="n">
        <x:f t="shared" si="21">IF(N174=0,"",M174/N174)</x:f>
        <x:v>0.7142857142857143</x:v>
      </x:c>
      <x:c r="Q174" s="22" t="n">
        <x:f t="shared" si="22">IF(L174=0,"",M174/L174)</x:f>
        <x:v>0.7142857142857143</x:v>
      </x:c>
      <x:c r="R174" s="22" t="n">
        <x:f t="shared" si="23">IF(L174=0,"",N174/L174)</x:f>
        <x:v>1</x:v>
      </x:c>
      <x:c r="S174" s="22" t="n">
        <x:f>IF(L174=0,"",O174/L174)</x:f>
        <x:v>0.14285714285714285</x:v>
      </x:c>
      <x:c r="T174" s="24" t="n">
        <x:v>-70</x:v>
      </x:c>
      <x:c r="U174" s="26" t="n">
        <x:v>0.06</x:v>
      </x:c>
      <x:c r="V174" s="24" t="n">
        <x:v>193</x:v>
      </x:c>
      <x:c r="W174"/>
      <x:c r="X174"/>
    </x:row>
    <x:row r="175">
      <x:c r="A175" s="1" t="n">
        <x:v>173</x:v>
      </x:c>
      <x:c r="B175" s="27" t="n">
        <x:v>45799</x:v>
      </x:c>
      <x:c r="C175" s="1" t="str">
        <x:v>Haven</x:v>
      </x:c>
      <x:c r="D175" s="1" t="str">
        <x:v>8th</x:v>
      </x:c>
      <x:c r="E175" s="1" t="str">
        <x:v>Sage</x:v>
      </x:c>
      <x:c r="F175" s="1" t="str">
        <x:v>Sentinel</x:v>
      </x:c>
      <x:c r="G175" s="1" t="n">
        <x:v>13</x:v>
      </x:c>
      <x:c r="H175" s="1" t="n">
        <x:f t="shared" si="16"/>
        <x:v>4</x:v>
      </x:c>
      <x:c r="I175" s="1" t="str">
        <x:f t="shared" si="17">IF(G175&gt;H175,"Win",IF(G175&lt;H175,"Loss","Draw"))</x:f>
        <x:v>Win</x:v>
      </x:c>
      <x:c r="J175" s="1" t="n">
        <x:f t="shared" si="18">IF(I175="Win",1,IF(I175="Loss",0,""))</x:f>
        <x:v>1</x:v>
      </x:c>
      <x:c r="K175" s="1" t="n">
        <x:f t="shared" si="19">G175-H175</x:f>
        <x:v>9</x:v>
      </x:c>
      <x:c r="L175" s="1" t="n">
        <x:f>G175+H175</x:f>
        <x:v>17</x:v>
      </x:c>
      <x:c r="M175" s="1" t="n">
        <x:v>8</x:v>
      </x:c>
      <x:c r="N175" s="1" t="n">
        <x:v>6</x:v>
      </x:c>
      <x:c r="O175" s="3" t="n">
        <x:f t="shared" si="20"/>
        <x:v>3</x:v>
      </x:c>
      <x:c r="P175" s="22" t="n">
        <x:f t="shared" si="21">IF(N175=0,"",M175/N175)</x:f>
        <x:v>1.3333333333333333</x:v>
      </x:c>
      <x:c r="Q175" s="22" t="n">
        <x:f t="shared" si="22">IF(L175=0,"",M175/L175)</x:f>
        <x:v>0.47058823529411764</x:v>
      </x:c>
      <x:c r="R175" s="22" t="n">
        <x:f t="shared" si="23">IF(L175=0,"",N175/L175)</x:f>
        <x:v>0.35294117647058826</x:v>
      </x:c>
      <x:c r="S175" s="22" t="n">
        <x:f>IF(L175=0,"",O175/L175)</x:f>
        <x:v>0.17647058823529413</x:v>
      </x:c>
      <x:c r="T175" s="24" t="n">
        <x:v>-18</x:v>
      </x:c>
      <x:c r="U175" s="26" t="n">
        <x:v>0.03</x:v>
      </x:c>
      <x:c r="V175" s="24" t="n">
        <x:v>123</x:v>
      </x:c>
      <x:c r="W175"/>
      <x:c r="X175"/>
    </x:row>
    <x:row r="176">
      <x:c r="A176" s="1" t="n">
        <x:v>174</x:v>
      </x:c>
      <x:c r="B176" s="27" t="n">
        <x:v>45799</x:v>
      </x:c>
      <x:c r="C176" s="1" t="str">
        <x:v>Split</x:v>
      </x:c>
      <x:c r="D176" s="1" t="str">
        <x:v>6th</x:v>
      </x:c>
      <x:c r="E176" s="1" t="str">
        <x:v>Sage</x:v>
      </x:c>
      <x:c r="F176" s="1" t="str">
        <x:v>Sentinel</x:v>
      </x:c>
      <x:c r="G176" s="1" t="n">
        <x:v>13</x:v>
      </x:c>
      <x:c r="H176" s="1" t="n">
        <x:f t="shared" si="16"/>
        <x:v>2</x:v>
      </x:c>
      <x:c r="I176" s="1" t="str">
        <x:f t="shared" si="17">IF(G176&gt;H176,"Win",IF(G176&lt;H176,"Loss","Draw"))</x:f>
        <x:v>Win</x:v>
      </x:c>
      <x:c r="J176" s="1" t="n">
        <x:f t="shared" si="18">IF(I176="Win",1,IF(I176="Loss",0,""))</x:f>
        <x:v>1</x:v>
      </x:c>
      <x:c r="K176" s="1" t="n">
        <x:f t="shared" si="19">G176-H176</x:f>
        <x:v>11</x:v>
      </x:c>
      <x:c r="L176" s="1" t="n">
        <x:f>G176+H176</x:f>
        <x:v>15</x:v>
      </x:c>
      <x:c r="M176" s="1" t="n">
        <x:v>11</x:v>
      </x:c>
      <x:c r="N176" s="1" t="n">
        <x:v>5</x:v>
      </x:c>
      <x:c r="O176" s="3" t="n">
        <x:f t="shared" si="20"/>
        <x:v>6</x:v>
      </x:c>
      <x:c r="P176" s="22" t="n">
        <x:f t="shared" si="21">IF(N176=0,"",M176/N176)</x:f>
        <x:v>2.2</x:v>
      </x:c>
      <x:c r="Q176" s="22" t="n">
        <x:f t="shared" si="22">IF(L176=0,"",M176/L176)</x:f>
        <x:v>0.7333333333333333</x:v>
      </x:c>
      <x:c r="R176" s="22" t="n">
        <x:f t="shared" si="23">IF(L176=0,"",N176/L176)</x:f>
        <x:v>0.3333333333333333</x:v>
      </x:c>
      <x:c r="S176" s="22" t="n">
        <x:f>IF(L176=0,"",O176/L176)</x:f>
        <x:v>0.4</x:v>
      </x:c>
      <x:c r="T176" s="24" t="n">
        <x:v>38</x:v>
      </x:c>
      <x:c r="U176" s="26" t="n">
        <x:v>0.13</x:v>
      </x:c>
      <x:c r="V176" s="24" t="n">
        <x:v>171</x:v>
      </x:c>
      <x:c r="W176"/>
      <x:c r="X176"/>
    </x:row>
    <x:row r="177">
      <x:c r="A177" s="1" t="n">
        <x:v>175</x:v>
      </x:c>
      <x:c r="B177" s="27" t="n">
        <x:v>45799</x:v>
      </x:c>
      <x:c r="C177" s="1" t="str">
        <x:v>Sunset</x:v>
      </x:c>
      <x:c r="D177" s="1" t="str">
        <x:v>9th</x:v>
      </x:c>
      <x:c r="E177" s="1" t="str">
        <x:v>Skye</x:v>
      </x:c>
      <x:c r="F177" s="1" t="str">
        <x:v>Initiator</x:v>
      </x:c>
      <x:c r="G177" s="1" t="n">
        <x:v>13</x:v>
      </x:c>
      <x:c r="H177" s="1" t="n">
        <x:f t="shared" si="16"/>
        <x:v>4</x:v>
      </x:c>
      <x:c r="I177" s="1" t="str">
        <x:f t="shared" si="17">IF(G177&gt;H177,"Win",IF(G177&lt;H177,"Loss","Draw"))</x:f>
        <x:v>Win</x:v>
      </x:c>
      <x:c r="J177" s="1" t="n">
        <x:f t="shared" si="18">IF(I177="Win",1,IF(I177="Loss",0,""))</x:f>
        <x:v>1</x:v>
      </x:c>
      <x:c r="K177" s="1" t="n">
        <x:f t="shared" si="19">G177-H177</x:f>
        <x:v>9</x:v>
      </x:c>
      <x:c r="L177" s="1" t="n">
        <x:f>G177+H177</x:f>
        <x:v>17</x:v>
      </x:c>
      <x:c r="M177" s="1" t="n">
        <x:v>4</x:v>
      </x:c>
      <x:c r="N177" s="1" t="n">
        <x:v>6</x:v>
      </x:c>
      <x:c r="O177" s="3" t="n">
        <x:f t="shared" si="20"/>
        <x:v>6</x:v>
      </x:c>
      <x:c r="P177" s="22" t="n">
        <x:f t="shared" si="21">IF(N177=0,"",M177/N177)</x:f>
        <x:v>0.6666666666666666</x:v>
      </x:c>
      <x:c r="Q177" s="22" t="n">
        <x:f t="shared" si="22">IF(L177=0,"",M177/L177)</x:f>
        <x:v>0.23529411764705882</x:v>
      </x:c>
      <x:c r="R177" s="22" t="n">
        <x:f t="shared" si="23">IF(L177=0,"",N177/L177)</x:f>
        <x:v>0.35294117647058826</x:v>
      </x:c>
      <x:c r="S177" s="22" t="n">
        <x:f>IF(L177=0,"",O177/L177)</x:f>
        <x:v>0.35294117647058826</x:v>
      </x:c>
      <x:c r="T177" s="24" t="n">
        <x:v>-40</x:v>
      </x:c>
      <x:c r="U177" s="26" t="n">
        <x:v>0.1</x:v>
      </x:c>
      <x:c r="V177" s="24" t="n">
        <x:v>56</x:v>
      </x:c>
      <x:c r="W177"/>
      <x:c r="X177"/>
    </x:row>
    <x:row r="178">
      <x:c r="A178" s="1" t="n">
        <x:v>176</x:v>
      </x:c>
      <x:c r="B178" s="27" t="n">
        <x:v>45800</x:v>
      </x:c>
      <x:c r="C178" s="1" t="str">
        <x:v>Pearl</x:v>
      </x:c>
      <x:c r="D178" s="1" t="str">
        <x:v>10th</x:v>
      </x:c>
      <x:c r="E178" s="1" t="str">
        <x:v>Skye</x:v>
      </x:c>
      <x:c r="F178" s="1" t="str">
        <x:v>Initiator</x:v>
      </x:c>
      <x:c r="G178" s="1" t="n">
        <x:v>10</x:v>
      </x:c>
      <x:c r="H178" s="1" t="n">
        <x:f t="shared" si="16"/>
        <x:v>13</x:v>
      </x:c>
      <x:c r="I178" s="1" t="str">
        <x:f t="shared" si="17">IF(G178&gt;H178,"Win",IF(G178&lt;H178,"Loss","Draw"))</x:f>
        <x:v>Loss</x:v>
      </x:c>
      <x:c r="J178" s="1" t="n">
        <x:f t="shared" si="18">IF(I178="Win",1,IF(I178="Loss",0,""))</x:f>
        <x:v>0</x:v>
      </x:c>
      <x:c r="K178" s="1" t="n">
        <x:f t="shared" si="19">G178-H178</x:f>
        <x:v>-3</x:v>
      </x:c>
      <x:c r="L178" s="1" t="n">
        <x:f>G178+H178</x:f>
        <x:v>23</x:v>
      </x:c>
      <x:c r="M178" s="1" t="n">
        <x:v>9</x:v>
      </x:c>
      <x:c r="N178" s="1" t="n">
        <x:v>18</x:v>
      </x:c>
      <x:c r="O178" s="3" t="n">
        <x:f t="shared" si="20"/>
        <x:v>7</x:v>
      </x:c>
      <x:c r="P178" s="22" t="n">
        <x:f t="shared" si="21">IF(N178=0,"",M178/N178)</x:f>
        <x:v>0.5</x:v>
      </x:c>
      <x:c r="Q178" s="22" t="n">
        <x:f t="shared" si="22">IF(L178=0,"",M178/L178)</x:f>
        <x:v>0.391304347826087</x:v>
      </x:c>
      <x:c r="R178" s="22" t="n">
        <x:f t="shared" si="23">IF(L178=0,"",N178/L178)</x:f>
        <x:v>0.782608695652174</x:v>
      </x:c>
      <x:c r="S178" s="22" t="n">
        <x:f>IF(L178=0,"",O178/L178)</x:f>
        <x:v>0.30434782608695654</x:v>
      </x:c>
      <x:c r="T178" s="24" t="n">
        <x:v>-69</x:v>
      </x:c>
      <x:c r="U178" s="26" t="n">
        <x:v>0.04</x:v>
      </x:c>
      <x:c r="V178" s="24" t="n">
        <x:v>119</x:v>
      </x:c>
      <x:c r="W178"/>
      <x:c r="X178"/>
    </x:row>
    <x:row r="179">
      <x:c r="A179" s="1" t="n">
        <x:v>177</x:v>
      </x:c>
      <x:c r="B179" s="27" t="n">
        <x:v>45800</x:v>
      </x:c>
      <x:c r="C179" s="1" t="str">
        <x:v>Icebox</x:v>
      </x:c>
      <x:c r="D179" s="1" t="str">
        <x:v>8th</x:v>
      </x:c>
      <x:c r="E179" s="1" t="str">
        <x:v>Breach</x:v>
      </x:c>
      <x:c r="F179" s="1" t="str">
        <x:v>Initiator</x:v>
      </x:c>
      <x:c r="G179" s="1" t="n">
        <x:v>4</x:v>
      </x:c>
      <x:c r="H179" s="1" t="n">
        <x:f t="shared" si="16"/>
        <x:v>13</x:v>
      </x:c>
      <x:c r="I179" s="1" t="str">
        <x:f t="shared" si="17">IF(G179&gt;H179,"Win",IF(G179&lt;H179,"Loss","Draw"))</x:f>
        <x:v>Loss</x:v>
      </x:c>
      <x:c r="J179" s="1" t="n">
        <x:f t="shared" si="18">IF(I179="Win",1,IF(I179="Loss",0,""))</x:f>
        <x:v>0</x:v>
      </x:c>
      <x:c r="K179" s="1" t="n">
        <x:f t="shared" si="19">G179-H179</x:f>
        <x:v>-9</x:v>
      </x:c>
      <x:c r="L179" s="1" t="n">
        <x:f>G179+H179</x:f>
        <x:v>17</x:v>
      </x:c>
      <x:c r="M179" s="1" t="n">
        <x:v>9</x:v>
      </x:c>
      <x:c r="N179" s="1" t="n">
        <x:v>13</x:v>
      </x:c>
      <x:c r="O179" s="3" t="n">
        <x:f t="shared" si="20"/>
        <x:v>3</x:v>
      </x:c>
      <x:c r="P179" s="22" t="n">
        <x:f t="shared" si="21">IF(N179=0,"",M179/N179)</x:f>
        <x:v>0.6923076923076923</x:v>
      </x:c>
      <x:c r="Q179" s="22" t="n">
        <x:f t="shared" si="22">IF(L179=0,"",M179/L179)</x:f>
        <x:v>0.5294117647058824</x:v>
      </x:c>
      <x:c r="R179" s="22" t="n">
        <x:f t="shared" si="23">IF(L179=0,"",N179/L179)</x:f>
        <x:v>0.7647058823529411</x:v>
      </x:c>
      <x:c r="S179" s="22" t="n">
        <x:f>IF(L179=0,"",O179/L179)</x:f>
        <x:v>0.17647058823529413</x:v>
      </x:c>
      <x:c r="T179" s="24" t="n">
        <x:v>-46</x:v>
      </x:c>
      <x:c r="U179" s="26" t="n">
        <x:v>0.07</x:v>
      </x:c>
      <x:c r="V179" s="24" t="n">
        <x:v>142</x:v>
      </x:c>
      <x:c r="W179"/>
      <x:c r="X179"/>
    </x:row>
    <x:row r="180">
      <x:c r="A180" s="1" t="n">
        <x:v>178</x:v>
      </x:c>
      <x:c r="B180" s="27" t="n">
        <x:v>45800</x:v>
      </x:c>
      <x:c r="C180" s="1" t="str">
        <x:v>Haven</x:v>
      </x:c>
      <x:c r="D180" s="1" t="str">
        <x:v>10th</x:v>
      </x:c>
      <x:c r="E180" s="1" t="str">
        <x:v>Sage</x:v>
      </x:c>
      <x:c r="F180" s="1" t="str">
        <x:v>Sentinel</x:v>
      </x:c>
      <x:c r="G180" s="1" t="n">
        <x:v>13</x:v>
      </x:c>
      <x:c r="H180" s="1" t="n">
        <x:f t="shared" si="16"/>
        <x:v>9</x:v>
      </x:c>
      <x:c r="I180" s="1" t="str">
        <x:f t="shared" si="17">IF(G180&gt;H180,"Win",IF(G180&lt;H180,"Loss","Draw"))</x:f>
        <x:v>Win</x:v>
      </x:c>
      <x:c r="J180" s="1" t="n">
        <x:f t="shared" si="18">IF(I180="Win",1,IF(I180="Loss",0,""))</x:f>
        <x:v>1</x:v>
      </x:c>
      <x:c r="K180" s="1" t="n">
        <x:f t="shared" si="19">G180-H180</x:f>
        <x:v>4</x:v>
      </x:c>
      <x:c r="L180" s="1" t="n">
        <x:f>G180+H180</x:f>
        <x:v>22</x:v>
      </x:c>
      <x:c r="M180" s="1" t="n">
        <x:v>9</x:v>
      </x:c>
      <x:c r="N180" s="1" t="n">
        <x:v>13</x:v>
      </x:c>
      <x:c r="O180" s="3" t="n">
        <x:f t="shared" si="20"/>
        <x:v>6</x:v>
      </x:c>
      <x:c r="P180" s="22" t="n">
        <x:f t="shared" si="21">IF(N180=0,"",M180/N180)</x:f>
        <x:v>0.6923076923076923</x:v>
      </x:c>
      <x:c r="Q180" s="22" t="n">
        <x:f t="shared" si="22">IF(L180=0,"",M180/L180)</x:f>
        <x:v>0.4090909090909091</x:v>
      </x:c>
      <x:c r="R180" s="22" t="n">
        <x:f t="shared" si="23">IF(L180=0,"",N180/L180)</x:f>
        <x:v>0.5909090909090909</x:v>
      </x:c>
      <x:c r="S180" s="22" t="n">
        <x:f>IF(L180=0,"",O180/L180)</x:f>
        <x:v>0.2727272727272727</x:v>
      </x:c>
      <x:c r="T180" s="24" t="n">
        <x:v>-61</x:v>
      </x:c>
      <x:c r="U180" s="26" t="n">
        <x:v>0.06</x:v>
      </x:c>
      <x:c r="V180" s="24" t="n">
        <x:v>99</x:v>
      </x:c>
      <x:c r="W180"/>
      <x:c r="X180"/>
    </x:row>
    <x:row r="181">
      <x:c r="A181" s="1" t="n">
        <x:v>179</x:v>
      </x:c>
      <x:c r="B181" s="27" t="n">
        <x:v>45801</x:v>
      </x:c>
      <x:c r="C181" s="1" t="str">
        <x:v>Ascent</x:v>
      </x:c>
      <x:c r="D181" s="1" t="str">
        <x:v>5th</x:v>
      </x:c>
      <x:c r="E181" s="1" t="str">
        <x:v>Reyna</x:v>
      </x:c>
      <x:c r="F181" s="1" t="str">
        <x:v>Duelist</x:v>
      </x:c>
      <x:c r="G181" s="1" t="n">
        <x:v>13</x:v>
      </x:c>
      <x:c r="H181" s="1" t="n">
        <x:f t="shared" si="16"/>
        <x:v>4</x:v>
      </x:c>
      <x:c r="I181" s="1" t="str">
        <x:f t="shared" si="17">IF(G181&gt;H181,"Win",IF(G181&lt;H181,"Loss","Draw"))</x:f>
        <x:v>Win</x:v>
      </x:c>
      <x:c r="J181" s="1" t="n">
        <x:f t="shared" si="18">IF(I181="Win",1,IF(I181="Loss",0,""))</x:f>
        <x:v>1</x:v>
      </x:c>
      <x:c r="K181" s="1" t="n">
        <x:f t="shared" si="19">G181-H181</x:f>
        <x:v>9</x:v>
      </x:c>
      <x:c r="L181" s="1" t="n">
        <x:f>G181+H181</x:f>
        <x:v>17</x:v>
      </x:c>
      <x:c r="M181" s="1" t="n">
        <x:v>10</x:v>
      </x:c>
      <x:c r="N181" s="1" t="n">
        <x:v>10</x:v>
      </x:c>
      <x:c r="O181" s="3" t="n">
        <x:f t="shared" si="20"/>
        <x:v>5</x:v>
      </x:c>
      <x:c r="P181" s="22" t="n">
        <x:f t="shared" si="21">IF(N181=0,"",M181/N181)</x:f>
        <x:v>1</x:v>
      </x:c>
      <x:c r="Q181" s="22" t="n">
        <x:f t="shared" si="22">IF(L181=0,"",M181/L181)</x:f>
        <x:v>0.5882352941176471</x:v>
      </x:c>
      <x:c r="R181" s="22" t="n">
        <x:f t="shared" si="23">IF(L181=0,"",N181/L181)</x:f>
        <x:v>0.5882352941176471</x:v>
      </x:c>
      <x:c r="S181" s="22" t="n">
        <x:f>IF(L181=0,"",O181/L181)</x:f>
        <x:v>0.29411764705882354</x:v>
      </x:c>
      <x:c r="T181" s="24" t="n">
        <x:v>1</x:v>
      </x:c>
      <x:c r="U181" s="26" t="n">
        <x:v>0</x:v>
      </x:c>
      <x:c r="V181" s="24" t="n">
        <x:v>173</x:v>
      </x:c>
      <x:c r="W181"/>
      <x:c r="X181"/>
    </x:row>
    <x:row r="182">
      <x:c r="A182" s="1" t="n">
        <x:v>180</x:v>
      </x:c>
      <x:c r="B182" s="27" t="n">
        <x:v>45801</x:v>
      </x:c>
      <x:c r="C182" s="1" t="str">
        <x:v>Lotus</x:v>
      </x:c>
      <x:c r="D182" s="1" t="str">
        <x:v>10th</x:v>
      </x:c>
      <x:c r="E182" s="1" t="str">
        <x:v>Sage</x:v>
      </x:c>
      <x:c r="F182" s="1" t="str">
        <x:v>Sentinel</x:v>
      </x:c>
      <x:c r="G182" s="1" t="n">
        <x:v>13</x:v>
      </x:c>
      <x:c r="H182" s="1" t="n">
        <x:f t="shared" si="16"/>
        <x:v>9</x:v>
      </x:c>
      <x:c r="I182" s="1" t="str">
        <x:f t="shared" si="17">IF(G182&gt;H182,"Win",IF(G182&lt;H182,"Loss","Draw"))</x:f>
        <x:v>Win</x:v>
      </x:c>
      <x:c r="J182" s="1" t="n">
        <x:f t="shared" si="18">IF(I182="Win",1,IF(I182="Loss",0,""))</x:f>
        <x:v>1</x:v>
      </x:c>
      <x:c r="K182" s="1" t="n">
        <x:f t="shared" si="19">G182-H182</x:f>
        <x:v>4</x:v>
      </x:c>
      <x:c r="L182" s="1" t="n">
        <x:f>G182+H182</x:f>
        <x:v>22</x:v>
      </x:c>
      <x:c r="M182" s="1" t="n">
        <x:v>8</x:v>
      </x:c>
      <x:c r="N182" s="1" t="n">
        <x:v>15</x:v>
      </x:c>
      <x:c r="O182" s="3" t="n">
        <x:f t="shared" si="20"/>
        <x:v>5</x:v>
      </x:c>
      <x:c r="P182" s="22" t="n">
        <x:f t="shared" si="21">IF(N182=0,"",M182/N182)</x:f>
        <x:v>0.5333333333333333</x:v>
      </x:c>
      <x:c r="Q182" s="22" t="n">
        <x:f t="shared" si="22">IF(L182=0,"",M182/L182)</x:f>
        <x:v>0.36363636363636365</x:v>
      </x:c>
      <x:c r="R182" s="22" t="n">
        <x:f t="shared" si="23">IF(L182=0,"",N182/L182)</x:f>
        <x:v>0.6818181818181818</x:v>
      </x:c>
      <x:c r="S182" s="22" t="n">
        <x:f>IF(L182=0,"",O182/L182)</x:f>
        <x:v>0.22727272727272727</x:v>
      </x:c>
      <x:c r="T182" s="24" t="n">
        <x:v>-82</x:v>
      </x:c>
      <x:c r="U182" s="26" t="n">
        <x:v>0.06</x:v>
      </x:c>
      <x:c r="V182" s="24" t="n">
        <x:v>95</x:v>
      </x:c>
      <x:c r="W182"/>
      <x:c r="X182"/>
    </x:row>
    <x:row r="183">
      <x:c r="A183" s="1" t="n">
        <x:v>181</x:v>
      </x:c>
      <x:c r="B183" s="27" t="n">
        <x:v>45806</x:v>
      </x:c>
      <x:c r="C183" s="1" t="str">
        <x:v>Haven</x:v>
      </x:c>
      <x:c r="D183" s="1" t="str">
        <x:v>9th</x:v>
      </x:c>
      <x:c r="E183" s="1" t="str">
        <x:v>Killjoy</x:v>
      </x:c>
      <x:c r="F183" s="1" t="str">
        <x:v>Sentinel</x:v>
      </x:c>
      <x:c r="G183" s="1" t="n">
        <x:v>13</x:v>
      </x:c>
      <x:c r="H183" s="1" t="n">
        <x:f t="shared" si="16"/>
        <x:v>4</x:v>
      </x:c>
      <x:c r="I183" s="1" t="str">
        <x:f t="shared" si="17">IF(G183&gt;H183,"Win",IF(G183&lt;H183,"Loss","Draw"))</x:f>
        <x:v>Win</x:v>
      </x:c>
      <x:c r="J183" s="1" t="n">
        <x:f t="shared" si="18">IF(I183="Win",1,IF(I183="Loss",0,""))</x:f>
        <x:v>1</x:v>
      </x:c>
      <x:c r="K183" s="1" t="n">
        <x:f t="shared" si="19">G183-H183</x:f>
        <x:v>9</x:v>
      </x:c>
      <x:c r="L183" s="1" t="n">
        <x:f>G183+H183</x:f>
        <x:v>17</x:v>
      </x:c>
      <x:c r="M183" s="1" t="n">
        <x:v>3</x:v>
      </x:c>
      <x:c r="N183" s="1" t="n">
        <x:v>10</x:v>
      </x:c>
      <x:c r="O183" s="3" t="n">
        <x:f t="shared" si="20"/>
        <x:v>2</x:v>
      </x:c>
      <x:c r="P183" s="22" t="n">
        <x:f t="shared" si="21">IF(N183=0,"",M183/N183)</x:f>
        <x:v>0.3</x:v>
      </x:c>
      <x:c r="Q183" s="22" t="n">
        <x:f t="shared" si="22">IF(L183=0,"",M183/L183)</x:f>
        <x:v>0.17647058823529413</x:v>
      </x:c>
      <x:c r="R183" s="22" t="n">
        <x:f t="shared" si="23">IF(L183=0,"",N183/L183)</x:f>
        <x:v>0.5882352941176471</x:v>
      </x:c>
      <x:c r="S183" s="22" t="n">
        <x:f>IF(L183=0,"",O183/L183)</x:f>
        <x:v>0.11764705882352941</x:v>
      </x:c>
      <x:c r="T183" s="24" t="n">
        <x:v>-55</x:v>
      </x:c>
      <x:c r="U183" s="26" t="n">
        <x:v>0.06</x:v>
      </x:c>
      <x:c r="V183" s="24" t="n">
        <x:v>65</x:v>
      </x:c>
      <x:c r="W183"/>
      <x:c r="X183"/>
    </x:row>
    <x:row r="184">
      <x:c r="A184" s="1" t="n">
        <x:v>182</x:v>
      </x:c>
      <x:c r="B184" s="27" t="n">
        <x:v>45807</x:v>
      </x:c>
      <x:c r="C184" s="1" t="str">
        <x:v>Icebox</x:v>
      </x:c>
      <x:c r="D184" s="1" t="str">
        <x:v>9th</x:v>
      </x:c>
      <x:c r="E184" s="1" t="str">
        <x:v>Sage</x:v>
      </x:c>
      <x:c r="F184" s="1" t="str">
        <x:v>Sentinel</x:v>
      </x:c>
      <x:c r="G184" s="1" t="n">
        <x:v>7</x:v>
      </x:c>
      <x:c r="H184" s="1" t="n">
        <x:f t="shared" si="16"/>
        <x:v>13</x:v>
      </x:c>
      <x:c r="I184" s="1" t="str">
        <x:f t="shared" si="17">IF(G184&gt;H184,"Win",IF(G184&lt;H184,"Loss","Draw"))</x:f>
        <x:v>Loss</x:v>
      </x:c>
      <x:c r="J184" s="1" t="n">
        <x:f t="shared" si="18">IF(I184="Win",1,IF(I184="Loss",0,""))</x:f>
        <x:v>0</x:v>
      </x:c>
      <x:c r="K184" s="1" t="n">
        <x:f t="shared" si="19">G184-H184</x:f>
        <x:v>-6</x:v>
      </x:c>
      <x:c r="L184" s="1" t="n">
        <x:f>G184+H184</x:f>
        <x:v>20</x:v>
      </x:c>
      <x:c r="M184" s="1" t="n">
        <x:v>7</x:v>
      </x:c>
      <x:c r="N184" s="1" t="n">
        <x:v>17</x:v>
      </x:c>
      <x:c r="O184" s="3" t="n">
        <x:f t="shared" si="20"/>
        <x:v>6</x:v>
      </x:c>
      <x:c r="P184" s="22" t="n">
        <x:f t="shared" si="21">IF(N184=0,"",M184/N184)</x:f>
        <x:v>0.4117647058823529</x:v>
      </x:c>
      <x:c r="Q184" s="22" t="n">
        <x:f t="shared" si="22">IF(L184=0,"",M184/L184)</x:f>
        <x:v>0.35</x:v>
      </x:c>
      <x:c r="R184" s="22" t="n">
        <x:f t="shared" si="23">IF(L184=0,"",N184/L184)</x:f>
        <x:v>0.85</x:v>
      </x:c>
      <x:c r="S184" s="22" t="n">
        <x:f>IF(L184=0,"",O184/L184)</x:f>
        <x:v>0.3</x:v>
      </x:c>
      <x:c r="T184" s="24" t="n">
        <x:v>-96</x:v>
      </x:c>
      <x:c r="U184" s="26" t="n">
        <x:v>0.02</x:v>
      </x:c>
      <x:c r="V184" s="24" t="n">
        <x:v>107</x:v>
      </x:c>
      <x:c r="W184"/>
      <x:c r="X184"/>
    </x:row>
    <x:row r="185">
      <x:c r="A185" s="1" t="n">
        <x:v>183</x:v>
      </x:c>
      <x:c r="B185" s="27" t="n">
        <x:v>45808</x:v>
      </x:c>
      <x:c r="C185" s="1" t="str">
        <x:v>Split</x:v>
      </x:c>
      <x:c r="D185" s="1" t="str">
        <x:v>10th</x:v>
      </x:c>
      <x:c r="E185" s="1" t="str">
        <x:v>Killjoy</x:v>
      </x:c>
      <x:c r="F185" s="1" t="str">
        <x:v>Sentinel</x:v>
      </x:c>
      <x:c r="G185" s="1" t="n">
        <x:v>12</x:v>
      </x:c>
      <x:c r="H185" s="1" t="n">
        <x:f t="shared" si="16"/>
        <x:v>14</x:v>
      </x:c>
      <x:c r="I185" s="1" t="str">
        <x:f t="shared" si="17">IF(G185&gt;H185,"Win",IF(G185&lt;H185,"Loss","Draw"))</x:f>
        <x:v>Loss</x:v>
      </x:c>
      <x:c r="J185" s="1" t="n">
        <x:f t="shared" si="18">IF(I185="Win",1,IF(I185="Loss",0,""))</x:f>
        <x:v>0</x:v>
      </x:c>
      <x:c r="K185" s="1" t="n">
        <x:f t="shared" si="19">G185-H185</x:f>
        <x:v>-2</x:v>
      </x:c>
      <x:c r="L185" s="1" t="n">
        <x:f>G185+H185</x:f>
        <x:v>26</x:v>
      </x:c>
      <x:c r="M185" s="1" t="n">
        <x:v>4</x:v>
      </x:c>
      <x:c r="N185" s="1" t="n">
        <x:v>18</x:v>
      </x:c>
      <x:c r="O185" s="3" t="n">
        <x:f t="shared" si="20"/>
        <x:v>5</x:v>
      </x:c>
      <x:c r="P185" s="22" t="n">
        <x:f t="shared" si="21">IF(N185=0,"",M185/N185)</x:f>
        <x:v>0.2222222222222222</x:v>
      </x:c>
      <x:c r="Q185" s="22" t="n">
        <x:f t="shared" si="22">IF(L185=0,"",M185/L185)</x:f>
        <x:v>0.15384615384615385</x:v>
      </x:c>
      <x:c r="R185" s="22" t="n">
        <x:f t="shared" si="23">IF(L185=0,"",N185/L185)</x:f>
        <x:v>0.6923076923076923</x:v>
      </x:c>
      <x:c r="S185" s="22" t="n">
        <x:f>IF(L185=0,"",O185/L185)</x:f>
        <x:v>0.19230769230769232</x:v>
      </x:c>
      <x:c r="T185" s="24" t="n">
        <x:v>-66</x:v>
      </x:c>
      <x:c r="U185" s="26" t="n">
        <x:v>0.04</x:v>
      </x:c>
      <x:c r="V185" s="24" t="n">
        <x:v>69</x:v>
      </x:c>
      <x:c r="W185"/>
      <x:c r="X185"/>
    </x:row>
    <x:row r="186">
      <x:c r="A186" s="1" t="n">
        <x:v>184</x:v>
      </x:c>
      <x:c r="B186" s="27" t="n">
        <x:v>45808</x:v>
      </x:c>
      <x:c r="C186" s="1" t="str">
        <x:v>Sunset</x:v>
      </x:c>
      <x:c r="D186" s="1" t="str">
        <x:v>10th</x:v>
      </x:c>
      <x:c r="E186" s="1" t="str">
        <x:v>Sage</x:v>
      </x:c>
      <x:c r="F186" s="1" t="str">
        <x:v>Sentinel</x:v>
      </x:c>
      <x:c r="G186" s="1" t="n">
        <x:v>13</x:v>
      </x:c>
      <x:c r="H186" s="1" t="n">
        <x:f t="shared" si="16"/>
        <x:v>11</x:v>
      </x:c>
      <x:c r="I186" s="1" t="str">
        <x:f t="shared" si="17">IF(G186&gt;H186,"Win",IF(G186&lt;H186,"Loss","Draw"))</x:f>
        <x:v>Win</x:v>
      </x:c>
      <x:c r="J186" s="1" t="n">
        <x:f t="shared" si="18">IF(I186="Win",1,IF(I186="Loss",0,""))</x:f>
        <x:v>1</x:v>
      </x:c>
      <x:c r="K186" s="1" t="n">
        <x:f t="shared" si="19">G186-H186</x:f>
        <x:v>2</x:v>
      </x:c>
      <x:c r="L186" s="1" t="n">
        <x:f>G186+H186</x:f>
        <x:v>24</x:v>
      </x:c>
      <x:c r="M186" s="1" t="n">
        <x:v>4</x:v>
      </x:c>
      <x:c r="N186" s="1" t="n">
        <x:v>19</x:v>
      </x:c>
      <x:c r="O186" s="3" t="n">
        <x:f t="shared" si="20"/>
        <x:v>13</x:v>
      </x:c>
      <x:c r="P186" s="22" t="n">
        <x:f t="shared" si="21">IF(N186=0,"",M186/N186)</x:f>
        <x:v>0.21052631578947367</x:v>
      </x:c>
      <x:c r="Q186" s="22" t="n">
        <x:f t="shared" si="22">IF(L186=0,"",M186/L186)</x:f>
        <x:v>0.16666666666666666</x:v>
      </x:c>
      <x:c r="R186" s="22" t="n">
        <x:f t="shared" si="23">IF(L186=0,"",N186/L186)</x:f>
        <x:v>0.7916666666666666</x:v>
      </x:c>
      <x:c r="S186" s="22" t="n">
        <x:f>IF(L186=0,"",O186/L186)</x:f>
        <x:v>0.5416666666666666</x:v>
      </x:c>
      <x:c r="T186" s="24" t="n">
        <x:v>-106</x:v>
      </x:c>
      <x:c r="U186" s="26" t="n">
        <x:v>0.04</x:v>
      </x:c>
      <x:c r="V186" s="24" t="n">
        <x:v>54</x:v>
      </x:c>
      <x:c r="W186"/>
      <x:c r="X186"/>
    </x:row>
    <x:row r="187">
      <x:c r="A187" s="1" t="n">
        <x:v>185</x:v>
      </x:c>
      <x:c r="B187" s="27" t="n">
        <x:v>45817</x:v>
      </x:c>
      <x:c r="C187" s="1" t="str">
        <x:v>Lotus</x:v>
      </x:c>
      <x:c r="D187" s="1" t="str">
        <x:v>8th</x:v>
      </x:c>
      <x:c r="E187" s="1" t="str">
        <x:v>Sage</x:v>
      </x:c>
      <x:c r="F187" s="1" t="str">
        <x:v>Sentinel</x:v>
      </x:c>
      <x:c r="G187" s="1" t="n">
        <x:v>1</x:v>
      </x:c>
      <x:c r="H187" s="1" t="n">
        <x:f t="shared" si="16"/>
        <x:v>13</x:v>
      </x:c>
      <x:c r="I187" s="1" t="str">
        <x:f t="shared" si="17">IF(G187&gt;H187,"Win",IF(G187&lt;H187,"Loss","Draw"))</x:f>
        <x:v>Loss</x:v>
      </x:c>
      <x:c r="J187" s="1" t="n">
        <x:f t="shared" si="18">IF(I187="Win",1,IF(I187="Loss",0,""))</x:f>
        <x:v>0</x:v>
      </x:c>
      <x:c r="K187" s="1" t="n">
        <x:f t="shared" si="19">G187-H187</x:f>
        <x:v>-12</x:v>
      </x:c>
      <x:c r="L187" s="1" t="n">
        <x:f>G187+H187</x:f>
        <x:v>14</x:v>
      </x:c>
      <x:c r="M187" s="1" t="n">
        <x:v>5</x:v>
      </x:c>
      <x:c r="N187" s="1" t="n">
        <x:v>13</x:v>
      </x:c>
      <x:c r="O187" s="3" t="n">
        <x:f t="shared" si="20"/>
        <x:v>2</x:v>
      </x:c>
      <x:c r="P187" s="22" t="n">
        <x:f t="shared" si="21">IF(N187=0,"",M187/N187)</x:f>
        <x:v>0.38461538461538464</x:v>
      </x:c>
      <x:c r="Q187" s="22" t="n">
        <x:f t="shared" si="22">IF(L187=0,"",M187/L187)</x:f>
        <x:v>0.35714285714285715</x:v>
      </x:c>
      <x:c r="R187" s="22" t="n">
        <x:f t="shared" si="23">IF(L187=0,"",N187/L187)</x:f>
        <x:v>0.9285714285714286</x:v>
      </x:c>
      <x:c r="S187" s="22" t="n">
        <x:f>IF(L187=0,"",O187/L187)</x:f>
        <x:v>0.14285714285714285</x:v>
      </x:c>
      <x:c r="T187" s="24" t="n">
        <x:v>-81</x:v>
      </x:c>
      <x:c r="U187" s="26" t="n">
        <x:v>0.07</x:v>
      </x:c>
      <x:c r="V187" s="24" t="n">
        <x:v>129</x:v>
      </x:c>
      <x:c r="W187"/>
      <x:c r="X187"/>
    </x:row>
    <x:row r="188">
      <x:c r="A188" s="1" t="n">
        <x:v>186</x:v>
      </x:c>
      <x:c r="B188" s="27" t="n">
        <x:v>45817</x:v>
      </x:c>
      <x:c r="C188" s="1" t="str">
        <x:v>Ascent</x:v>
      </x:c>
      <x:c r="D188" s="1" t="str">
        <x:v>10th</x:v>
      </x:c>
      <x:c r="E188" s="1" t="str">
        <x:v>Sage</x:v>
      </x:c>
      <x:c r="F188" s="1" t="str">
        <x:v>Sentinel</x:v>
      </x:c>
      <x:c r="G188" s="1" t="n">
        <x:v>13</x:v>
      </x:c>
      <x:c r="H188" s="1" t="n">
        <x:f t="shared" si="16"/>
        <x:v>15</x:v>
      </x:c>
      <x:c r="I188" s="1" t="str">
        <x:f t="shared" si="17">IF(G188&gt;H188,"Win",IF(G188&lt;H188,"Loss","Draw"))</x:f>
        <x:v>Loss</x:v>
      </x:c>
      <x:c r="J188" s="1" t="n">
        <x:f t="shared" si="18">IF(I188="Win",1,IF(I188="Loss",0,""))</x:f>
        <x:v>0</x:v>
      </x:c>
      <x:c r="K188" s="1" t="n">
        <x:f t="shared" si="19">G188-H188</x:f>
        <x:v>-2</x:v>
      </x:c>
      <x:c r="L188" s="1" t="n">
        <x:f>G188+H188</x:f>
        <x:v>28</x:v>
      </x:c>
      <x:c r="M188" s="1" t="n">
        <x:v>10</x:v>
      </x:c>
      <x:c r="N188" s="1" t="n">
        <x:v>22</x:v>
      </x:c>
      <x:c r="O188" s="3" t="n">
        <x:f t="shared" si="20"/>
        <x:v>5</x:v>
      </x:c>
      <x:c r="P188" s="22" t="n">
        <x:f t="shared" si="21">IF(N188=0,"",M188/N188)</x:f>
        <x:v>0.45454545454545453</x:v>
      </x:c>
      <x:c r="Q188" s="22" t="n">
        <x:f t="shared" si="22">IF(L188=0,"",M188/L188)</x:f>
        <x:v>0.35714285714285715</x:v>
      </x:c>
      <x:c r="R188" s="22" t="n">
        <x:f t="shared" si="23">IF(L188=0,"",N188/L188)</x:f>
        <x:v>0.7857142857142857</x:v>
      </x:c>
      <x:c r="S188" s="22" t="n">
        <x:f>IF(L188=0,"",O188/L188)</x:f>
        <x:v>0.17857142857142858</x:v>
      </x:c>
      <x:c r="T188" s="24" t="n">
        <x:v>-72</x:v>
      </x:c>
      <x:c r="U188" s="26" t="n">
        <x:v>0.1</x:v>
      </x:c>
      <x:c r="V188" s="24" t="n">
        <x:v>107</x:v>
      </x:c>
      <x:c r="W188"/>
      <x:c r="X188"/>
    </x:row>
    <x:row r="189">
      <x:c r="A189" s="1" t="n">
        <x:v>187</x:v>
      </x:c>
      <x:c r="B189" s="27" t="n">
        <x:v>45819</x:v>
      </x:c>
      <x:c r="C189" s="1" t="str">
        <x:v>Pearl</x:v>
      </x:c>
      <x:c r="D189" s="1" t="str">
        <x:v>5th</x:v>
      </x:c>
      <x:c r="E189" s="1" t="str">
        <x:v>Fade</x:v>
      </x:c>
      <x:c r="F189" s="1" t="str">
        <x:v>Initiator</x:v>
      </x:c>
      <x:c r="G189" s="1" t="n">
        <x:v>13</x:v>
      </x:c>
      <x:c r="H189" s="1" t="n">
        <x:f t="shared" si="16"/>
        <x:v>4</x:v>
      </x:c>
      <x:c r="I189" s="1" t="str">
        <x:f t="shared" si="17">IF(G189&gt;H189,"Win",IF(G189&lt;H189,"Loss","Draw"))</x:f>
        <x:v>Win</x:v>
      </x:c>
      <x:c r="J189" s="1" t="n">
        <x:f t="shared" si="18">IF(I189="Win",1,IF(I189="Loss",0,""))</x:f>
        <x:v>1</x:v>
      </x:c>
      <x:c r="K189" s="1" t="n">
        <x:f t="shared" si="19">G189-H189</x:f>
        <x:v>9</x:v>
      </x:c>
      <x:c r="L189" s="1" t="n">
        <x:f>G189+H189</x:f>
        <x:v>17</x:v>
      </x:c>
      <x:c r="M189" s="1" t="n">
        <x:v>14</x:v>
      </x:c>
      <x:c r="N189" s="1" t="n">
        <x:v>11</x:v>
      </x:c>
      <x:c r="O189" s="3" t="n">
        <x:f t="shared" si="20"/>
        <x:v>7</x:v>
      </x:c>
      <x:c r="P189" s="22" t="n">
        <x:f t="shared" si="21">IF(N189=0,"",M189/N189)</x:f>
        <x:v>1.2727272727272727</x:v>
      </x:c>
      <x:c r="Q189" s="22" t="n">
        <x:f t="shared" si="22">IF(L189=0,"",M189/L189)</x:f>
        <x:v>0.8235294117647058</x:v>
      </x:c>
      <x:c r="R189" s="22" t="n">
        <x:f t="shared" si="23">IF(L189=0,"",N189/L189)</x:f>
        <x:v>0.6470588235294118</x:v>
      </x:c>
      <x:c r="S189" s="22" t="n">
        <x:f>IF(L189=0,"",O189/L189)</x:f>
        <x:v>0.4117647058823529</x:v>
      </x:c>
      <x:c r="T189" s="24" t="n">
        <x:v>39</x:v>
      </x:c>
      <x:c r="U189" s="26" t="n">
        <x:v>0.06</x:v>
      </x:c>
      <x:c r="V189" s="24" t="n">
        <x:v>237</x:v>
      </x:c>
      <x:c r="W189"/>
      <x:c r="X189"/>
    </x:row>
    <x:row r="190">
      <x:c r="A190" s="1" t="n">
        <x:v>188</x:v>
      </x:c>
      <x:c r="B190" s="27" t="n">
        <x:v>45819</x:v>
      </x:c>
      <x:c r="C190" s="1" t="str">
        <x:v>Pearl</x:v>
      </x:c>
      <x:c r="D190" s="1" t="str">
        <x:v>9th</x:v>
      </x:c>
      <x:c r="E190" s="1" t="str">
        <x:v>Fade</x:v>
      </x:c>
      <x:c r="F190" s="1" t="str">
        <x:v>Initiator</x:v>
      </x:c>
      <x:c r="G190" s="1" t="n">
        <x:v>13</x:v>
      </x:c>
      <x:c r="H190" s="1" t="n">
        <x:f t="shared" si="16"/>
        <x:v>10</x:v>
      </x:c>
      <x:c r="I190" s="1" t="str">
        <x:f t="shared" si="17">IF(G190&gt;H190,"Win",IF(G190&lt;H190,"Loss","Draw"))</x:f>
        <x:v>Win</x:v>
      </x:c>
      <x:c r="J190" s="1" t="n">
        <x:f t="shared" si="18">IF(I190="Win",1,IF(I190="Loss",0,""))</x:f>
        <x:v>1</x:v>
      </x:c>
      <x:c r="K190" s="1" t="n">
        <x:f t="shared" si="19">G190-H190</x:f>
        <x:v>3</x:v>
      </x:c>
      <x:c r="L190" s="1" t="n">
        <x:f>G190+H190</x:f>
        <x:v>23</x:v>
      </x:c>
      <x:c r="M190" s="1" t="n">
        <x:v>11</x:v>
      </x:c>
      <x:c r="N190" s="1" t="n">
        <x:v>17</x:v>
      </x:c>
      <x:c r="O190" s="3" t="n">
        <x:f t="shared" si="20"/>
        <x:v>11</x:v>
      </x:c>
      <x:c r="P190" s="22" t="n">
        <x:f t="shared" si="21">IF(N190=0,"",M190/N190)</x:f>
        <x:v>0.6470588235294118</x:v>
      </x:c>
      <x:c r="Q190" s="22" t="n">
        <x:f t="shared" si="22">IF(L190=0,"",M190/L190)</x:f>
        <x:v>0.4782608695652174</x:v>
      </x:c>
      <x:c r="R190" s="22" t="n">
        <x:f t="shared" si="23">IF(L190=0,"",N190/L190)</x:f>
        <x:v>0.7391304347826086</x:v>
      </x:c>
      <x:c r="S190" s="22" t="n">
        <x:f>IF(L190=0,"",O190/L190)</x:f>
        <x:v>0.4782608695652174</x:v>
      </x:c>
      <x:c r="T190" s="24" t="n">
        <x:v>-22</x:v>
      </x:c>
      <x:c r="U190" s="26" t="n">
        <x:v>0.12</x:v>
      </x:c>
      <x:c r="V190" s="24" t="n">
        <x:v>143</x:v>
      </x:c>
      <x:c r="W190"/>
      <x:c r="X190"/>
    </x:row>
    <x:row r="191">
      <x:c r="A191" s="1" t="n">
        <x:v>189</x:v>
      </x:c>
      <x:c r="B191" s="27" t="n">
        <x:v>45820</x:v>
      </x:c>
      <x:c r="C191" s="1" t="str">
        <x:v>Lotus</x:v>
      </x:c>
      <x:c r="D191" s="1" t="str">
        <x:v>4th</x:v>
      </x:c>
      <x:c r="E191" s="1" t="str">
        <x:v>Fade</x:v>
      </x:c>
      <x:c r="F191" s="1" t="str">
        <x:v>Initiator</x:v>
      </x:c>
      <x:c r="G191" s="1" t="n">
        <x:v>3</x:v>
      </x:c>
      <x:c r="H191" s="1" t="n">
        <x:f t="shared" si="16"/>
        <x:v>13</x:v>
      </x:c>
      <x:c r="I191" s="1" t="str">
        <x:f t="shared" si="17">IF(G191&gt;H191,"Win",IF(G191&lt;H191,"Loss","Draw"))</x:f>
        <x:v>Loss</x:v>
      </x:c>
      <x:c r="J191" s="1" t="n">
        <x:f t="shared" si="18">IF(I191="Win",1,IF(I191="Loss",0,""))</x:f>
        <x:v>0</x:v>
      </x:c>
      <x:c r="K191" s="1" t="n">
        <x:f t="shared" si="19">G191-H191</x:f>
        <x:v>-10</x:v>
      </x:c>
      <x:c r="L191" s="1" t="n">
        <x:f>G191+H191</x:f>
        <x:v>16</x:v>
      </x:c>
      <x:c r="M191" s="1" t="n">
        <x:v>10</x:v>
      </x:c>
      <x:c r="N191" s="1" t="n">
        <x:v>14</x:v>
      </x:c>
      <x:c r="O191" s="3" t="n">
        <x:f t="shared" si="20"/>
        <x:v>7</x:v>
      </x:c>
      <x:c r="P191" s="22" t="n">
        <x:f t="shared" si="21">IF(N191=0,"",M191/N191)</x:f>
        <x:v>0.7142857142857143</x:v>
      </x:c>
      <x:c r="Q191" s="22" t="n">
        <x:f t="shared" si="22">IF(L191=0,"",M191/L191)</x:f>
        <x:v>0.625</x:v>
      </x:c>
      <x:c r="R191" s="22" t="n">
        <x:f t="shared" si="23">IF(L191=0,"",N191/L191)</x:f>
        <x:v>0.875</x:v>
      </x:c>
      <x:c r="S191" s="22" t="n">
        <x:f>IF(L191=0,"",O191/L191)</x:f>
        <x:v>0.4375</x:v>
      </x:c>
      <x:c r="T191" s="24" t="n">
        <x:v>-22</x:v>
      </x:c>
      <x:c r="U191" s="26" t="n">
        <x:v>0.04</x:v>
      </x:c>
      <x:c r="V191" s="24" t="n">
        <x:v>221</x:v>
      </x:c>
      <x:c r="W191"/>
      <x:c r="X191"/>
    </x:row>
    <x:row r="192">
      <x:c r="A192" s="1" t="n">
        <x:v>190</x:v>
      </x:c>
      <x:c r="B192" s="27" t="n">
        <x:v>45820</x:v>
      </x:c>
      <x:c r="C192" s="1" t="str">
        <x:v>Sunset</x:v>
      </x:c>
      <x:c r="D192" s="1" t="str">
        <x:v>5th</x:v>
      </x:c>
      <x:c r="E192" s="1" t="str">
        <x:v>Deadlock</x:v>
      </x:c>
      <x:c r="F192" s="1" t="str">
        <x:v>Sentinel</x:v>
      </x:c>
      <x:c r="G192" s="1" t="n">
        <x:v>7</x:v>
      </x:c>
      <x:c r="H192" s="1" t="n">
        <x:f t="shared" si="16"/>
        <x:v>13</x:v>
      </x:c>
      <x:c r="I192" s="1" t="str">
        <x:f t="shared" si="17">IF(G192&gt;H192,"Win",IF(G192&lt;H192,"Loss","Draw"))</x:f>
        <x:v>Loss</x:v>
      </x:c>
      <x:c r="J192" s="1" t="n">
        <x:f t="shared" si="18">IF(I192="Win",1,IF(I192="Loss",0,""))</x:f>
        <x:v>0</x:v>
      </x:c>
      <x:c r="K192" s="1" t="n">
        <x:f t="shared" si="19">G192-H192</x:f>
        <x:v>-6</x:v>
      </x:c>
      <x:c r="L192" s="1" t="n">
        <x:f>G192+H192</x:f>
        <x:v>20</x:v>
      </x:c>
      <x:c r="M192" s="1" t="n">
        <x:v>15</x:v>
      </x:c>
      <x:c r="N192" s="1" t="n">
        <x:v>18</x:v>
      </x:c>
      <x:c r="O192" s="3" t="n">
        <x:f t="shared" si="20"/>
        <x:v>3</x:v>
      </x:c>
      <x:c r="P192" s="22" t="n">
        <x:f t="shared" si="21">IF(N192=0,"",M192/N192)</x:f>
        <x:v>0.8333333333333334</x:v>
      </x:c>
      <x:c r="Q192" s="22" t="n">
        <x:f t="shared" si="22">IF(L192=0,"",M192/L192)</x:f>
        <x:v>0.75</x:v>
      </x:c>
      <x:c r="R192" s="22" t="n">
        <x:f t="shared" si="23">IF(L192=0,"",N192/L192)</x:f>
        <x:v>0.9</x:v>
      </x:c>
      <x:c r="S192" s="22" t="n">
        <x:f>IF(L192=0,"",O192/L192)</x:f>
        <x:v>0.15</x:v>
      </x:c>
      <x:c r="T192" s="24" t="n">
        <x:v>-57</x:v>
      </x:c>
      <x:c r="U192" s="26" t="n">
        <x:v>0.07</x:v>
      </x:c>
      <x:c r="V192" s="24" t="n">
        <x:v>207</x:v>
      </x:c>
      <x:c r="W192"/>
      <x:c r="X192"/>
    </x:row>
    <x:row r="193">
      <x:c r="A193" s="1" t="n">
        <x:v>191</x:v>
      </x:c>
      <x:c r="B193" s="27" t="n">
        <x:v>45822</x:v>
      </x:c>
      <x:c r="C193" s="1" t="str">
        <x:v>Icebox</x:v>
      </x:c>
      <x:c r="D193" s="1" t="str">
        <x:v>2nd</x:v>
      </x:c>
      <x:c r="E193" s="1" t="str">
        <x:v>Sage</x:v>
      </x:c>
      <x:c r="F193" s="1" t="str">
        <x:v>Sentinel</x:v>
      </x:c>
      <x:c r="G193" s="1" t="n">
        <x:v>9</x:v>
      </x:c>
      <x:c r="H193" s="1" t="n">
        <x:f t="shared" si="16"/>
        <x:v>13</x:v>
      </x:c>
      <x:c r="I193" s="1" t="str">
        <x:f t="shared" si="17">IF(G193&gt;H193,"Win",IF(G193&lt;H193,"Loss","Draw"))</x:f>
        <x:v>Loss</x:v>
      </x:c>
      <x:c r="J193" s="1" t="n">
        <x:f t="shared" si="18">IF(I193="Win",1,IF(I193="Loss",0,""))</x:f>
        <x:v>0</x:v>
      </x:c>
      <x:c r="K193" s="1" t="n">
        <x:f t="shared" si="19">G193-H193</x:f>
        <x:v>-4</x:v>
      </x:c>
      <x:c r="L193" s="1" t="n">
        <x:f>G193+H193</x:f>
        <x:v>22</x:v>
      </x:c>
      <x:c r="M193" s="1" t="n">
        <x:v>21</x:v>
      </x:c>
      <x:c r="N193" s="1" t="n">
        <x:v>18</x:v>
      </x:c>
      <x:c r="O193" s="3" t="n">
        <x:f t="shared" si="20"/>
        <x:v>4</x:v>
      </x:c>
      <x:c r="P193" s="22" t="n">
        <x:f t="shared" si="21">IF(N193=0,"",M193/N193)</x:f>
        <x:v>1.1666666666666667</x:v>
      </x:c>
      <x:c r="Q193" s="22" t="n">
        <x:f t="shared" si="22">IF(L193=0,"",M193/L193)</x:f>
        <x:v>0.9545454545454546</x:v>
      </x:c>
      <x:c r="R193" s="22" t="n">
        <x:f t="shared" si="23">IF(L193=0,"",N193/L193)</x:f>
        <x:v>0.8181818181818182</x:v>
      </x:c>
      <x:c r="S193" s="22" t="n">
        <x:f>IF(L193=0,"",O193/L193)</x:f>
        <x:v>0.18181818181818182</x:v>
      </x:c>
      <x:c r="T193" s="24" t="n">
        <x:v>-4</x:v>
      </x:c>
      <x:c r="U193" s="26" t="n">
        <x:v>0.07</x:v>
      </x:c>
      <x:c r="V193" s="24" t="n">
        <x:v>271</x:v>
      </x:c>
      <x:c r="W193"/>
      <x:c r="X193"/>
    </x:row>
    <x:row r="194">
      <x:c r="A194" s="1" t="n">
        <x:v>192</x:v>
      </x:c>
      <x:c r="B194" s="27" t="n">
        <x:v>45822</x:v>
      </x:c>
      <x:c r="C194" s="1" t="str">
        <x:v>Split</x:v>
      </x:c>
      <x:c r="D194" s="1" t="str">
        <x:v>2nd</x:v>
      </x:c>
      <x:c r="E194" s="1" t="str">
        <x:v>Sage</x:v>
      </x:c>
      <x:c r="F194" s="1" t="str">
        <x:v>Sentinel</x:v>
      </x:c>
      <x:c r="G194" s="1" t="n">
        <x:v>13</x:v>
      </x:c>
      <x:c r="H194" s="1" t="n">
        <x:f t="shared" si="16"/>
        <x:v>10</x:v>
      </x:c>
      <x:c r="I194" s="1" t="str">
        <x:f t="shared" si="17">IF(G194&gt;H194,"Win",IF(G194&lt;H194,"Loss","Draw"))</x:f>
        <x:v>Win</x:v>
      </x:c>
      <x:c r="J194" s="1" t="n">
        <x:f t="shared" si="18">IF(I194="Win",1,IF(I194="Loss",0,""))</x:f>
        <x:v>1</x:v>
      </x:c>
      <x:c r="K194" s="1" t="n">
        <x:f t="shared" si="19">G194-H194</x:f>
        <x:v>3</x:v>
      </x:c>
      <x:c r="L194" s="1" t="n">
        <x:f>G194+H194</x:f>
        <x:v>23</x:v>
      </x:c>
      <x:c r="M194" s="1" t="n">
        <x:v>22</x:v>
      </x:c>
      <x:c r="N194" s="1" t="n">
        <x:v>12</x:v>
      </x:c>
      <x:c r="O194" s="3" t="n">
        <x:f t="shared" si="20"/>
        <x:v>6</x:v>
      </x:c>
      <x:c r="P194" s="22" t="n">
        <x:f t="shared" si="21">IF(N194=0,"",M194/N194)</x:f>
        <x:v>1.8333333333333333</x:v>
      </x:c>
      <x:c r="Q194" s="22" t="n">
        <x:f t="shared" si="22">IF(L194=0,"",M194/L194)</x:f>
        <x:v>0.9565217391304348</x:v>
      </x:c>
      <x:c r="R194" s="22" t="n">
        <x:f t="shared" si="23">IF(L194=0,"",N194/L194)</x:f>
        <x:v>0.5217391304347826</x:v>
      </x:c>
      <x:c r="S194" s="22" t="n">
        <x:f>IF(L194=0,"",O194/L194)</x:f>
        <x:v>0.2608695652173913</x:v>
      </x:c>
      <x:c r="T194" s="24" t="n">
        <x:v>66</x:v>
      </x:c>
      <x:c r="U194" s="26" t="n">
        <x:v>0.11</x:v>
      </x:c>
      <x:c r="V194" s="24" t="n">
        <x:v>269</x:v>
      </x:c>
      <x:c r="W194"/>
      <x:c r="X194"/>
    </x:row>
    <x:row r="195">
      <x:c r="A195" s="1" t="n">
        <x:v>193</x:v>
      </x:c>
      <x:c r="B195" s="27" t="n">
        <x:v>45823</x:v>
      </x:c>
      <x:c r="C195" s="1" t="str">
        <x:v>Lotus</x:v>
      </x:c>
      <x:c r="D195" s="1" t="str">
        <x:v>7th</x:v>
      </x:c>
      <x:c r="E195" s="1" t="str">
        <x:v>Sage</x:v>
      </x:c>
      <x:c r="F195" s="1" t="str">
        <x:v>Sentinel</x:v>
      </x:c>
      <x:c r="G195" s="1" t="n">
        <x:v>6</x:v>
      </x:c>
      <x:c r="H195" s="1" t="n">
        <x:f t="shared" ref="H195:H258" si="24">IF(F195&gt;G195,"Win",IF(F195&lt;G195,"Loss","Draw"))</x:f>
        <x:v>13</x:v>
      </x:c>
      <x:c r="I195" s="1" t="str">
        <x:f t="shared" ref="I195:I258" si="25">IF(G195&gt;H195,"Win",IF(G195&lt;H195,"Loss","Draw"))</x:f>
        <x:v>Loss</x:v>
      </x:c>
      <x:c r="J195" s="1" t="n">
        <x:f t="shared" ref="J195:J258" si="26">IF(I195="Win",1,IF(I195="Loss",0,""))</x:f>
        <x:v>0</x:v>
      </x:c>
      <x:c r="K195" s="1" t="n">
        <x:f t="shared" ref="K195:K258" si="27">G195-H195</x:f>
        <x:v>-7</x:v>
      </x:c>
      <x:c r="L195" s="1" t="n">
        <x:f>G195+H195</x:f>
        <x:v>19</x:v>
      </x:c>
      <x:c r="M195" s="1" t="n">
        <x:v>13</x:v>
      </x:c>
      <x:c r="N195" s="1" t="n">
        <x:v>14</x:v>
      </x:c>
      <x:c r="O195" s="3" t="n">
        <x:f t="shared" ref="O195:O258" si="28">IF(M195=0,"",L195/M195)</x:f>
        <x:v>9</x:v>
      </x:c>
      <x:c r="P195" s="22" t="n">
        <x:f t="shared" ref="P195:P258" si="29">IF(N195=0,"",M195/N195)</x:f>
        <x:v>0.9285714285714286</x:v>
      </x:c>
      <x:c r="Q195" s="22" t="n">
        <x:f t="shared" ref="Q195:Q258" si="30">IF(L195=0,"",M195/L195)</x:f>
        <x:v>0.6842105263157895</x:v>
      </x:c>
      <x:c r="R195" s="22" t="n">
        <x:f t="shared" ref="R195:R258" si="31">IF(L195=0,"",N195/L195)</x:f>
        <x:v>0.7368421052631579</x:v>
      </x:c>
      <x:c r="S195" s="22" t="n">
        <x:f>IF(L195=0,"",O195/L195)</x:f>
        <x:v>0.47368421052631576</x:v>
      </x:c>
      <x:c r="T195" s="24" t="n">
        <x:v>-22</x:v>
      </x:c>
      <x:c r="U195" s="26" t="n">
        <x:v>0.07</x:v>
      </x:c>
      <x:c r="V195" s="24" t="n">
        <x:v>196</x:v>
      </x:c>
      <x:c r="W195"/>
      <x:c r="X195"/>
    </x:row>
    <x:row r="196">
      <x:c r="A196" s="1" t="n">
        <x:v>194</x:v>
      </x:c>
      <x:c r="B196" s="27" t="n">
        <x:v>45825</x:v>
      </x:c>
      <x:c r="C196" s="1" t="str">
        <x:v>Haven</x:v>
      </x:c>
      <x:c r="D196" s="1" t="str">
        <x:v>6th</x:v>
      </x:c>
      <x:c r="E196" s="1" t="str">
        <x:v>Killjoy</x:v>
      </x:c>
      <x:c r="F196" s="1" t="str">
        <x:v>Sentinel</x:v>
      </x:c>
      <x:c r="G196" s="1" t="n">
        <x:v>15</x:v>
      </x:c>
      <x:c r="H196" s="1" t="n">
        <x:f t="shared" si="24"/>
        <x:v>13</x:v>
      </x:c>
      <x:c r="I196" s="1" t="str">
        <x:f t="shared" si="25">IF(G196&gt;H196,"Win",IF(G196&lt;H196,"Loss","Draw"))</x:f>
        <x:v>Win</x:v>
      </x:c>
      <x:c r="J196" s="1" t="n">
        <x:f t="shared" si="26">IF(I196="Win",1,IF(I196="Loss",0,""))</x:f>
        <x:v>1</x:v>
      </x:c>
      <x:c r="K196" s="1" t="n">
        <x:f t="shared" si="27">G196-H196</x:f>
        <x:v>2</x:v>
      </x:c>
      <x:c r="L196" s="1" t="n">
        <x:f>G196+H196</x:f>
        <x:v>28</x:v>
      </x:c>
      <x:c r="M196" s="1" t="n">
        <x:v>20</x:v>
      </x:c>
      <x:c r="N196" s="1" t="n">
        <x:v>18</x:v>
      </x:c>
      <x:c r="O196" s="3" t="n">
        <x:f t="shared" si="28"/>
        <x:v>7</x:v>
      </x:c>
      <x:c r="P196" s="22" t="n">
        <x:f t="shared" si="29">IF(N196=0,"",M196/N196)</x:f>
        <x:v>1.1111111111111112</x:v>
      </x:c>
      <x:c r="Q196" s="22" t="n">
        <x:f t="shared" si="30">IF(L196=0,"",M196/L196)</x:f>
        <x:v>0.7142857142857143</x:v>
      </x:c>
      <x:c r="R196" s="22" t="n">
        <x:f t="shared" si="31">IF(L196=0,"",N196/L196)</x:f>
        <x:v>0.6428571428571429</x:v>
      </x:c>
      <x:c r="S196" s="22" t="n">
        <x:f>IF(L196=0,"",O196/L196)</x:f>
        <x:v>0.25</x:v>
      </x:c>
      <x:c r="T196" s="24" t="n">
        <x:v>5</x:v>
      </x:c>
      <x:c r="U196" s="26" t="n">
        <x:v>0.11</x:v>
      </x:c>
      <x:c r="V196" s="24" t="n">
        <x:v>216</x:v>
      </x:c>
      <x:c r="W196"/>
      <x:c r="X196"/>
    </x:row>
    <x:row r="197">
      <x:c r="A197" s="1" t="n">
        <x:v>195</x:v>
      </x:c>
      <x:c r="B197" s="27" t="n">
        <x:v>45826</x:v>
      </x:c>
      <x:c r="C197" s="1" t="str">
        <x:v>Pearl</x:v>
      </x:c>
      <x:c r="D197" s="1" t="str">
        <x:v>5th</x:v>
      </x:c>
      <x:c r="E197" s="1" t="str">
        <x:v>Sage</x:v>
      </x:c>
      <x:c r="F197" s="1" t="str">
        <x:v>Sentinel</x:v>
      </x:c>
      <x:c r="G197" s="1" t="n">
        <x:v>9</x:v>
      </x:c>
      <x:c r="H197" s="1" t="n">
        <x:f t="shared" si="24"/>
        <x:v>1</x:v>
      </x:c>
      <x:c r="I197" s="1" t="str">
        <x:f t="shared" si="25">IF(G197&gt;H197,"Win",IF(G197&lt;H197,"Loss","Draw"))</x:f>
        <x:v>Win</x:v>
      </x:c>
      <x:c r="J197" s="1" t="n">
        <x:f t="shared" si="26">IF(I197="Win",1,IF(I197="Loss",0,""))</x:f>
        <x:v>1</x:v>
      </x:c>
      <x:c r="K197" s="1" t="n">
        <x:f t="shared" si="27">G197-H197</x:f>
        <x:v>8</x:v>
      </x:c>
      <x:c r="L197" s="1" t="n">
        <x:f>G197+H197</x:f>
        <x:v>10</x:v>
      </x:c>
      <x:c r="M197" s="1" t="n">
        <x:v>8</x:v>
      </x:c>
      <x:c r="N197" s="1" t="n">
        <x:v>5</x:v>
      </x:c>
      <x:c r="O197" s="3" t="n">
        <x:f t="shared" si="28"/>
        <x:v>3</x:v>
      </x:c>
      <x:c r="P197" s="22" t="n">
        <x:f t="shared" si="29">IF(N197=0,"",M197/N197)</x:f>
        <x:v>1.6</x:v>
      </x:c>
      <x:c r="Q197" s="22" t="n">
        <x:f t="shared" si="30">IF(L197=0,"",M197/L197)</x:f>
        <x:v>0.8</x:v>
      </x:c>
      <x:c r="R197" s="22" t="n">
        <x:f t="shared" si="31">IF(L197=0,"",N197/L197)</x:f>
        <x:v>0.5</x:v>
      </x:c>
      <x:c r="S197" s="22" t="n">
        <x:f>IF(L197=0,"",O197/L197)</x:f>
        <x:v>0.3</x:v>
      </x:c>
      <x:c r="T197" s="24" t="n">
        <x:v>-6</x:v>
      </x:c>
      <x:c r="U197" s="26" t="n">
        <x:v>0</x:v>
      </x:c>
      <x:c r="V197" s="24" t="n">
        <x:v>190</x:v>
      </x:c>
      <x:c r="W197"/>
      <x:c r="X197"/>
    </x:row>
    <x:row r="198">
      <x:c r="A198" s="1" t="n">
        <x:v>196</x:v>
      </x:c>
      <x:c r="B198" s="27" t="n">
        <x:v>45826</x:v>
      </x:c>
      <x:c r="C198" s="1" t="str">
        <x:v>Haven</x:v>
      </x:c>
      <x:c r="D198" s="1" t="str">
        <x:v>4th</x:v>
      </x:c>
      <x:c r="E198" s="1" t="str">
        <x:v>Sage</x:v>
      </x:c>
      <x:c r="F198" s="1" t="str">
        <x:v>Sentinel</x:v>
      </x:c>
      <x:c r="G198" s="1" t="n">
        <x:v>3</x:v>
      </x:c>
      <x:c r="H198" s="1" t="n">
        <x:f t="shared" si="24"/>
        <x:v>13</x:v>
      </x:c>
      <x:c r="I198" s="1" t="str">
        <x:f t="shared" si="25">IF(G198&gt;H198,"Win",IF(G198&lt;H198,"Loss","Draw"))</x:f>
        <x:v>Loss</x:v>
      </x:c>
      <x:c r="J198" s="1" t="n">
        <x:f t="shared" si="26">IF(I198="Win",1,IF(I198="Loss",0,""))</x:f>
        <x:v>0</x:v>
      </x:c>
      <x:c r="K198" s="1" t="n">
        <x:f t="shared" si="27">G198-H198</x:f>
        <x:v>-10</x:v>
      </x:c>
      <x:c r="L198" s="1" t="n">
        <x:f>G198+H198</x:f>
        <x:v>16</x:v>
      </x:c>
      <x:c r="M198" s="1" t="n">
        <x:v>12</x:v>
      </x:c>
      <x:c r="N198" s="1" t="n">
        <x:v>12</x:v>
      </x:c>
      <x:c r="O198" s="3" t="n">
        <x:f t="shared" si="28"/>
        <x:v>2</x:v>
      </x:c>
      <x:c r="P198" s="22" t="n">
        <x:f t="shared" si="29">IF(N198=0,"",M198/N198)</x:f>
        <x:v>1</x:v>
      </x:c>
      <x:c r="Q198" s="22" t="n">
        <x:f t="shared" si="30">IF(L198=0,"",M198/L198)</x:f>
        <x:v>0.75</x:v>
      </x:c>
      <x:c r="R198" s="22" t="n">
        <x:f t="shared" si="31">IF(L198=0,"",N198/L198)</x:f>
        <x:v>0.75</x:v>
      </x:c>
      <x:c r="S198" s="22" t="n">
        <x:f>IF(L198=0,"",O198/L198)</x:f>
        <x:v>0.125</x:v>
      </x:c>
      <x:c r="T198" s="24" t="n">
        <x:v>-33</x:v>
      </x:c>
      <x:c r="U198" s="26" t="n">
        <x:v>0.02</x:v>
      </x:c>
      <x:c r="V198" s="24" t="n">
        <x:v>198</x:v>
      </x:c>
      <x:c r="W198"/>
      <x:c r="X198"/>
    </x:row>
    <x:row r="199">
      <x:c r="A199" s="1" t="n">
        <x:v>197</x:v>
      </x:c>
      <x:c r="B199" s="27" t="n">
        <x:v>45827</x:v>
      </x:c>
      <x:c r="C199" s="1" t="str">
        <x:v>Sunset</x:v>
      </x:c>
      <x:c r="D199" s="1" t="str">
        <x:v>8th</x:v>
      </x:c>
      <x:c r="E199" s="1" t="str">
        <x:v>Sage</x:v>
      </x:c>
      <x:c r="F199" s="1" t="str">
        <x:v>Sentinel</x:v>
      </x:c>
      <x:c r="G199" s="1" t="n">
        <x:v>13</x:v>
      </x:c>
      <x:c r="H199" s="1" t="n">
        <x:f t="shared" si="24"/>
        <x:v>10</x:v>
      </x:c>
      <x:c r="I199" s="1" t="str">
        <x:f t="shared" si="25">IF(G199&gt;H199,"Win",IF(G199&lt;H199,"Loss","Draw"))</x:f>
        <x:v>Win</x:v>
      </x:c>
      <x:c r="J199" s="1" t="n">
        <x:f t="shared" si="26">IF(I199="Win",1,IF(I199="Loss",0,""))</x:f>
        <x:v>1</x:v>
      </x:c>
      <x:c r="K199" s="1" t="n">
        <x:f t="shared" si="27">G199-H199</x:f>
        <x:v>3</x:v>
      </x:c>
      <x:c r="L199" s="1" t="n">
        <x:f>G199+H199</x:f>
        <x:v>23</x:v>
      </x:c>
      <x:c r="M199" s="1" t="n">
        <x:v>16</x:v>
      </x:c>
      <x:c r="N199" s="1" t="n">
        <x:v>14</x:v>
      </x:c>
      <x:c r="O199" s="3" t="n">
        <x:f t="shared" si="28"/>
        <x:v>7</x:v>
      </x:c>
      <x:c r="P199" s="22" t="n">
        <x:f t="shared" si="29">IF(N199=0,"",M199/N199)</x:f>
        <x:v>1.1428571428571428</x:v>
      </x:c>
      <x:c r="Q199" s="22" t="n">
        <x:f t="shared" si="30">IF(L199=0,"",M199/L199)</x:f>
        <x:v>0.6956521739130435</x:v>
      </x:c>
      <x:c r="R199" s="22" t="n">
        <x:f t="shared" si="31">IF(L199=0,"",N199/L199)</x:f>
        <x:v>0.6086956521739131</x:v>
      </x:c>
      <x:c r="S199" s="22" t="n">
        <x:f>IF(L199=0,"",O199/L199)</x:f>
        <x:v>0.30434782608695654</x:v>
      </x:c>
      <x:c r="T199" s="24" t="n">
        <x:v>-20</x:v>
      </x:c>
      <x:c r="U199" s="26" t="n">
        <x:v>0.06</x:v>
      </x:c>
      <x:c r="V199" s="24" t="n">
        <x:v>185</x:v>
      </x:c>
      <x:c r="W199"/>
      <x:c r="X199"/>
    </x:row>
    <x:row r="200">
      <x:c r="A200" s="1" t="n">
        <x:v>198</x:v>
      </x:c>
      <x:c r="B200" s="27" t="n">
        <x:v>45827</x:v>
      </x:c>
      <x:c r="C200" s="1" t="str">
        <x:v>Sunset</x:v>
      </x:c>
      <x:c r="D200" s="1" t="str">
        <x:v>5th</x:v>
      </x:c>
      <x:c r="E200" s="1" t="str">
        <x:v>Skye</x:v>
      </x:c>
      <x:c r="F200" s="1" t="str">
        <x:v>Initiator</x:v>
      </x:c>
      <x:c r="G200" s="1" t="n">
        <x:v>13</x:v>
      </x:c>
      <x:c r="H200" s="1" t="n">
        <x:f t="shared" si="24"/>
        <x:v>2</x:v>
      </x:c>
      <x:c r="I200" s="1" t="str">
        <x:f t="shared" si="25">IF(G200&gt;H200,"Win",IF(G200&lt;H200,"Loss","Draw"))</x:f>
        <x:v>Win</x:v>
      </x:c>
      <x:c r="J200" s="1" t="n">
        <x:f t="shared" si="26">IF(I200="Win",1,IF(I200="Loss",0,""))</x:f>
        <x:v>1</x:v>
      </x:c>
      <x:c r="K200" s="1" t="n">
        <x:f t="shared" si="27">G200-H200</x:f>
        <x:v>11</x:v>
      </x:c>
      <x:c r="L200" s="1" t="n">
        <x:f>G200+H200</x:f>
        <x:v>15</x:v>
      </x:c>
      <x:c r="M200" s="1" t="n">
        <x:v>12</x:v>
      </x:c>
      <x:c r="N200" s="1" t="n">
        <x:v>7</x:v>
      </x:c>
      <x:c r="O200" s="3" t="n">
        <x:f t="shared" si="28"/>
        <x:v>6</x:v>
      </x:c>
      <x:c r="P200" s="22" t="n">
        <x:f t="shared" si="29">IF(N200=0,"",M200/N200)</x:f>
        <x:v>1.7142857142857142</x:v>
      </x:c>
      <x:c r="Q200" s="22" t="n">
        <x:f t="shared" si="30">IF(L200=0,"",M200/L200)</x:f>
        <x:v>0.8</x:v>
      </x:c>
      <x:c r="R200" s="22" t="n">
        <x:f t="shared" si="31">IF(L200=0,"",N200/L200)</x:f>
        <x:v>0.4666666666666667</x:v>
      </x:c>
      <x:c r="S200" s="22" t="n">
        <x:f>IF(L200=0,"",O200/L200)</x:f>
        <x:v>0.4</x:v>
      </x:c>
      <x:c r="T200" s="24" t="n">
        <x:v>45</x:v>
      </x:c>
      <x:c r="U200" s="26" t="n">
        <x:v>0.11</x:v>
      </x:c>
      <x:c r="V200" s="24" t="n">
        <x:v>203</x:v>
      </x:c>
      <x:c r="W200"/>
      <x:c r="X200"/>
    </x:row>
    <x:row r="201">
      <x:c r="A201" s="1" t="n">
        <x:v>199</x:v>
      </x:c>
      <x:c r="B201" s="27" t="n">
        <x:v>45827</x:v>
      </x:c>
      <x:c r="C201" s="1" t="str">
        <x:v>Ascent</x:v>
      </x:c>
      <x:c r="D201" s="1" t="str">
        <x:v>8th</x:v>
      </x:c>
      <x:c r="E201" s="1" t="str">
        <x:v>Sage</x:v>
      </x:c>
      <x:c r="F201" s="1" t="str">
        <x:v>Sentinel</x:v>
      </x:c>
      <x:c r="G201" s="1" t="n">
        <x:v>9</x:v>
      </x:c>
      <x:c r="H201" s="1" t="n">
        <x:f t="shared" si="24"/>
        <x:v>13</x:v>
      </x:c>
      <x:c r="I201" s="1" t="str">
        <x:f t="shared" si="25">IF(G201&gt;H201,"Win",IF(G201&lt;H201,"Loss","Draw"))</x:f>
        <x:v>Loss</x:v>
      </x:c>
      <x:c r="J201" s="1" t="n">
        <x:f t="shared" si="26">IF(I201="Win",1,IF(I201="Loss",0,""))</x:f>
        <x:v>0</x:v>
      </x:c>
      <x:c r="K201" s="1" t="n">
        <x:f t="shared" si="27">G201-H201</x:f>
        <x:v>-4</x:v>
      </x:c>
      <x:c r="L201" s="1" t="n">
        <x:f>G201+H201</x:f>
        <x:v>22</x:v>
      </x:c>
      <x:c r="M201" s="1" t="n">
        <x:v>11</x:v>
      </x:c>
      <x:c r="N201" s="1" t="n">
        <x:v>16</x:v>
      </x:c>
      <x:c r="O201" s="3" t="n">
        <x:f t="shared" si="28"/>
        <x:v>5</x:v>
      </x:c>
      <x:c r="P201" s="22" t="n">
        <x:f t="shared" si="29">IF(N201=0,"",M201/N201)</x:f>
        <x:v>0.6875</x:v>
      </x:c>
      <x:c r="Q201" s="22" t="n">
        <x:f t="shared" si="30">IF(L201=0,"",M201/L201)</x:f>
        <x:v>0.5</x:v>
      </x:c>
      <x:c r="R201" s="22" t="n">
        <x:f t="shared" si="31">IF(L201=0,"",N201/L201)</x:f>
        <x:v>0.7272727272727273</x:v>
      </x:c>
      <x:c r="S201" s="22" t="n">
        <x:f>IF(L201=0,"",O201/L201)</x:f>
        <x:v>0.22727272727272727</x:v>
      </x:c>
      <x:c r="T201" s="24" t="n">
        <x:v>-44</x:v>
      </x:c>
      <x:c r="U201" s="26" t="n">
        <x:v>0.15</x:v>
      </x:c>
      <x:c r="V201" s="24" t="n">
        <x:v>139</x:v>
      </x:c>
      <x:c r="W201"/>
      <x:c r="X201"/>
    </x:row>
    <x:row r="202">
      <x:c r="A202" s="1" t="n">
        <x:v>200</x:v>
      </x:c>
      <x:c r="B202" s="27" t="n">
        <x:v>45828</x:v>
      </x:c>
      <x:c r="C202" s="1" t="str">
        <x:v>Split</x:v>
      </x:c>
      <x:c r="D202" s="1" t="str">
        <x:v>2nd</x:v>
      </x:c>
      <x:c r="E202" s="1" t="str">
        <x:v>Sage</x:v>
      </x:c>
      <x:c r="F202" s="1" t="str">
        <x:v>Sentinel</x:v>
      </x:c>
      <x:c r="G202" s="1" t="n">
        <x:v>13</x:v>
      </x:c>
      <x:c r="H202" s="1" t="n">
        <x:f t="shared" si="24"/>
        <x:v>5</x:v>
      </x:c>
      <x:c r="I202" s="1" t="str">
        <x:f t="shared" si="25">IF(G202&gt;H202,"Win",IF(G202&lt;H202,"Loss","Draw"))</x:f>
        <x:v>Win</x:v>
      </x:c>
      <x:c r="J202" s="1" t="n">
        <x:f t="shared" si="26">IF(I202="Win",1,IF(I202="Loss",0,""))</x:f>
        <x:v>1</x:v>
      </x:c>
      <x:c r="K202" s="1" t="n">
        <x:f t="shared" si="27">G202-H202</x:f>
        <x:v>8</x:v>
      </x:c>
      <x:c r="L202" s="1" t="n">
        <x:f>G202+H202</x:f>
        <x:v>18</x:v>
      </x:c>
      <x:c r="M202" s="1" t="n">
        <x:v>16</x:v>
      </x:c>
      <x:c r="N202" s="1" t="n">
        <x:v>7</x:v>
      </x:c>
      <x:c r="O202" s="3" t="n">
        <x:f t="shared" si="28"/>
        <x:v>8</x:v>
      </x:c>
      <x:c r="P202" s="22" t="n">
        <x:f t="shared" si="29">IF(N202=0,"",M202/N202)</x:f>
        <x:v>2.2857142857142856</x:v>
      </x:c>
      <x:c r="Q202" s="22" t="n">
        <x:f t="shared" si="30">IF(L202=0,"",M202/L202)</x:f>
        <x:v>0.8888888888888888</x:v>
      </x:c>
      <x:c r="R202" s="22" t="n">
        <x:f t="shared" si="31">IF(L202=0,"",N202/L202)</x:f>
        <x:v>0.3888888888888889</x:v>
      </x:c>
      <x:c r="S202" s="22" t="n">
        <x:f>IF(L202=0,"",O202/L202)</x:f>
        <x:v>0.4444444444444444</x:v>
      </x:c>
      <x:c r="T202" s="24" t="n">
        <x:v>70</x:v>
      </x:c>
      <x:c r="U202" s="26" t="n">
        <x:v>0.04</x:v>
      </x:c>
      <x:c r="V202" s="24" t="n">
        <x:v>258</x:v>
      </x:c>
      <x:c r="W202"/>
      <x:c r="X202"/>
    </x:row>
    <x:row r="203">
      <x:c r="A203" s="1" t="n">
        <x:v>201</x:v>
      </x:c>
      <x:c r="B203" s="27" t="n">
        <x:v>45828</x:v>
      </x:c>
      <x:c r="C203" s="1" t="str">
        <x:v>Icebox</x:v>
      </x:c>
      <x:c r="D203" s="1" t="str">
        <x:v>7th</x:v>
      </x:c>
      <x:c r="E203" s="1" t="str">
        <x:v>Sage</x:v>
      </x:c>
      <x:c r="F203" s="1" t="str">
        <x:v>Sentinel</x:v>
      </x:c>
      <x:c r="G203" s="1" t="n">
        <x:v>11</x:v>
      </x:c>
      <x:c r="H203" s="1" t="n">
        <x:f t="shared" si="24"/>
        <x:v>1</x:v>
      </x:c>
      <x:c r="I203" s="1" t="str">
        <x:f t="shared" si="25">IF(G203&gt;H203,"Win",IF(G203&lt;H203,"Loss","Draw"))</x:f>
        <x:v>Win</x:v>
      </x:c>
      <x:c r="J203" s="1" t="n">
        <x:f t="shared" si="26">IF(I203="Win",1,IF(I203="Loss",0,""))</x:f>
        <x:v>1</x:v>
      </x:c>
      <x:c r="K203" s="1" t="n">
        <x:f t="shared" si="27">G203-H203</x:f>
        <x:v>10</x:v>
      </x:c>
      <x:c r="L203" s="1" t="n">
        <x:f>G203+H203</x:f>
        <x:v>12</x:v>
      </x:c>
      <x:c r="M203" s="1" t="n">
        <x:v>7</x:v>
      </x:c>
      <x:c r="N203" s="1" t="n">
        <x:v>6</x:v>
      </x:c>
      <x:c r="O203" s="3" t="n">
        <x:f t="shared" si="28"/>
        <x:v>7</x:v>
      </x:c>
      <x:c r="P203" s="22" t="n">
        <x:f t="shared" si="29">IF(N203=0,"",M203/N203)</x:f>
        <x:v>1.1666666666666667</x:v>
      </x:c>
      <x:c r="Q203" s="22" t="n">
        <x:f t="shared" si="30">IF(L203=0,"",M203/L203)</x:f>
        <x:v>0.5833333333333334</x:v>
      </x:c>
      <x:c r="R203" s="22" t="n">
        <x:f t="shared" si="31">IF(L203=0,"",N203/L203)</x:f>
        <x:v>0.5</x:v>
      </x:c>
      <x:c r="S203" s="22" t="n">
        <x:f>IF(L203=0,"",O203/L203)</x:f>
        <x:v>0.5833333333333334</x:v>
      </x:c>
      <x:c r="T203" s="24" t="n">
        <x:v>-9</x:v>
      </x:c>
      <x:c r="U203" s="26" t="n">
        <x:v>0.07</x:v>
      </x:c>
      <x:c r="V203" s="24" t="n">
        <x:v>160</x:v>
      </x:c>
      <x:c r="W203"/>
      <x:c r="X203"/>
    </x:row>
    <x:row r="204">
      <x:c r="A204" s="1" t="n">
        <x:v>202</x:v>
      </x:c>
      <x:c r="B204" s="27" t="n">
        <x:v>45828</x:v>
      </x:c>
      <x:c r="C204" s="1" t="str">
        <x:v>Icebox</x:v>
      </x:c>
      <x:c r="D204" s="1" t="str">
        <x:v>10th</x:v>
      </x:c>
      <x:c r="E204" s="1" t="str">
        <x:v>Sage</x:v>
      </x:c>
      <x:c r="F204" s="1" t="str">
        <x:v>Sentinel</x:v>
      </x:c>
      <x:c r="G204" s="1" t="n">
        <x:v>13</x:v>
      </x:c>
      <x:c r="H204" s="1" t="n">
        <x:f t="shared" si="24"/>
        <x:v>15</x:v>
      </x:c>
      <x:c r="I204" s="1" t="str">
        <x:f t="shared" si="25">IF(G204&gt;H204,"Win",IF(G204&lt;H204,"Loss","Draw"))</x:f>
        <x:v>Loss</x:v>
      </x:c>
      <x:c r="J204" s="1" t="n">
        <x:f t="shared" si="26">IF(I204="Win",1,IF(I204="Loss",0,""))</x:f>
        <x:v>0</x:v>
      </x:c>
      <x:c r="K204" s="1" t="n">
        <x:f t="shared" si="27">G204-H204</x:f>
        <x:v>-2</x:v>
      </x:c>
      <x:c r="L204" s="1" t="n">
        <x:f>G204+H204</x:f>
        <x:v>28</x:v>
      </x:c>
      <x:c r="M204" s="1" t="n">
        <x:v>3</x:v>
      </x:c>
      <x:c r="N204" s="1" t="n">
        <x:v>22</x:v>
      </x:c>
      <x:c r="O204" s="3" t="n">
        <x:f t="shared" si="28"/>
        <x:v>5</x:v>
      </x:c>
      <x:c r="P204" s="22" t="n">
        <x:f t="shared" si="29">IF(N204=0,"",M204/N204)</x:f>
        <x:v>0.13636363636363635</x:v>
      </x:c>
      <x:c r="Q204" s="22" t="n">
        <x:f t="shared" si="30">IF(L204=0,"",M204/L204)</x:f>
        <x:v>0.10714285714285714</x:v>
      </x:c>
      <x:c r="R204" s="22" t="n">
        <x:f t="shared" si="31">IF(L204=0,"",N204/L204)</x:f>
        <x:v>0.7857142857142857</x:v>
      </x:c>
      <x:c r="S204" s="22" t="n">
        <x:f>IF(L204=0,"",O204/L204)</x:f>
        <x:v>0.17857142857142858</x:v>
      </x:c>
      <x:c r="T204" s="24" t="n">
        <x:v>-100</x:v>
      </x:c>
      <x:c r="U204" s="26" t="n">
        <x:v>0.17</x:v>
      </x:c>
      <x:c r="V204" s="24" t="n">
        <x:v>47</x:v>
      </x:c>
      <x:c r="W204"/>
      <x:c r="X204"/>
    </x:row>
    <x:row r="205">
      <x:c r="A205" s="1" t="n">
        <x:v>203</x:v>
      </x:c>
      <x:c r="B205" s="27" t="n">
        <x:v>45829</x:v>
      </x:c>
      <x:c r="C205" s="1" t="str">
        <x:v>Split</x:v>
      </x:c>
      <x:c r="D205" s="1" t="str">
        <x:v>9th</x:v>
      </x:c>
      <x:c r="E205" s="1" t="str">
        <x:v>Sage</x:v>
      </x:c>
      <x:c r="F205" s="1" t="str">
        <x:v>Sentinel</x:v>
      </x:c>
      <x:c r="G205" s="1" t="n">
        <x:v>13</x:v>
      </x:c>
      <x:c r="H205" s="1" t="n">
        <x:f t="shared" si="24"/>
        <x:v>3</x:v>
      </x:c>
      <x:c r="I205" s="1" t="str">
        <x:f t="shared" si="25">IF(G205&gt;H205,"Win",IF(G205&lt;H205,"Loss","Draw"))</x:f>
        <x:v>Win</x:v>
      </x:c>
      <x:c r="J205" s="1" t="n">
        <x:f t="shared" si="26">IF(I205="Win",1,IF(I205="Loss",0,""))</x:f>
        <x:v>1</x:v>
      </x:c>
      <x:c r="K205" s="1" t="n">
        <x:f t="shared" si="27">G205-H205</x:f>
        <x:v>10</x:v>
      </x:c>
      <x:c r="L205" s="1" t="n">
        <x:f>G205+H205</x:f>
        <x:v>16</x:v>
      </x:c>
      <x:c r="M205" s="1" t="n">
        <x:v>5</x:v>
      </x:c>
      <x:c r="N205" s="1" t="n">
        <x:v>8</x:v>
      </x:c>
      <x:c r="O205" s="3" t="n">
        <x:f t="shared" si="28"/>
        <x:v>8</x:v>
      </x:c>
      <x:c r="P205" s="22" t="n">
        <x:f t="shared" si="29">IF(N205=0,"",M205/N205)</x:f>
        <x:v>0.625</x:v>
      </x:c>
      <x:c r="Q205" s="22" t="n">
        <x:f t="shared" si="30">IF(L205=0,"",M205/L205)</x:f>
        <x:v>0.3125</x:v>
      </x:c>
      <x:c r="R205" s="22" t="n">
        <x:f t="shared" si="31">IF(L205=0,"",N205/L205)</x:f>
        <x:v>0.5</x:v>
      </x:c>
      <x:c r="S205" s="22" t="n">
        <x:f>IF(L205=0,"",O205/L205)</x:f>
        <x:v>0.5</x:v>
      </x:c>
      <x:c r="T205" s="24" t="n">
        <x:v>-47</x:v>
      </x:c>
      <x:c r="U205" s="26" t="n">
        <x:v>0.07</x:v>
      </x:c>
      <x:c r="V205" s="24" t="n">
        <x:v>94</x:v>
      </x:c>
      <x:c r="W205"/>
      <x:c r="X205"/>
    </x:row>
    <x:row r="206">
      <x:c r="A206" s="1" t="n">
        <x:v>204</x:v>
      </x:c>
      <x:c r="B206" s="27" t="n">
        <x:v>45830</x:v>
      </x:c>
      <x:c r="C206" s="1" t="str">
        <x:v>Pearl</x:v>
      </x:c>
      <x:c r="D206" s="1" t="str">
        <x:v>8th</x:v>
      </x:c>
      <x:c r="E206" s="1" t="str">
        <x:v>Sage</x:v>
      </x:c>
      <x:c r="F206" s="1" t="str">
        <x:v>Sentinel</x:v>
      </x:c>
      <x:c r="G206" s="1" t="n">
        <x:v>5</x:v>
      </x:c>
      <x:c r="H206" s="1" t="n">
        <x:f t="shared" si="24"/>
        <x:v>13</x:v>
      </x:c>
      <x:c r="I206" s="1" t="str">
        <x:f t="shared" si="25">IF(G206&gt;H206,"Win",IF(G206&lt;H206,"Loss","Draw"))</x:f>
        <x:v>Loss</x:v>
      </x:c>
      <x:c r="J206" s="1" t="n">
        <x:f t="shared" si="26">IF(I206="Win",1,IF(I206="Loss",0,""))</x:f>
        <x:v>0</x:v>
      </x:c>
      <x:c r="K206" s="1" t="n">
        <x:f t="shared" si="27">G206-H206</x:f>
        <x:v>-8</x:v>
      </x:c>
      <x:c r="L206" s="1" t="n">
        <x:f>G206+H206</x:f>
        <x:v>18</x:v>
      </x:c>
      <x:c r="M206" s="1" t="n">
        <x:v>8</x:v>
      </x:c>
      <x:c r="N206" s="1" t="n">
        <x:v>15</x:v>
      </x:c>
      <x:c r="O206" s="3" t="n">
        <x:f t="shared" si="28"/>
        <x:v>4</x:v>
      </x:c>
      <x:c r="P206" s="22" t="n">
        <x:f t="shared" si="29">IF(N206=0,"",M206/N206)</x:f>
        <x:v>0.5333333333333333</x:v>
      </x:c>
      <x:c r="Q206" s="22" t="n">
        <x:f t="shared" si="30">IF(L206=0,"",M206/L206)</x:f>
        <x:v>0.4444444444444444</x:v>
      </x:c>
      <x:c r="R206" s="22" t="n">
        <x:f t="shared" si="31">IF(L206=0,"",N206/L206)</x:f>
        <x:v>0.8333333333333334</x:v>
      </x:c>
      <x:c r="S206" s="22" t="n">
        <x:f>IF(L206=0,"",O206/L206)</x:f>
        <x:v>0.2222222222222222</x:v>
      </x:c>
      <x:c r="T206" s="24" t="n">
        <x:v>-74</x:v>
      </x:c>
      <x:c r="U206" s="26" t="n">
        <x:v>0.1</x:v>
      </x:c>
      <x:c r="V206" s="24" t="n">
        <x:v>131</x:v>
      </x:c>
      <x:c r="W206"/>
      <x:c r="X206"/>
    </x:row>
    <x:row r="207">
      <x:c r="A207" s="1" t="n">
        <x:v>205</x:v>
      </x:c>
      <x:c r="B207" s="27" t="n">
        <x:v>45830</x:v>
      </x:c>
      <x:c r="C207" s="1" t="str">
        <x:v>Ascent</x:v>
      </x:c>
      <x:c r="D207" s="1" t="str">
        <x:v>10th</x:v>
      </x:c>
      <x:c r="E207" s="1" t="str">
        <x:v>Skye</x:v>
      </x:c>
      <x:c r="F207" s="1" t="str">
        <x:v>Initiator</x:v>
      </x:c>
      <x:c r="G207" s="1" t="n">
        <x:v>14</x:v>
      </x:c>
      <x:c r="H207" s="1" t="n">
        <x:f t="shared" si="24"/>
        <x:v>14</x:v>
      </x:c>
      <x:c r="I207" s="1" t="str">
        <x:f t="shared" si="25">IF(G207&gt;H207,"Win",IF(G207&lt;H207,"Loss","Draw"))</x:f>
        <x:v>Draw</x:v>
      </x:c>
      <x:c r="J207" s="1" t="str">
        <x:f t="shared" si="26">IF(I207="Win",1,IF(I207="Loss",0,""))</x:f>
      </x:c>
      <x:c r="K207" s="1" t="n">
        <x:f t="shared" si="27">G207-H207</x:f>
        <x:v>0</x:v>
      </x:c>
      <x:c r="L207" s="1" t="n">
        <x:f>G207+H207</x:f>
        <x:v>28</x:v>
      </x:c>
      <x:c r="M207" s="1" t="n">
        <x:v>14</x:v>
      </x:c>
      <x:c r="N207" s="1" t="n">
        <x:v>20</x:v>
      </x:c>
      <x:c r="O207" s="3" t="n">
        <x:f t="shared" si="28"/>
        <x:v>8</x:v>
      </x:c>
      <x:c r="P207" s="22" t="n">
        <x:f t="shared" si="29">IF(N207=0,"",M207/N207)</x:f>
        <x:v>0.7</x:v>
      </x:c>
      <x:c r="Q207" s="22" t="n">
        <x:f t="shared" si="30">IF(L207=0,"",M207/L207)</x:f>
        <x:v>0.5</x:v>
      </x:c>
      <x:c r="R207" s="22" t="n">
        <x:f t="shared" si="31">IF(L207=0,"",N207/L207)</x:f>
        <x:v>0.7142857142857143</x:v>
      </x:c>
      <x:c r="S207" s="22" t="n">
        <x:f>IF(L207=0,"",O207/L207)</x:f>
        <x:v>0.2857142857142857</x:v>
      </x:c>
      <x:c r="T207" s="24" t="n">
        <x:v>-54</x:v>
      </x:c>
      <x:c r="U207" s="26" t="n">
        <x:v>0.06</x:v>
      </x:c>
      <x:c r="V207" s="24" t="n">
        <x:v>135</x:v>
      </x:c>
      <x:c r="W207"/>
      <x:c r="X207"/>
    </x:row>
    <x:row r="208">
      <x:c r="A208" s="1" t="n">
        <x:v>206</x:v>
      </x:c>
      <x:c r="B208" s="27" t="n">
        <x:v>45831</x:v>
      </x:c>
      <x:c r="C208" s="1" t="str">
        <x:v>Pearl</x:v>
      </x:c>
      <x:c r="D208" s="1" t="str">
        <x:v>9th</x:v>
      </x:c>
      <x:c r="E208" s="1" t="str">
        <x:v>Sage</x:v>
      </x:c>
      <x:c r="F208" s="1" t="str">
        <x:v>Sentinel</x:v>
      </x:c>
      <x:c r="G208" s="1" t="n">
        <x:v>13</x:v>
      </x:c>
      <x:c r="H208" s="1" t="n">
        <x:f t="shared" si="24"/>
        <x:v>5</x:v>
      </x:c>
      <x:c r="I208" s="1" t="str">
        <x:f t="shared" si="25">IF(G208&gt;H208,"Win",IF(G208&lt;H208,"Loss","Draw"))</x:f>
        <x:v>Win</x:v>
      </x:c>
      <x:c r="J208" s="1" t="n">
        <x:f t="shared" si="26">IF(I208="Win",1,IF(I208="Loss",0,""))</x:f>
        <x:v>1</x:v>
      </x:c>
      <x:c r="K208" s="1" t="n">
        <x:f t="shared" si="27">G208-H208</x:f>
        <x:v>8</x:v>
      </x:c>
      <x:c r="L208" s="1" t="n">
        <x:f>G208+H208</x:f>
        <x:v>18</x:v>
      </x:c>
      <x:c r="M208" s="1" t="n">
        <x:v>13</x:v>
      </x:c>
      <x:c r="N208" s="1" t="n">
        <x:v>8</x:v>
      </x:c>
      <x:c r="O208" s="3" t="n">
        <x:f t="shared" si="28"/>
        <x:v>4</x:v>
      </x:c>
      <x:c r="P208" s="22" t="n">
        <x:f t="shared" si="29">IF(N208=0,"",M208/N208)</x:f>
        <x:v>1.625</x:v>
      </x:c>
      <x:c r="Q208" s="22" t="n">
        <x:f t="shared" si="30">IF(L208=0,"",M208/L208)</x:f>
        <x:v>0.7222222222222222</x:v>
      </x:c>
      <x:c r="R208" s="22" t="n">
        <x:f t="shared" si="31">IF(L208=0,"",N208/L208)</x:f>
        <x:v>0.4444444444444444</x:v>
      </x:c>
      <x:c r="S208" s="22" t="n">
        <x:f>IF(L208=0,"",O208/L208)</x:f>
        <x:v>0.2222222222222222</x:v>
      </x:c>
      <x:c r="T208" s="24" t="n">
        <x:v>28</x:v>
      </x:c>
      <x:c r="U208" s="26" t="n">
        <x:v>0.18</x:v>
      </x:c>
      <x:c r="V208" s="24" t="n">
        <x:v>170</x:v>
      </x:c>
      <x:c r="W208"/>
      <x:c r="X208"/>
    </x:row>
    <x:row r="209">
      <x:c r="A209" s="1" t="n">
        <x:v>207</x:v>
      </x:c>
      <x:c r="B209" s="27" t="n">
        <x:v>45831</x:v>
      </x:c>
      <x:c r="C209" s="1" t="str">
        <x:v>Icebox</x:v>
      </x:c>
      <x:c r="D209" s="1" t="str">
        <x:v>2nd</x:v>
      </x:c>
      <x:c r="E209" s="1" t="str">
        <x:v>Sage</x:v>
      </x:c>
      <x:c r="F209" s="1" t="str">
        <x:v>Sentinel</x:v>
      </x:c>
      <x:c r="G209" s="1" t="n">
        <x:v>13</x:v>
      </x:c>
      <x:c r="H209" s="1" t="n">
        <x:f t="shared" si="24"/>
        <x:v>11</x:v>
      </x:c>
      <x:c r="I209" s="1" t="str">
        <x:f t="shared" si="25">IF(G209&gt;H209,"Win",IF(G209&lt;H209,"Loss","Draw"))</x:f>
        <x:v>Win</x:v>
      </x:c>
      <x:c r="J209" s="1" t="n">
        <x:f t="shared" si="26">IF(I209="Win",1,IF(I209="Loss",0,""))</x:f>
        <x:v>1</x:v>
      </x:c>
      <x:c r="K209" s="1" t="n">
        <x:f t="shared" si="27">G209-H209</x:f>
        <x:v>2</x:v>
      </x:c>
      <x:c r="L209" s="1" t="n">
        <x:f>G209+H209</x:f>
        <x:v>24</x:v>
      </x:c>
      <x:c r="M209" s="1" t="n">
        <x:v>22</x:v>
      </x:c>
      <x:c r="N209" s="1" t="n">
        <x:v>11</x:v>
      </x:c>
      <x:c r="O209" s="3" t="n">
        <x:f t="shared" si="28"/>
        <x:v>8</x:v>
      </x:c>
      <x:c r="P209" s="22" t="n">
        <x:f t="shared" si="29">IF(N209=0,"",M209/N209)</x:f>
        <x:v>2</x:v>
      </x:c>
      <x:c r="Q209" s="22" t="n">
        <x:f t="shared" si="30">IF(L209=0,"",M209/L209)</x:f>
        <x:v>0.9166666666666666</x:v>
      </x:c>
      <x:c r="R209" s="22" t="n">
        <x:f t="shared" si="31">IF(L209=0,"",N209/L209)</x:f>
        <x:v>0.4583333333333333</x:v>
      </x:c>
      <x:c r="S209" s="22" t="n">
        <x:f>IF(L209=0,"",O209/L209)</x:f>
        <x:v>0.3333333333333333</x:v>
      </x:c>
      <x:c r="T209" s="24" t="n">
        <x:v>71</x:v>
      </x:c>
      <x:c r="U209" s="26" t="n">
        <x:v>0.17</x:v>
      </x:c>
      <x:c r="V209" s="24" t="n">
        <x:v>261</x:v>
      </x:c>
      <x:c r="W209"/>
      <x:c r="X209"/>
    </x:row>
    <x:row r="210">
      <x:c r="A210" s="1" t="n">
        <x:v>208</x:v>
      </x:c>
      <x:c r="B210" s="27" t="n">
        <x:v>45832</x:v>
      </x:c>
      <x:c r="C210" s="1" t="str">
        <x:v>Split</x:v>
      </x:c>
      <x:c r="D210" s="1" t="str">
        <x:v>9th</x:v>
      </x:c>
      <x:c r="E210" s="1" t="str">
        <x:v>Sage</x:v>
      </x:c>
      <x:c r="F210" s="1" t="str">
        <x:v>Sentinel</x:v>
      </x:c>
      <x:c r="G210" s="1" t="n">
        <x:v>13</x:v>
      </x:c>
      <x:c r="H210" s="1" t="n">
        <x:f t="shared" si="24"/>
        <x:v>10</x:v>
      </x:c>
      <x:c r="I210" s="1" t="str">
        <x:f t="shared" si="25">IF(G210&gt;H210,"Win",IF(G210&lt;H210,"Loss","Draw"))</x:f>
        <x:v>Win</x:v>
      </x:c>
      <x:c r="J210" s="1" t="n">
        <x:f t="shared" si="26">IF(I210="Win",1,IF(I210="Loss",0,""))</x:f>
        <x:v>1</x:v>
      </x:c>
      <x:c r="K210" s="1" t="n">
        <x:f t="shared" si="27">G210-H210</x:f>
        <x:v>3</x:v>
      </x:c>
      <x:c r="L210" s="1" t="n">
        <x:f>G210+H210</x:f>
        <x:v>23</x:v>
      </x:c>
      <x:c r="M210" s="1" t="n">
        <x:v>14</x:v>
      </x:c>
      <x:c r="N210" s="1" t="n">
        <x:v>13</x:v>
      </x:c>
      <x:c r="O210" s="3" t="n">
        <x:f t="shared" si="28"/>
        <x:v>10</x:v>
      </x:c>
      <x:c r="P210" s="22" t="n">
        <x:f t="shared" si="29">IF(N210=0,"",M210/N210)</x:f>
        <x:v>1.0769230769230769</x:v>
      </x:c>
      <x:c r="Q210" s="22" t="n">
        <x:f t="shared" si="30">IF(L210=0,"",M210/L210)</x:f>
        <x:v>0.6086956521739131</x:v>
      </x:c>
      <x:c r="R210" s="22" t="n">
        <x:f t="shared" si="31">IF(L210=0,"",N210/L210)</x:f>
        <x:v>0.5652173913043478</x:v>
      </x:c>
      <x:c r="S210" s="22" t="n">
        <x:f>IF(L210=0,"",O210/L210)</x:f>
        <x:v>0.43478260869565216</x:v>
      </x:c>
      <x:c r="T210" s="24" t="n">
        <x:v>-30</x:v>
      </x:c>
      <x:c r="U210" s="26" t="n">
        <x:v>0.13</x:v>
      </x:c>
      <x:c r="V210" s="24" t="n">
        <x:v>156</x:v>
      </x:c>
      <x:c r="W210"/>
      <x:c r="X210"/>
    </x:row>
    <x:row r="211">
      <x:c r="A211" s="1" t="n">
        <x:v>209</x:v>
      </x:c>
      <x:c r="B211" s="27" t="n">
        <x:v>45833</x:v>
      </x:c>
      <x:c r="C211" s="1" t="str">
        <x:v>Haven</x:v>
      </x:c>
      <x:c r="D211" s="1" t="str">
        <x:v>9th</x:v>
      </x:c>
      <x:c r="E211" s="1" t="str">
        <x:v>Sage</x:v>
      </x:c>
      <x:c r="F211" s="1" t="str">
        <x:v>Sentinel</x:v>
      </x:c>
      <x:c r="G211" s="1" t="n">
        <x:v>13</x:v>
      </x:c>
      <x:c r="H211" s="1" t="n">
        <x:f t="shared" si="24"/>
        <x:v>5</x:v>
      </x:c>
      <x:c r="I211" s="1" t="str">
        <x:f t="shared" si="25">IF(G211&gt;H211,"Win",IF(G211&lt;H211,"Loss","Draw"))</x:f>
        <x:v>Win</x:v>
      </x:c>
      <x:c r="J211" s="1" t="n">
        <x:f t="shared" si="26">IF(I211="Win",1,IF(I211="Loss",0,""))</x:f>
        <x:v>1</x:v>
      </x:c>
      <x:c r="K211" s="1" t="n">
        <x:f t="shared" si="27">G211-H211</x:f>
        <x:v>8</x:v>
      </x:c>
      <x:c r="L211" s="1" t="n">
        <x:f>G211+H211</x:f>
        <x:v>18</x:v>
      </x:c>
      <x:c r="M211" s="1" t="n">
        <x:v>11</x:v>
      </x:c>
      <x:c r="N211" s="1" t="n">
        <x:v>7</x:v>
      </x:c>
      <x:c r="O211" s="3" t="n">
        <x:f t="shared" si="28"/>
        <x:v>8</x:v>
      </x:c>
      <x:c r="P211" s="22" t="n">
        <x:f t="shared" si="29">IF(N211=0,"",M211/N211)</x:f>
        <x:v>1.5714285714285714</x:v>
      </x:c>
      <x:c r="Q211" s="22" t="n">
        <x:f t="shared" si="30">IF(L211=0,"",M211/L211)</x:f>
        <x:v>0.6111111111111112</x:v>
      </x:c>
      <x:c r="R211" s="22" t="n">
        <x:f t="shared" si="31">IF(L211=0,"",N211/L211)</x:f>
        <x:v>0.3888888888888889</x:v>
      </x:c>
      <x:c r="S211" s="22" t="n">
        <x:f>IF(L211=0,"",O211/L211)</x:f>
        <x:v>0.4444444444444444</x:v>
      </x:c>
      <x:c r="T211" s="24" t="n">
        <x:v>-6</x:v>
      </x:c>
      <x:c r="U211" s="26" t="n">
        <x:v>0.11</x:v>
      </x:c>
      <x:c r="V211" s="24" t="n">
        <x:v>137</x:v>
      </x:c>
      <x:c r="W211"/>
      <x:c r="X211"/>
    </x:row>
    <x:row r="212">
      <x:c r="A212" s="1" t="n">
        <x:v>210</x:v>
      </x:c>
      <x:c r="B212" s="27" t="n">
        <x:v>45833</x:v>
      </x:c>
      <x:c r="C212" s="1" t="str">
        <x:v>Lotus</x:v>
      </x:c>
      <x:c r="D212" s="1" t="str">
        <x:v>8th</x:v>
      </x:c>
      <x:c r="E212" s="1" t="str">
        <x:v>Killjoy</x:v>
      </x:c>
      <x:c r="F212" s="1" t="str">
        <x:v>Sentinel</x:v>
      </x:c>
      <x:c r="G212" s="1" t="n">
        <x:v>13</x:v>
      </x:c>
      <x:c r="H212" s="1" t="n">
        <x:f t="shared" si="24"/>
        <x:v>2</x:v>
      </x:c>
      <x:c r="I212" s="1" t="str">
        <x:f t="shared" si="25">IF(G212&gt;H212,"Win",IF(G212&lt;H212,"Loss","Draw"))</x:f>
        <x:v>Win</x:v>
      </x:c>
      <x:c r="J212" s="1" t="n">
        <x:f t="shared" si="26">IF(I212="Win",1,IF(I212="Loss",0,""))</x:f>
        <x:v>1</x:v>
      </x:c>
      <x:c r="K212" s="1" t="n">
        <x:f t="shared" si="27">G212-H212</x:f>
        <x:v>11</x:v>
      </x:c>
      <x:c r="L212" s="1" t="n">
        <x:f>G212+H212</x:f>
        <x:v>15</x:v>
      </x:c>
      <x:c r="M212" s="1" t="n">
        <x:v>8</x:v>
      </x:c>
      <x:c r="N212" s="1" t="n">
        <x:v>7</x:v>
      </x:c>
      <x:c r="O212" s="3" t="n">
        <x:f t="shared" si="28"/>
        <x:v>2</x:v>
      </x:c>
      <x:c r="P212" s="22" t="n">
        <x:f t="shared" si="29">IF(N212=0,"",M212/N212)</x:f>
        <x:v>1.1428571428571428</x:v>
      </x:c>
      <x:c r="Q212" s="22" t="n">
        <x:f t="shared" si="30">IF(L212=0,"",M212/L212)</x:f>
        <x:v>0.5333333333333333</x:v>
      </x:c>
      <x:c r="R212" s="22" t="n">
        <x:f t="shared" si="31">IF(L212=0,"",N212/L212)</x:f>
        <x:v>0.4666666666666667</x:v>
      </x:c>
      <x:c r="S212" s="22" t="n">
        <x:f>IF(L212=0,"",O212/L212)</x:f>
        <x:v>0.13333333333333333</x:v>
      </x:c>
      <x:c r="T212" s="24" t="n">
        <x:v>-7</x:v>
      </x:c>
      <x:c r="U212" s="26" t="n">
        <x:v>0.06</x:v>
      </x:c>
      <x:c r="V212" s="24" t="n">
        <x:v>141</x:v>
      </x:c>
      <x:c r="W212"/>
      <x:c r="X212"/>
    </x:row>
    <x:row r="213">
      <x:c r="A213" s="1" t="n">
        <x:v>211</x:v>
      </x:c>
      <x:c r="B213" s="27" t="n">
        <x:v>45833</x:v>
      </x:c>
      <x:c r="C213" s="1" t="str">
        <x:v>Split</x:v>
      </x:c>
      <x:c r="D213" s="1" t="str">
        <x:v>10th</x:v>
      </x:c>
      <x:c r="E213" s="1" t="str">
        <x:v>Sage</x:v>
      </x:c>
      <x:c r="F213" s="1" t="str">
        <x:v>Sentinel</x:v>
      </x:c>
      <x:c r="G213" s="1" t="n">
        <x:v>13</x:v>
      </x:c>
      <x:c r="H213" s="1" t="n">
        <x:f t="shared" si="24"/>
        <x:v>9</x:v>
      </x:c>
      <x:c r="I213" s="1" t="str">
        <x:f t="shared" si="25">IF(G213&gt;H213,"Win",IF(G213&lt;H213,"Loss","Draw"))</x:f>
        <x:v>Win</x:v>
      </x:c>
      <x:c r="J213" s="1" t="n">
        <x:f t="shared" si="26">IF(I213="Win",1,IF(I213="Loss",0,""))</x:f>
        <x:v>1</x:v>
      </x:c>
      <x:c r="K213" s="1" t="n">
        <x:f t="shared" si="27">G213-H213</x:f>
        <x:v>4</x:v>
      </x:c>
      <x:c r="L213" s="1" t="n">
        <x:f>G213+H213</x:f>
        <x:v>22</x:v>
      </x:c>
      <x:c r="M213" s="1" t="n">
        <x:v>6</x:v>
      </x:c>
      <x:c r="N213" s="1" t="n">
        <x:v>14</x:v>
      </x:c>
      <x:c r="O213" s="3" t="n">
        <x:f t="shared" si="28"/>
        <x:v>4</x:v>
      </x:c>
      <x:c r="P213" s="22" t="n">
        <x:f t="shared" si="29">IF(N213=0,"",M213/N213)</x:f>
        <x:v>0.42857142857142855</x:v>
      </x:c>
      <x:c r="Q213" s="22" t="n">
        <x:f t="shared" si="30">IF(L213=0,"",M213/L213)</x:f>
        <x:v>0.2727272727272727</x:v>
      </x:c>
      <x:c r="R213" s="22" t="n">
        <x:f t="shared" si="31">IF(L213=0,"",N213/L213)</x:f>
        <x:v>0.6363636363636364</x:v>
      </x:c>
      <x:c r="S213" s="22" t="n">
        <x:f>IF(L213=0,"",O213/L213)</x:f>
        <x:v>0.18181818181818182</x:v>
      </x:c>
      <x:c r="T213" s="24" t="n">
        <x:v>-102</x:v>
      </x:c>
      <x:c r="U213" s="26" t="n">
        <x:v>0.16</x:v>
      </x:c>
      <x:c r="V213" s="24" t="n">
        <x:v>58</x:v>
      </x:c>
      <x:c r="W213"/>
      <x:c r="X213"/>
    </x:row>
    <x:row r="214">
      <x:c r="A214" s="1" t="n">
        <x:v>212</x:v>
      </x:c>
      <x:c r="B214" s="27" t="n">
        <x:v>45833</x:v>
      </x:c>
      <x:c r="C214" s="1" t="str">
        <x:v>Haven</x:v>
      </x:c>
      <x:c r="D214" s="1" t="str">
        <x:v>10th</x:v>
      </x:c>
      <x:c r="E214" s="1" t="str">
        <x:v>Sage</x:v>
      </x:c>
      <x:c r="F214" s="1" t="str">
        <x:v>Sentinel</x:v>
      </x:c>
      <x:c r="G214" s="1" t="n">
        <x:v>9</x:v>
      </x:c>
      <x:c r="H214" s="1" t="n">
        <x:f t="shared" si="24"/>
        <x:v>13</x:v>
      </x:c>
      <x:c r="I214" s="1" t="str">
        <x:f t="shared" si="25">IF(G214&gt;H214,"Win",IF(G214&lt;H214,"Loss","Draw"))</x:f>
        <x:v>Loss</x:v>
      </x:c>
      <x:c r="J214" s="1" t="n">
        <x:f t="shared" si="26">IF(I214="Win",1,IF(I214="Loss",0,""))</x:f>
        <x:v>0</x:v>
      </x:c>
      <x:c r="K214" s="1" t="n">
        <x:f t="shared" si="27">G214-H214</x:f>
        <x:v>-4</x:v>
      </x:c>
      <x:c r="L214" s="1" t="n">
        <x:f>G214+H214</x:f>
        <x:v>22</x:v>
      </x:c>
      <x:c r="M214" s="1" t="n">
        <x:v>3</x:v>
      </x:c>
      <x:c r="N214" s="1" t="n">
        <x:v>13</x:v>
      </x:c>
      <x:c r="O214" s="3" t="n">
        <x:f t="shared" si="28"/>
        <x:v>12</x:v>
      </x:c>
      <x:c r="P214" s="22" t="n">
        <x:f t="shared" si="29">IF(N214=0,"",M214/N214)</x:f>
        <x:v>0.23076923076923078</x:v>
      </x:c>
      <x:c r="Q214" s="22" t="n">
        <x:f t="shared" si="30">IF(L214=0,"",M214/L214)</x:f>
        <x:v>0.13636363636363635</x:v>
      </x:c>
      <x:c r="R214" s="22" t="n">
        <x:f t="shared" si="31">IF(L214=0,"",N214/L214)</x:f>
        <x:v>0.5909090909090909</x:v>
      </x:c>
      <x:c r="S214" s="22" t="n">
        <x:f>IF(L214=0,"",O214/L214)</x:f>
        <x:v>0.5454545454545454</x:v>
      </x:c>
      <x:c r="T214" s="24" t="n">
        <x:v>-62</x:v>
      </x:c>
      <x:c r="U214" s="26" t="n">
        <x:v>0.06</x:v>
      </x:c>
      <x:c r="V214" s="24" t="n">
        <x:v>67</x:v>
      </x:c>
      <x:c r="W214"/>
      <x:c r="X214"/>
    </x:row>
    <x:row r="215">
      <x:c r="A215" s="1" t="n">
        <x:v>213</x:v>
      </x:c>
      <x:c r="B215" s="27" t="n">
        <x:v>45834</x:v>
      </x:c>
      <x:c r="C215" s="1" t="str">
        <x:v>Lotus</x:v>
      </x:c>
      <x:c r="D215" s="1" t="str">
        <x:v>8th</x:v>
      </x:c>
      <x:c r="E215" s="1" t="str">
        <x:v>Sage</x:v>
      </x:c>
      <x:c r="F215" s="1" t="str">
        <x:v>Sentinel</x:v>
      </x:c>
      <x:c r="G215" s="1" t="n">
        <x:v>12</x:v>
      </x:c>
      <x:c r="H215" s="1" t="n">
        <x:f t="shared" si="24"/>
        <x:v>14</x:v>
      </x:c>
      <x:c r="I215" s="1" t="str">
        <x:f t="shared" si="25">IF(G215&gt;H215,"Win",IF(G215&lt;H215,"Loss","Draw"))</x:f>
        <x:v>Loss</x:v>
      </x:c>
      <x:c r="J215" s="1" t="n">
        <x:f t="shared" si="26">IF(I215="Win",1,IF(I215="Loss",0,""))</x:f>
        <x:v>0</x:v>
      </x:c>
      <x:c r="K215" s="1" t="n">
        <x:f t="shared" si="27">G215-H215</x:f>
        <x:v>-2</x:v>
      </x:c>
      <x:c r="L215" s="1" t="n">
        <x:f>G215+H215</x:f>
        <x:v>26</x:v>
      </x:c>
      <x:c r="M215" s="1" t="n">
        <x:v>17</x:v>
      </x:c>
      <x:c r="N215" s="1" t="n">
        <x:v>13</x:v>
      </x:c>
      <x:c r="O215" s="3" t="n">
        <x:f t="shared" si="28"/>
        <x:v>4</x:v>
      </x:c>
      <x:c r="P215" s="22" t="n">
        <x:f t="shared" si="29">IF(N215=0,"",M215/N215)</x:f>
        <x:v>1.3076923076923077</x:v>
      </x:c>
      <x:c r="Q215" s="22" t="n">
        <x:f t="shared" si="30">IF(L215=0,"",M215/L215)</x:f>
        <x:v>0.6538461538461539</x:v>
      </x:c>
      <x:c r="R215" s="22" t="n">
        <x:f t="shared" si="31">IF(L215=0,"",N215/L215)</x:f>
        <x:v>0.5</x:v>
      </x:c>
      <x:c r="S215" s="22" t="n">
        <x:f>IF(L215=0,"",O215/L215)</x:f>
        <x:v>0.15384615384615385</x:v>
      </x:c>
      <x:c r="T215" s="24" t="n">
        <x:v>17</x:v>
      </x:c>
      <x:c r="U215" s="26" t="n">
        <x:v>0.14</x:v>
      </x:c>
      <x:c r="V215" s="24" t="n">
        <x:v>173</x:v>
      </x:c>
      <x:c r="W215"/>
      <x:c r="X215"/>
    </x:row>
    <x:row r="216">
      <x:c r="A216" s="1" t="n">
        <x:v>214</x:v>
      </x:c>
      <x:c r="B216" s="27" t="n">
        <x:v>45834</x:v>
      </x:c>
      <x:c r="C216" s="1" t="str">
        <x:v>Bind</x:v>
      </x:c>
      <x:c r="D216" s="1" t="str">
        <x:v>8th</x:v>
      </x:c>
      <x:c r="E216" s="1" t="str">
        <x:v>Reyna</x:v>
      </x:c>
      <x:c r="F216" s="1" t="str">
        <x:v>Duelist</x:v>
      </x:c>
      <x:c r="G216" s="1" t="n">
        <x:v>10</x:v>
      </x:c>
      <x:c r="H216" s="1" t="n">
        <x:f t="shared" si="24"/>
        <x:v>13</x:v>
      </x:c>
      <x:c r="I216" s="1" t="str">
        <x:f t="shared" si="25">IF(G216&gt;H216,"Win",IF(G216&lt;H216,"Loss","Draw"))</x:f>
        <x:v>Loss</x:v>
      </x:c>
      <x:c r="J216" s="1" t="n">
        <x:f t="shared" si="26">IF(I216="Win",1,IF(I216="Loss",0,""))</x:f>
        <x:v>0</x:v>
      </x:c>
      <x:c r="K216" s="1" t="n">
        <x:f t="shared" si="27">G216-H216</x:f>
        <x:v>-3</x:v>
      </x:c>
      <x:c r="L216" s="1" t="n">
        <x:f>G216+H216</x:f>
        <x:v>23</x:v>
      </x:c>
      <x:c r="M216" s="1" t="n">
        <x:v>14</x:v>
      </x:c>
      <x:c r="N216" s="1" t="n">
        <x:v>14</x:v>
      </x:c>
      <x:c r="O216" s="3" t="n">
        <x:f t="shared" si="28"/>
        <x:v>2</x:v>
      </x:c>
      <x:c r="P216" s="22" t="n">
        <x:f t="shared" si="29">IF(N216=0,"",M216/N216)</x:f>
        <x:v>1</x:v>
      </x:c>
      <x:c r="Q216" s="22" t="n">
        <x:f t="shared" si="30">IF(L216=0,"",M216/L216)</x:f>
        <x:v>0.6086956521739131</x:v>
      </x:c>
      <x:c r="R216" s="22" t="n">
        <x:f t="shared" si="31">IF(L216=0,"",N216/L216)</x:f>
        <x:v>0.6086956521739131</x:v>
      </x:c>
      <x:c r="S216" s="22" t="n">
        <x:f>IF(L216=0,"",O216/L216)</x:f>
        <x:v>0.08695652173913043</x:v>
      </x:c>
      <x:c r="T216" s="24" t="n">
        <x:v>-21</x:v>
      </x:c>
      <x:c r="U216" s="26" t="n">
        <x:v>0.13</x:v>
      </x:c>
      <x:c r="V216" s="24" t="n">
        <x:v>157</x:v>
      </x:c>
      <x:c r="W216"/>
      <x:c r="X216"/>
    </x:row>
    <x:row r="217">
      <x:c r="A217" s="1" t="n">
        <x:v>215</x:v>
      </x:c>
      <x:c r="B217" s="27" t="n">
        <x:v>45834</x:v>
      </x:c>
      <x:c r="C217" s="1" t="str">
        <x:v>Haven</x:v>
      </x:c>
      <x:c r="D217" s="1" t="str">
        <x:v>10th</x:v>
      </x:c>
      <x:c r="E217" s="1" t="str">
        <x:v>Sage</x:v>
      </x:c>
      <x:c r="F217" s="1" t="str">
        <x:v>Sentinel</x:v>
      </x:c>
      <x:c r="G217" s="1" t="n">
        <x:v>13</x:v>
      </x:c>
      <x:c r="H217" s="1" t="n">
        <x:f t="shared" si="24"/>
        <x:v>15</x:v>
      </x:c>
      <x:c r="I217" s="1" t="str">
        <x:f t="shared" si="25">IF(G217&gt;H217,"Win",IF(G217&lt;H217,"Loss","Draw"))</x:f>
        <x:v>Loss</x:v>
      </x:c>
      <x:c r="J217" s="1" t="n">
        <x:f t="shared" si="26">IF(I217="Win",1,IF(I217="Loss",0,""))</x:f>
        <x:v>0</x:v>
      </x:c>
      <x:c r="K217" s="1" t="n">
        <x:f t="shared" si="27">G217-H217</x:f>
        <x:v>-2</x:v>
      </x:c>
      <x:c r="L217" s="1" t="n">
        <x:f>G217+H217</x:f>
        <x:v>28</x:v>
      </x:c>
      <x:c r="M217" s="1" t="n">
        <x:v>6</x:v>
      </x:c>
      <x:c r="N217" s="1" t="n">
        <x:v>22</x:v>
      </x:c>
      <x:c r="O217" s="3" t="n">
        <x:f t="shared" si="28"/>
        <x:v>8</x:v>
      </x:c>
      <x:c r="P217" s="22" t="n">
        <x:f t="shared" si="29">IF(N217=0,"",M217/N217)</x:f>
        <x:v>0.2727272727272727</x:v>
      </x:c>
      <x:c r="Q217" s="22" t="n">
        <x:f t="shared" si="30">IF(L217=0,"",M217/L217)</x:f>
        <x:v>0.21428571428571427</x:v>
      </x:c>
      <x:c r="R217" s="22" t="n">
        <x:f t="shared" si="31">IF(L217=0,"",N217/L217)</x:f>
        <x:v>0.7857142857142857</x:v>
      </x:c>
      <x:c r="S217" s="22" t="n">
        <x:f>IF(L217=0,"",O217/L217)</x:f>
        <x:v>0.2857142857142857</x:v>
      </x:c>
      <x:c r="T217" s="24" t="n">
        <x:v>-104</x:v>
      </x:c>
      <x:c r="U217" s="26" t="n">
        <x:v>0.07</x:v>
      </x:c>
      <x:c r="V217" s="24" t="n">
        <x:v>75</x:v>
      </x:c>
      <x:c r="W217"/>
      <x:c r="X217"/>
    </x:row>
    <x:row r="218">
      <x:c r="A218" s="1" t="n">
        <x:v>216</x:v>
      </x:c>
      <x:c r="B218" s="27" t="n">
        <x:v>45836</x:v>
      </x:c>
      <x:c r="C218" s="1" t="str">
        <x:v>Ascent</x:v>
      </x:c>
      <x:c r="D218" s="1" t="str">
        <x:v>8th</x:v>
      </x:c>
      <x:c r="E218" s="1" t="str">
        <x:v>Sage</x:v>
      </x:c>
      <x:c r="F218" s="1" t="str">
        <x:v>Sentinel</x:v>
      </x:c>
      <x:c r="G218" s="1" t="n">
        <x:v>12</x:v>
      </x:c>
      <x:c r="H218" s="1" t="n">
        <x:f t="shared" si="24"/>
        <x:v>14</x:v>
      </x:c>
      <x:c r="I218" s="1" t="str">
        <x:f t="shared" si="25">IF(G218&gt;H218,"Win",IF(G218&lt;H218,"Loss","Draw"))</x:f>
        <x:v>Loss</x:v>
      </x:c>
      <x:c r="J218" s="1" t="n">
        <x:f t="shared" si="26">IF(I218="Win",1,IF(I218="Loss",0,""))</x:f>
        <x:v>0</x:v>
      </x:c>
      <x:c r="K218" s="1" t="n">
        <x:f t="shared" si="27">G218-H218</x:f>
        <x:v>-2</x:v>
      </x:c>
      <x:c r="L218" s="1" t="n">
        <x:f>G218+H218</x:f>
        <x:v>26</x:v>
      </x:c>
      <x:c r="M218" s="1" t="n">
        <x:v>15</x:v>
      </x:c>
      <x:c r="N218" s="1" t="n">
        <x:v>19</x:v>
      </x:c>
      <x:c r="O218" s="3" t="n">
        <x:f t="shared" si="28"/>
        <x:v>4</x:v>
      </x:c>
      <x:c r="P218" s="22" t="n">
        <x:f t="shared" si="29">IF(N218=0,"",M218/N218)</x:f>
        <x:v>0.7894736842105263</x:v>
      </x:c>
      <x:c r="Q218" s="22" t="n">
        <x:f t="shared" si="30">IF(L218=0,"",M218/L218)</x:f>
        <x:v>0.5769230769230769</x:v>
      </x:c>
      <x:c r="R218" s="22" t="n">
        <x:f t="shared" si="31">IF(L218=0,"",N218/L218)</x:f>
        <x:v>0.7307692307692307</x:v>
      </x:c>
      <x:c r="S218" s="22" t="n">
        <x:f>IF(L218=0,"",O218/L218)</x:f>
        <x:v>0.15384615384615385</x:v>
      </x:c>
      <x:c r="T218" s="24" t="n">
        <x:v>-63</x:v>
      </x:c>
      <x:c r="U218" s="26" t="n">
        <x:v>0.1</x:v>
      </x:c>
      <x:c r="V218" s="24" t="n">
        <x:v>148</x:v>
      </x:c>
      <x:c r="W218"/>
      <x:c r="X218"/>
    </x:row>
    <x:row r="219">
      <x:c r="A219" s="1" t="n">
        <x:v>217</x:v>
      </x:c>
      <x:c r="B219" s="27" t="n">
        <x:v>45836</x:v>
      </x:c>
      <x:c r="C219" s="1" t="str">
        <x:v>Icebox</x:v>
      </x:c>
      <x:c r="D219" s="1" t="str">
        <x:v>9th</x:v>
      </x:c>
      <x:c r="E219" s="1" t="str">
        <x:v>Clove</x:v>
      </x:c>
      <x:c r="F219" s="1" t="str">
        <x:v>Controller</x:v>
      </x:c>
      <x:c r="G219" s="1" t="n">
        <x:v>9</x:v>
      </x:c>
      <x:c r="H219" s="1" t="n">
        <x:f t="shared" si="24"/>
        <x:v>13</x:v>
      </x:c>
      <x:c r="I219" s="1" t="str">
        <x:f t="shared" si="25">IF(G219&gt;H219,"Win",IF(G219&lt;H219,"Loss","Draw"))</x:f>
        <x:v>Loss</x:v>
      </x:c>
      <x:c r="J219" s="1" t="n">
        <x:f t="shared" si="26">IF(I219="Win",1,IF(I219="Loss",0,""))</x:f>
        <x:v>0</x:v>
      </x:c>
      <x:c r="K219" s="1" t="n">
        <x:f t="shared" si="27">G219-H219</x:f>
        <x:v>-4</x:v>
      </x:c>
      <x:c r="L219" s="1" t="n">
        <x:f>G219+H219</x:f>
        <x:v>22</x:v>
      </x:c>
      <x:c r="M219" s="1" t="n">
        <x:v>9</x:v>
      </x:c>
      <x:c r="N219" s="1" t="n">
        <x:v>20</x:v>
      </x:c>
      <x:c r="O219" s="3" t="n">
        <x:f t="shared" si="28"/>
        <x:v>4</x:v>
      </x:c>
      <x:c r="P219" s="22" t="n">
        <x:f t="shared" si="29">IF(N219=0,"",M219/N219)</x:f>
        <x:v>0.45</x:v>
      </x:c>
      <x:c r="Q219" s="22" t="n">
        <x:f t="shared" si="30">IF(L219=0,"",M219/L219)</x:f>
        <x:v>0.4090909090909091</x:v>
      </x:c>
      <x:c r="R219" s="22" t="n">
        <x:f t="shared" si="31">IF(L219=0,"",N219/L219)</x:f>
        <x:v>0.9090909090909091</x:v>
      </x:c>
      <x:c r="S219" s="22" t="n">
        <x:f>IF(L219=0,"",O219/L219)</x:f>
        <x:v>0.18181818181818182</x:v>
      </x:c>
      <x:c r="T219" s="24" t="n">
        <x:v>-63</x:v>
      </x:c>
      <x:c r="U219" s="26" t="n">
        <x:v>0.03</x:v>
      </x:c>
      <x:c r="V219" s="24" t="n">
        <x:v>128</x:v>
      </x:c>
      <x:c r="W219"/>
      <x:c r="X219"/>
    </x:row>
    <x:row r="220">
      <x:c r="A220" s="1" t="n">
        <x:v>218</x:v>
      </x:c>
      <x:c r="B220" s="27" t="n">
        <x:v>45854</x:v>
      </x:c>
      <x:c r="C220" s="1" t="str">
        <x:v>Bind</x:v>
      </x:c>
      <x:c r="D220" s="1" t="str">
        <x:v>9th</x:v>
      </x:c>
      <x:c r="E220" s="1" t="str">
        <x:v>Sage</x:v>
      </x:c>
      <x:c r="F220" s="1" t="str">
        <x:v>Sentinel</x:v>
      </x:c>
      <x:c r="G220" s="1" t="n">
        <x:v>7</x:v>
      </x:c>
      <x:c r="H220" s="1" t="n">
        <x:f t="shared" si="24"/>
        <x:v>13</x:v>
      </x:c>
      <x:c r="I220" s="1" t="str">
        <x:f t="shared" si="25">IF(G220&gt;H220,"Win",IF(G220&lt;H220,"Loss","Draw"))</x:f>
        <x:v>Loss</x:v>
      </x:c>
      <x:c r="J220" s="1" t="n">
        <x:f t="shared" si="26">IF(I220="Win",1,IF(I220="Loss",0,""))</x:f>
        <x:v>0</x:v>
      </x:c>
      <x:c r="K220" s="1" t="n">
        <x:f t="shared" si="27">G220-H220</x:f>
        <x:v>-6</x:v>
      </x:c>
      <x:c r="L220" s="1" t="n">
        <x:f>G220+H220</x:f>
        <x:v>20</x:v>
      </x:c>
      <x:c r="M220" s="1" t="n">
        <x:v>7</x:v>
      </x:c>
      <x:c r="N220" s="1" t="n">
        <x:v>16</x:v>
      </x:c>
      <x:c r="O220" s="3" t="n">
        <x:f t="shared" si="28"/>
        <x:v>7</x:v>
      </x:c>
      <x:c r="P220" s="22" t="n">
        <x:f t="shared" si="29">IF(N220=0,"",M220/N220)</x:f>
        <x:v>0.4375</x:v>
      </x:c>
      <x:c r="Q220" s="22" t="n">
        <x:f t="shared" si="30">IF(L220=0,"",M220/L220)</x:f>
        <x:v>0.35</x:v>
      </x:c>
      <x:c r="R220" s="22" t="n">
        <x:f t="shared" si="31">IF(L220=0,"",N220/L220)</x:f>
        <x:v>0.8</x:v>
      </x:c>
      <x:c r="S220" s="22" t="n">
        <x:f>IF(L220=0,"",O220/L220)</x:f>
        <x:v>0.35</x:v>
      </x:c>
      <x:c r="T220" s="24" t="n">
        <x:v>-92</x:v>
      </x:c>
      <x:c r="U220" s="26" t="n">
        <x:v>0.1</x:v>
      </x:c>
      <x:c r="V220" s="24" t="n">
        <x:v>114</x:v>
      </x:c>
      <x:c r="W220"/>
      <x:c r="X220"/>
    </x:row>
    <x:row r="221">
      <x:c r="A221" s="1" t="n">
        <x:v>219</x:v>
      </x:c>
      <x:c r="B221" s="27" t="n">
        <x:v>45857</x:v>
      </x:c>
      <x:c r="C221" s="1" t="str">
        <x:v>Lotus</x:v>
      </x:c>
      <x:c r="D221" s="1" t="str">
        <x:v>4th</x:v>
      </x:c>
      <x:c r="E221" s="1" t="str">
        <x:v>Fade</x:v>
      </x:c>
      <x:c r="F221" s="1" t="str">
        <x:v>Initiator</x:v>
      </x:c>
      <x:c r="G221" s="1" t="n">
        <x:v>8</x:v>
      </x:c>
      <x:c r="H221" s="1" t="n">
        <x:f t="shared" si="24"/>
        <x:v>13</x:v>
      </x:c>
      <x:c r="I221" s="1" t="str">
        <x:f t="shared" si="25">IF(G221&gt;H221,"Win",IF(G221&lt;H221,"Loss","Draw"))</x:f>
        <x:v>Loss</x:v>
      </x:c>
      <x:c r="J221" s="1" t="n">
        <x:f t="shared" si="26">IF(I221="Win",1,IF(I221="Loss",0,""))</x:f>
        <x:v>0</x:v>
      </x:c>
      <x:c r="K221" s="1" t="n">
        <x:f t="shared" si="27">G221-H221</x:f>
        <x:v>-5</x:v>
      </x:c>
      <x:c r="L221" s="1" t="n">
        <x:f>G221+H221</x:f>
        <x:v>21</x:v>
      </x:c>
      <x:c r="M221" s="1" t="n">
        <x:v>17</x:v>
      </x:c>
      <x:c r="N221" s="1" t="n">
        <x:v>16</x:v>
      </x:c>
      <x:c r="O221" s="3" t="n">
        <x:f t="shared" si="28"/>
        <x:v>7</x:v>
      </x:c>
      <x:c r="P221" s="22" t="n">
        <x:f t="shared" si="29">IF(N221=0,"",M221/N221)</x:f>
        <x:v>1.0625</x:v>
      </x:c>
      <x:c r="Q221" s="22" t="n">
        <x:f t="shared" si="30">IF(L221=0,"",M221/L221)</x:f>
        <x:v>0.8095238095238095</x:v>
      </x:c>
      <x:c r="R221" s="22" t="n">
        <x:f t="shared" si="31">IF(L221=0,"",N221/L221)</x:f>
        <x:v>0.7619047619047619</x:v>
      </x:c>
      <x:c r="S221" s="22" t="n">
        <x:f>IF(L221=0,"",O221/L221)</x:f>
        <x:v>0.3333333333333333</x:v>
      </x:c>
      <x:c r="T221" s="24" t="n">
        <x:v>-17</x:v>
      </x:c>
      <x:c r="U221" s="26" t="n">
        <x:v>0.11</x:v>
      </x:c>
      <x:c r="V221" s="24" t="n">
        <x:v>232</x:v>
      </x:c>
      <x:c r="W221"/>
      <x:c r="X221"/>
    </x:row>
    <x:row r="222">
      <x:c r="A222" s="1" t="n">
        <x:v>220</x:v>
      </x:c>
      <x:c r="B222" s="27" t="n">
        <x:v>45857</x:v>
      </x:c>
      <x:c r="C222" s="1" t="str">
        <x:v>Lotus</x:v>
      </x:c>
      <x:c r="D222" s="1" t="str">
        <x:v>5th</x:v>
      </x:c>
      <x:c r="E222" s="1" t="str">
        <x:v>Sage</x:v>
      </x:c>
      <x:c r="F222" s="1" t="str">
        <x:v>Sentinel</x:v>
      </x:c>
      <x:c r="G222" s="1" t="n">
        <x:v>5</x:v>
      </x:c>
      <x:c r="H222" s="1" t="n">
        <x:f t="shared" si="24"/>
        <x:v>13</x:v>
      </x:c>
      <x:c r="I222" s="1" t="str">
        <x:f t="shared" si="25">IF(G222&gt;H222,"Win",IF(G222&lt;H222,"Loss","Draw"))</x:f>
        <x:v>Loss</x:v>
      </x:c>
      <x:c r="J222" s="1" t="n">
        <x:f t="shared" si="26">IF(I222="Win",1,IF(I222="Loss",0,""))</x:f>
        <x:v>0</x:v>
      </x:c>
      <x:c r="K222" s="1" t="n">
        <x:f t="shared" si="27">G222-H222</x:f>
        <x:v>-8</x:v>
      </x:c>
      <x:c r="L222" s="1" t="n">
        <x:f>G222+H222</x:f>
        <x:v>18</x:v>
      </x:c>
      <x:c r="M222" s="1" t="n">
        <x:v>13</x:v>
      </x:c>
      <x:c r="N222" s="1" t="n">
        <x:v>15</x:v>
      </x:c>
      <x:c r="O222" s="3" t="n">
        <x:f t="shared" si="28"/>
        <x:v>6</x:v>
      </x:c>
      <x:c r="P222" s="22" t="n">
        <x:f t="shared" si="29">IF(N222=0,"",M222/N222)</x:f>
        <x:v>0.8666666666666667</x:v>
      </x:c>
      <x:c r="Q222" s="22" t="n">
        <x:f t="shared" si="30">IF(L222=0,"",M222/L222)</x:f>
        <x:v>0.7222222222222222</x:v>
      </x:c>
      <x:c r="R222" s="22" t="n">
        <x:f t="shared" si="31">IF(L222=0,"",N222/L222)</x:f>
        <x:v>0.8333333333333334</x:v>
      </x:c>
      <x:c r="S222" s="22" t="n">
        <x:f>IF(L222=0,"",O222/L222)</x:f>
        <x:v>0.3333333333333333</x:v>
      </x:c>
      <x:c r="T222" s="24" t="n">
        <x:v>-22</x:v>
      </x:c>
      <x:c r="U222" s="26" t="n">
        <x:v>0.08</x:v>
      </x:c>
      <x:c r="V222" s="24" t="n">
        <x:v>214</x:v>
      </x:c>
      <x:c r="W222"/>
      <x:c r="X222"/>
    </x:row>
    <x:row r="223">
      <x:c r="A223" s="1" t="n">
        <x:v>221</x:v>
      </x:c>
      <x:c r="B223" s="27" t="n">
        <x:v>45858</x:v>
      </x:c>
      <x:c r="C223" s="1" t="str">
        <x:v>Haven</x:v>
      </x:c>
      <x:c r="D223" s="1" t="str">
        <x:v>10th</x:v>
      </x:c>
      <x:c r="E223" s="1" t="str">
        <x:v>Skye</x:v>
      </x:c>
      <x:c r="F223" s="1" t="str">
        <x:v>Initiator</x:v>
      </x:c>
      <x:c r="G223" s="1" t="n">
        <x:v>13</x:v>
      </x:c>
      <x:c r="H223" s="1" t="n">
        <x:f t="shared" si="24"/>
        <x:v>8</x:v>
      </x:c>
      <x:c r="I223" s="1" t="str">
        <x:f t="shared" si="25">IF(G223&gt;H223,"Win",IF(G223&lt;H223,"Loss","Draw"))</x:f>
        <x:v>Win</x:v>
      </x:c>
      <x:c r="J223" s="1" t="n">
        <x:f t="shared" si="26">IF(I223="Win",1,IF(I223="Loss",0,""))</x:f>
        <x:v>1</x:v>
      </x:c>
      <x:c r="K223" s="1" t="n">
        <x:f t="shared" si="27">G223-H223</x:f>
        <x:v>5</x:v>
      </x:c>
      <x:c r="L223" s="1" t="n">
        <x:f>G223+H223</x:f>
        <x:v>21</x:v>
      </x:c>
      <x:c r="M223" s="1" t="n">
        <x:v>4</x:v>
      </x:c>
      <x:c r="N223" s="1" t="n">
        <x:v>14</x:v>
      </x:c>
      <x:c r="O223" s="3" t="n">
        <x:f t="shared" si="28"/>
        <x:v>2</x:v>
      </x:c>
      <x:c r="P223" s="22" t="n">
        <x:f t="shared" si="29">IF(N223=0,"",M223/N223)</x:f>
        <x:v>0.2857142857142857</x:v>
      </x:c>
      <x:c r="Q223" s="22" t="n">
        <x:f t="shared" si="30">IF(L223=0,"",M223/L223)</x:f>
        <x:v>0.19047619047619047</x:v>
      </x:c>
      <x:c r="R223" s="22" t="n">
        <x:f t="shared" si="31">IF(L223=0,"",N223/L223)</x:f>
        <x:v>0.6666666666666666</x:v>
      </x:c>
      <x:c r="S223" s="22" t="n">
        <x:f>IF(L223=0,"",O223/L223)</x:f>
        <x:v>0.09523809523809523</x:v>
      </x:c>
      <x:c r="T223" s="24" t="n">
        <x:v>-72</x:v>
      </x:c>
      <x:c r="U223" s="26" t="n">
        <x:v>0.11</x:v>
      </x:c>
      <x:c r="V223" s="24" t="n">
        <x:v>48</x:v>
      </x:c>
      <x:c r="W223"/>
      <x:c r="X223"/>
    </x:row>
    <x:row r="224">
      <x:c r="A224" s="1" t="n">
        <x:v>222</x:v>
      </x:c>
      <x:c r="B224" s="27" t="n">
        <x:v>45859</x:v>
      </x:c>
      <x:c r="C224" s="1" t="str">
        <x:v>Icebox</x:v>
      </x:c>
      <x:c r="D224" s="1" t="str">
        <x:v>7th</x:v>
      </x:c>
      <x:c r="E224" s="1" t="str">
        <x:v>Clove</x:v>
      </x:c>
      <x:c r="F224" s="1" t="str">
        <x:v>Controller</x:v>
      </x:c>
      <x:c r="G224" s="1" t="n">
        <x:v>13</x:v>
      </x:c>
      <x:c r="H224" s="1" t="n">
        <x:f t="shared" si="24"/>
        <x:v>10</x:v>
      </x:c>
      <x:c r="I224" s="1" t="str">
        <x:f t="shared" si="25">IF(G224&gt;H224,"Win",IF(G224&lt;H224,"Loss","Draw"))</x:f>
        <x:v>Win</x:v>
      </x:c>
      <x:c r="J224" s="1" t="n">
        <x:f t="shared" si="26">IF(I224="Win",1,IF(I224="Loss",0,""))</x:f>
        <x:v>1</x:v>
      </x:c>
      <x:c r="K224" s="1" t="n">
        <x:f t="shared" si="27">G224-H224</x:f>
        <x:v>3</x:v>
      </x:c>
      <x:c r="L224" s="1" t="n">
        <x:f>G224+H224</x:f>
        <x:v>23</x:v>
      </x:c>
      <x:c r="M224" s="1" t="n">
        <x:v>17</x:v>
      </x:c>
      <x:c r="N224" s="1" t="n">
        <x:v>21</x:v>
      </x:c>
      <x:c r="O224" s="3" t="n">
        <x:f t="shared" si="28"/>
        <x:v>1</x:v>
      </x:c>
      <x:c r="P224" s="22" t="n">
        <x:f t="shared" si="29">IF(N224=0,"",M224/N224)</x:f>
        <x:v>0.8095238095238095</x:v>
      </x:c>
      <x:c r="Q224" s="22" t="n">
        <x:f t="shared" si="30">IF(L224=0,"",M224/L224)</x:f>
        <x:v>0.7391304347826086</x:v>
      </x:c>
      <x:c r="R224" s="22" t="n">
        <x:f t="shared" si="31">IF(L224=0,"",N224/L224)</x:f>
        <x:v>0.9130434782608695</x:v>
      </x:c>
      <x:c r="S224" s="22" t="n">
        <x:f>IF(L224=0,"",O224/L224)</x:f>
        <x:v>0.043478260869565216</x:v>
      </x:c>
      <x:c r="T224" s="24" t="n">
        <x:v>-36</x:v>
      </x:c>
      <x:c r="U224" s="26" t="n">
        <x:v>0.14</x:v>
      </x:c>
      <x:c r="V224" s="24" t="n">
        <x:v>183</x:v>
      </x:c>
      <x:c r="W224"/>
      <x:c r="X224"/>
    </x:row>
    <x:row r="225">
      <x:c r="A225" s="1" t="n">
        <x:v>223</x:v>
      </x:c>
      <x:c r="B225" s="27" t="n">
        <x:v>45859</x:v>
      </x:c>
      <x:c r="C225" s="1" t="str">
        <x:v>Icebox</x:v>
      </x:c>
      <x:c r="D225" s="1" t="str">
        <x:v>3rd</x:v>
      </x:c>
      <x:c r="E225" s="1" t="str">
        <x:v>Killjoy</x:v>
      </x:c>
      <x:c r="F225" s="1" t="str">
        <x:v>Sentinel</x:v>
      </x:c>
      <x:c r="G225" s="1" t="n">
        <x:v>10</x:v>
      </x:c>
      <x:c r="H225" s="1" t="n">
        <x:f t="shared" si="24"/>
        <x:v>13</x:v>
      </x:c>
      <x:c r="I225" s="1" t="str">
        <x:f t="shared" si="25">IF(G225&gt;H225,"Win",IF(G225&lt;H225,"Loss","Draw"))</x:f>
        <x:v>Loss</x:v>
      </x:c>
      <x:c r="J225" s="1" t="n">
        <x:f t="shared" si="26">IF(I225="Win",1,IF(I225="Loss",0,""))</x:f>
        <x:v>0</x:v>
      </x:c>
      <x:c r="K225" s="1" t="n">
        <x:f t="shared" si="27">G225-H225</x:f>
        <x:v>-3</x:v>
      </x:c>
      <x:c r="L225" s="1" t="n">
        <x:f>G225+H225</x:f>
        <x:v>23</x:v>
      </x:c>
      <x:c r="M225" s="1" t="n">
        <x:v>17</x:v>
      </x:c>
      <x:c r="N225" s="1" t="n">
        <x:v>12</x:v>
      </x:c>
      <x:c r="O225" s="3" t="n">
        <x:f t="shared" si="28"/>
        <x:v>4</x:v>
      </x:c>
      <x:c r="P225" s="22" t="n">
        <x:f t="shared" si="29">IF(N225=0,"",M225/N225)</x:f>
        <x:v>1.4166666666666667</x:v>
      </x:c>
      <x:c r="Q225" s="22" t="n">
        <x:f t="shared" si="30">IF(L225=0,"",M225/L225)</x:f>
        <x:v>0.7391304347826086</x:v>
      </x:c>
      <x:c r="R225" s="22" t="n">
        <x:f t="shared" si="31">IF(L225=0,"",N225/L225)</x:f>
        <x:v>0.5217391304347826</x:v>
      </x:c>
      <x:c r="S225" s="22" t="n">
        <x:f>IF(L225=0,"",O225/L225)</x:f>
        <x:v>0.17391304347826086</x:v>
      </x:c>
      <x:c r="T225" s="24" t="n">
        <x:v>40</x:v>
      </x:c>
      <x:c r="U225" s="26" t="n">
        <x:v>0.08</x:v>
      </x:c>
      <x:c r="V225" s="24" t="n">
        <x:v>208</x:v>
      </x:c>
      <x:c r="W225"/>
      <x:c r="X225"/>
    </x:row>
    <x:row r="226">
      <x:c r="A226" s="1" t="n">
        <x:v>224</x:v>
      </x:c>
      <x:c r="B226" s="27" t="n">
        <x:v>45860</x:v>
      </x:c>
      <x:c r="C226" s="1" t="str">
        <x:v>Corrode</x:v>
      </x:c>
      <x:c r="D226" s="1" t="str">
        <x:v>10th</x:v>
      </x:c>
      <x:c r="E226" s="1" t="str">
        <x:v>Clove</x:v>
      </x:c>
      <x:c r="F226" s="1" t="str">
        <x:v>Controller</x:v>
      </x:c>
      <x:c r="G226" s="1" t="n">
        <x:v>13</x:v>
      </x:c>
      <x:c r="H226" s="1" t="n">
        <x:f t="shared" si="24"/>
        <x:v>9</x:v>
      </x:c>
      <x:c r="I226" s="1" t="str">
        <x:f t="shared" si="25">IF(G226&gt;H226,"Win",IF(G226&lt;H226,"Loss","Draw"))</x:f>
        <x:v>Win</x:v>
      </x:c>
      <x:c r="J226" s="1" t="n">
        <x:f t="shared" si="26">IF(I226="Win",1,IF(I226="Loss",0,""))</x:f>
        <x:v>1</x:v>
      </x:c>
      <x:c r="K226" s="1" t="n">
        <x:f t="shared" si="27">G226-H226</x:f>
        <x:v>4</x:v>
      </x:c>
      <x:c r="L226" s="1" t="n">
        <x:f>G226+H226</x:f>
        <x:v>22</x:v>
      </x:c>
      <x:c r="M226" s="1" t="n">
        <x:v>12</x:v>
      </x:c>
      <x:c r="N226" s="1" t="n">
        <x:v>17</x:v>
      </x:c>
      <x:c r="O226" s="3" t="n">
        <x:f t="shared" si="28"/>
        <x:v>5</x:v>
      </x:c>
      <x:c r="P226" s="22" t="n">
        <x:f t="shared" si="29">IF(N226=0,"",M226/N226)</x:f>
        <x:v>0.7058823529411765</x:v>
      </x:c>
      <x:c r="Q226" s="22" t="n">
        <x:f t="shared" si="30">IF(L226=0,"",M226/L226)</x:f>
        <x:v>0.5454545454545454</x:v>
      </x:c>
      <x:c r="R226" s="22" t="n">
        <x:f t="shared" si="31">IF(L226=0,"",N226/L226)</x:f>
        <x:v>0.7727272727272727</x:v>
      </x:c>
      <x:c r="S226" s="22" t="n">
        <x:f>IF(L226=0,"",O226/L226)</x:f>
        <x:v>0.22727272727272727</x:v>
      </x:c>
      <x:c r="T226" s="24" t="n">
        <x:v>-29</x:v>
      </x:c>
      <x:c r="U226" s="26" t="n">
        <x:v>0.2</x:v>
      </x:c>
      <x:c r="V226" s="24" t="n">
        <x:v>151</x:v>
      </x:c>
      <x:c r="W226"/>
      <x:c r="X226"/>
    </x:row>
    <x:row r="227">
      <x:c r="A227" s="1" t="n">
        <x:v>225</x:v>
      </x:c>
      <x:c r="B227" s="27" t="n">
        <x:v>45860</x:v>
      </x:c>
      <x:c r="C227" s="1" t="str">
        <x:v>Haven</x:v>
      </x:c>
      <x:c r="D227" s="1" t="str">
        <x:v>8th</x:v>
      </x:c>
      <x:c r="E227" s="1" t="str">
        <x:v>Clove</x:v>
      </x:c>
      <x:c r="F227" s="1" t="str">
        <x:v>Controller</x:v>
      </x:c>
      <x:c r="G227" s="1" t="n">
        <x:v>14</x:v>
      </x:c>
      <x:c r="H227" s="1" t="n">
        <x:f t="shared" si="24"/>
        <x:v>12</x:v>
      </x:c>
      <x:c r="I227" s="1" t="str">
        <x:f t="shared" si="25">IF(G227&gt;H227,"Win",IF(G227&lt;H227,"Loss","Draw"))</x:f>
        <x:v>Win</x:v>
      </x:c>
      <x:c r="J227" s="1" t="n">
        <x:f t="shared" si="26">IF(I227="Win",1,IF(I227="Loss",0,""))</x:f>
        <x:v>1</x:v>
      </x:c>
      <x:c r="K227" s="1" t="n">
        <x:f t="shared" si="27">G227-H227</x:f>
        <x:v>2</x:v>
      </x:c>
      <x:c r="L227" s="1" t="n">
        <x:f>G227+H227</x:f>
        <x:v>26</x:v>
      </x:c>
      <x:c r="M227" s="1" t="n">
        <x:v>15</x:v>
      </x:c>
      <x:c r="N227" s="1" t="n">
        <x:v>18</x:v>
      </x:c>
      <x:c r="O227" s="3" t="n">
        <x:f t="shared" si="28"/>
        <x:v>4</x:v>
      </x:c>
      <x:c r="P227" s="22" t="n">
        <x:f t="shared" si="29">IF(N227=0,"",M227/N227)</x:f>
        <x:v>0.8333333333333334</x:v>
      </x:c>
      <x:c r="Q227" s="22" t="n">
        <x:f t="shared" si="30">IF(L227=0,"",M227/L227)</x:f>
        <x:v>0.5769230769230769</x:v>
      </x:c>
      <x:c r="R227" s="22" t="n">
        <x:f t="shared" si="31">IF(L227=0,"",N227/L227)</x:f>
        <x:v>0.6923076923076923</x:v>
      </x:c>
      <x:c r="S227" s="22" t="n">
        <x:f>IF(L227=0,"",O227/L227)</x:f>
        <x:v>0.15384615384615385</x:v>
      </x:c>
      <x:c r="T227" s="24" t="n">
        <x:v>-33</x:v>
      </x:c>
      <x:c r="U227" s="26" t="n">
        <x:v>0.13</x:v>
      </x:c>
      <x:c r="V227" s="24" t="n">
        <x:v>173</x:v>
      </x:c>
      <x:c r="W227"/>
      <x:c r="X227"/>
    </x:row>
    <x:row r="228">
      <x:c r="A228" s="1" t="n">
        <x:v>226</x:v>
      </x:c>
      <x:c r="B228" s="27" t="n">
        <x:v>45861</x:v>
      </x:c>
      <x:c r="C228" s="1" t="str">
        <x:v>Ascent</x:v>
      </x:c>
      <x:c r="D228" s="1" t="str">
        <x:v>10th</x:v>
      </x:c>
      <x:c r="E228" s="1" t="str">
        <x:v>Clove</x:v>
      </x:c>
      <x:c r="F228" s="1" t="str">
        <x:v>Controller</x:v>
      </x:c>
      <x:c r="G228" s="1" t="n">
        <x:v>5</x:v>
      </x:c>
      <x:c r="H228" s="1" t="n">
        <x:f t="shared" si="24"/>
        <x:v>13</x:v>
      </x:c>
      <x:c r="I228" s="1" t="str">
        <x:f t="shared" si="25">IF(G228&gt;H228,"Win",IF(G228&lt;H228,"Loss","Draw"))</x:f>
        <x:v>Loss</x:v>
      </x:c>
      <x:c r="J228" s="1" t="n">
        <x:f t="shared" si="26">IF(I228="Win",1,IF(I228="Loss",0,""))</x:f>
        <x:v>0</x:v>
      </x:c>
      <x:c r="K228" s="1" t="n">
        <x:f t="shared" si="27">G228-H228</x:f>
        <x:v>-8</x:v>
      </x:c>
      <x:c r="L228" s="1" t="n">
        <x:f>G228+H228</x:f>
        <x:v>18</x:v>
      </x:c>
      <x:c r="M228" s="1" t="n">
        <x:v>3</x:v>
      </x:c>
      <x:c r="N228" s="1" t="n">
        <x:v>16</x:v>
      </x:c>
      <x:c r="O228" s="3" t="n">
        <x:f t="shared" si="28"/>
        <x:v>6</x:v>
      </x:c>
      <x:c r="P228" s="22" t="n">
        <x:f t="shared" si="29">IF(N228=0,"",M228/N228)</x:f>
        <x:v>0.1875</x:v>
      </x:c>
      <x:c r="Q228" s="22" t="n">
        <x:f t="shared" si="30">IF(L228=0,"",M228/L228)</x:f>
        <x:v>0.16666666666666666</x:v>
      </x:c>
      <x:c r="R228" s="22" t="n">
        <x:f t="shared" si="31">IF(L228=0,"",N228/L228)</x:f>
        <x:v>0.8888888888888888</x:v>
      </x:c>
      <x:c r="S228" s="22" t="n">
        <x:f>IF(L228=0,"",O228/L228)</x:f>
        <x:v>0.3333333333333333</x:v>
      </x:c>
      <x:c r="T228" s="24" t="n">
        <x:v>-81</x:v>
      </x:c>
      <x:c r="U228" s="26" t="n">
        <x:v>0.11</x:v>
      </x:c>
      <x:c r="V228" s="24" t="n">
        <x:v>92</x:v>
      </x:c>
      <x:c r="W228"/>
      <x:c r="X228"/>
    </x:row>
    <x:row r="229">
      <x:c r="A229" s="1" t="n">
        <x:v>227</x:v>
      </x:c>
      <x:c r="B229" s="27" t="n">
        <x:v>45862</x:v>
      </x:c>
      <x:c r="C229" s="1" t="str">
        <x:v>Sunset</x:v>
      </x:c>
      <x:c r="D229" s="1" t="str">
        <x:v>7th</x:v>
      </x:c>
      <x:c r="E229" s="1" t="str">
        <x:v>Clove</x:v>
      </x:c>
      <x:c r="F229" s="1" t="str">
        <x:v>Controller</x:v>
      </x:c>
      <x:c r="G229" s="1" t="n">
        <x:v>2</x:v>
      </x:c>
      <x:c r="H229" s="1" t="n">
        <x:f t="shared" si="24"/>
        <x:v>13</x:v>
      </x:c>
      <x:c r="I229" s="1" t="str">
        <x:f t="shared" si="25">IF(G229&gt;H229,"Win",IF(G229&lt;H229,"Loss","Draw"))</x:f>
        <x:v>Loss</x:v>
      </x:c>
      <x:c r="J229" s="1" t="n">
        <x:f t="shared" si="26">IF(I229="Win",1,IF(I229="Loss",0,""))</x:f>
        <x:v>0</x:v>
      </x:c>
      <x:c r="K229" s="1" t="n">
        <x:f t="shared" si="27">G229-H229</x:f>
        <x:v>-11</x:v>
      </x:c>
      <x:c r="L229" s="1" t="n">
        <x:f>G229+H229</x:f>
        <x:v>15</x:v>
      </x:c>
      <x:c r="M229" s="1" t="n">
        <x:v>10</x:v>
      </x:c>
      <x:c r="N229" s="1" t="n">
        <x:v>16</x:v>
      </x:c>
      <x:c r="O229" s="3" t="n">
        <x:f t="shared" si="28"/>
        <x:v>3</x:v>
      </x:c>
      <x:c r="P229" s="22" t="n">
        <x:f t="shared" si="29">IF(N229=0,"",M229/N229)</x:f>
        <x:v>0.625</x:v>
      </x:c>
      <x:c r="Q229" s="22" t="n">
        <x:f t="shared" si="30">IF(L229=0,"",M229/L229)</x:f>
        <x:v>0.6666666666666666</x:v>
      </x:c>
      <x:c r="R229" s="22" t="n">
        <x:f t="shared" si="31">IF(L229=0,"",N229/L229)</x:f>
        <x:v>1.0666666666666667</x:v>
      </x:c>
      <x:c r="S229" s="22" t="n">
        <x:f>IF(L229=0,"",O229/L229)</x:f>
        <x:v>0.2</x:v>
      </x:c>
      <x:c r="T229" s="24" t="n">
        <x:v>-77</x:v>
      </x:c>
      <x:c r="U229" s="26" t="n">
        <x:v>0.15</x:v>
      </x:c>
      <x:c r="V229" s="24" t="n">
        <x:v>179</x:v>
      </x:c>
      <x:c r="W229"/>
      <x:c r="X229"/>
    </x:row>
    <x:row r="230">
      <x:c r="A230" s="1" t="n">
        <x:v>228</x:v>
      </x:c>
      <x:c r="B230" s="27" t="n">
        <x:v>45862</x:v>
      </x:c>
      <x:c r="C230" s="1" t="str">
        <x:v>Corrode</x:v>
      </x:c>
      <x:c r="D230" s="1" t="str">
        <x:v>9th</x:v>
      </x:c>
      <x:c r="E230" s="1" t="str">
        <x:v>Killjoy</x:v>
      </x:c>
      <x:c r="F230" s="1" t="str">
        <x:v>Sentinel</x:v>
      </x:c>
      <x:c r="G230" s="1" t="n">
        <x:v>9</x:v>
      </x:c>
      <x:c r="H230" s="1" t="n">
        <x:f t="shared" si="24"/>
        <x:v>13</x:v>
      </x:c>
      <x:c r="I230" s="1" t="str">
        <x:f t="shared" si="25">IF(G230&gt;H230,"Win",IF(G230&lt;H230,"Loss","Draw"))</x:f>
        <x:v>Loss</x:v>
      </x:c>
      <x:c r="J230" s="1" t="n">
        <x:f t="shared" si="26">IF(I230="Win",1,IF(I230="Loss",0,""))</x:f>
        <x:v>0</x:v>
      </x:c>
      <x:c r="K230" s="1" t="n">
        <x:f t="shared" si="27">G230-H230</x:f>
        <x:v>-4</x:v>
      </x:c>
      <x:c r="L230" s="1" t="n">
        <x:f>G230+H230</x:f>
        <x:v>22</x:v>
      </x:c>
      <x:c r="M230" s="1" t="n">
        <x:v>12</x:v>
      </x:c>
      <x:c r="N230" s="1" t="n">
        <x:v>15</x:v>
      </x:c>
      <x:c r="O230" s="3" t="n">
        <x:f t="shared" si="28"/>
        <x:v>2</x:v>
      </x:c>
      <x:c r="P230" s="22" t="n">
        <x:f t="shared" si="29">IF(N230=0,"",M230/N230)</x:f>
        <x:v>0.8</x:v>
      </x:c>
      <x:c r="Q230" s="22" t="n">
        <x:f t="shared" si="30">IF(L230=0,"",M230/L230)</x:f>
        <x:v>0.5454545454545454</x:v>
      </x:c>
      <x:c r="R230" s="22" t="n">
        <x:f t="shared" si="31">IF(L230=0,"",N230/L230)</x:f>
        <x:v>0.6818181818181818</x:v>
      </x:c>
      <x:c r="S230" s="22" t="n">
        <x:f>IF(L230=0,"",O230/L230)</x:f>
        <x:v>0.09090909090909091</x:v>
      </x:c>
      <x:c r="T230" s="24" t="n">
        <x:v>-42</x:v>
      </x:c>
      <x:c r="U230" s="26" t="n">
        <x:v>0.06</x:v>
      </x:c>
      <x:c r="V230" s="24" t="n">
        <x:v>134</x:v>
      </x:c>
      <x:c r="W230"/>
      <x:c r="X230"/>
    </x:row>
    <x:row r="231">
      <x:c r="A231" s="1" t="n">
        <x:v>229</x:v>
      </x:c>
      <x:c r="B231" s="27" t="n">
        <x:v>45864</x:v>
      </x:c>
      <x:c r="C231" s="1" t="str">
        <x:v>Icebox</x:v>
      </x:c>
      <x:c r="D231" s="1" t="str">
        <x:v>8th</x:v>
      </x:c>
      <x:c r="E231" s="1" t="str">
        <x:v>Fade</x:v>
      </x:c>
      <x:c r="F231" s="1" t="str">
        <x:v>Initiator</x:v>
      </x:c>
      <x:c r="G231" s="1" t="n">
        <x:v>14</x:v>
      </x:c>
      <x:c r="H231" s="1" t="n">
        <x:f t="shared" si="24"/>
        <x:v>14</x:v>
      </x:c>
      <x:c r="I231" s="1" t="str">
        <x:f t="shared" si="25">IF(G231&gt;H231,"Win",IF(G231&lt;H231,"Loss","Draw"))</x:f>
        <x:v>Draw</x:v>
      </x:c>
      <x:c r="J231" s="1" t="str">
        <x:f t="shared" si="26">IF(I231="Win",1,IF(I231="Loss",0,""))</x:f>
      </x:c>
      <x:c r="K231" s="1" t="n">
        <x:f t="shared" si="27">G231-H231</x:f>
        <x:v>0</x:v>
      </x:c>
      <x:c r="L231" s="1" t="n">
        <x:f>G231+H231</x:f>
        <x:v>28</x:v>
      </x:c>
      <x:c r="M231" s="1" t="n">
        <x:v>16</x:v>
      </x:c>
      <x:c r="N231" s="1" t="n">
        <x:v>22</x:v>
      </x:c>
      <x:c r="O231" s="3" t="n">
        <x:f t="shared" si="28"/>
        <x:v>9</x:v>
      </x:c>
      <x:c r="P231" s="22" t="n">
        <x:f t="shared" si="29">IF(N231=0,"",M231/N231)</x:f>
        <x:v>0.7272727272727273</x:v>
      </x:c>
      <x:c r="Q231" s="22" t="n">
        <x:f t="shared" si="30">IF(L231=0,"",M231/L231)</x:f>
        <x:v>0.5714285714285714</x:v>
      </x:c>
      <x:c r="R231" s="22" t="n">
        <x:f t="shared" si="31">IF(L231=0,"",N231/L231)</x:f>
        <x:v>0.7857142857142857</x:v>
      </x:c>
      <x:c r="S231" s="22" t="n">
        <x:f>IF(L231=0,"",O231/L231)</x:f>
        <x:v>0.32142857142857145</x:v>
      </x:c>
      <x:c r="T231" s="24" t="n">
        <x:v>-19</x:v>
      </x:c>
      <x:c r="U231" s="26" t="n">
        <x:v>0.24</x:v>
      </x:c>
      <x:c r="V231" s="24" t="n">
        <x:v>163</x:v>
      </x:c>
      <x:c r="W231"/>
      <x:c r="X231"/>
    </x:row>
    <x:row r="232">
      <x:c r="A232" s="1" t="n">
        <x:v>230</x:v>
      </x:c>
      <x:c r="B232" s="27" t="n">
        <x:v>45866</x:v>
      </x:c>
      <x:c r="C232" s="1" t="str">
        <x:v>Bind</x:v>
      </x:c>
      <x:c r="D232" s="1" t="str">
        <x:v>9th</x:v>
      </x:c>
      <x:c r="E232" s="1" t="str">
        <x:v>Sage</x:v>
      </x:c>
      <x:c r="F232" s="1" t="str">
        <x:v>Sentinel</x:v>
      </x:c>
      <x:c r="G232" s="1" t="n">
        <x:v>14</x:v>
      </x:c>
      <x:c r="H232" s="1" t="n">
        <x:f t="shared" si="24"/>
        <x:v>14</x:v>
      </x:c>
      <x:c r="I232" s="1" t="str">
        <x:f t="shared" si="25">IF(G232&gt;H232,"Win",IF(G232&lt;H232,"Loss","Draw"))</x:f>
        <x:v>Draw</x:v>
      </x:c>
      <x:c r="J232" s="1" t="str">
        <x:f t="shared" si="26">IF(I232="Win",1,IF(I232="Loss",0,""))</x:f>
      </x:c>
      <x:c r="K232" s="1" t="n">
        <x:f t="shared" si="27">G232-H232</x:f>
        <x:v>0</x:v>
      </x:c>
      <x:c r="L232" s="1" t="n">
        <x:f>G232+H232</x:f>
        <x:v>28</x:v>
      </x:c>
      <x:c r="M232" s="1" t="n">
        <x:v>14</x:v>
      </x:c>
      <x:c r="N232" s="1" t="n">
        <x:v>20</x:v>
      </x:c>
      <x:c r="O232" s="3" t="n">
        <x:f t="shared" si="28"/>
        <x:v>11</x:v>
      </x:c>
      <x:c r="P232" s="22" t="n">
        <x:f t="shared" si="29">IF(N232=0,"",M232/N232)</x:f>
        <x:v>0.7</x:v>
      </x:c>
      <x:c r="Q232" s="22" t="n">
        <x:f t="shared" si="30">IF(L232=0,"",M232/L232)</x:f>
        <x:v>0.5</x:v>
      </x:c>
      <x:c r="R232" s="22" t="n">
        <x:f t="shared" si="31">IF(L232=0,"",N232/L232)</x:f>
        <x:v>0.7142857142857143</x:v>
      </x:c>
      <x:c r="S232" s="22" t="n">
        <x:f>IF(L232=0,"",O232/L232)</x:f>
        <x:v>0.39285714285714285</x:v>
      </x:c>
      <x:c r="T232" s="24" t="n">
        <x:v>-53</x:v>
      </x:c>
      <x:c r="U232" s="26" t="n">
        <x:v>0.03</x:v>
      </x:c>
      <x:c r="V232" s="24" t="n">
        <x:v>145</x:v>
      </x:c>
      <x:c r="W232"/>
      <x:c r="X232"/>
    </x:row>
    <x:row r="233">
      <x:c r="A233" s="1" t="n">
        <x:v>231</x:v>
      </x:c>
      <x:c r="B233" s="27" t="n">
        <x:v>45867</x:v>
      </x:c>
      <x:c r="C233" s="1" t="str">
        <x:v>Haven</x:v>
      </x:c>
      <x:c r="D233" s="1" t="str">
        <x:v>7th</x:v>
      </x:c>
      <x:c r="E233" s="1" t="str">
        <x:v>Breach</x:v>
      </x:c>
      <x:c r="F233" s="1" t="str">
        <x:v>Initiator</x:v>
      </x:c>
      <x:c r="G233" s="1" t="n">
        <x:v>8</x:v>
      </x:c>
      <x:c r="H233" s="1" t="n">
        <x:f t="shared" si="24"/>
        <x:v>13</x:v>
      </x:c>
      <x:c r="I233" s="1" t="str">
        <x:f t="shared" si="25">IF(G233&gt;H233,"Win",IF(G233&lt;H233,"Loss","Draw"))</x:f>
        <x:v>Loss</x:v>
      </x:c>
      <x:c r="J233" s="1" t="n">
        <x:f t="shared" si="26">IF(I233="Win",1,IF(I233="Loss",0,""))</x:f>
        <x:v>0</x:v>
      </x:c>
      <x:c r="K233" s="1" t="n">
        <x:f t="shared" si="27">G233-H233</x:f>
        <x:v>-5</x:v>
      </x:c>
      <x:c r="L233" s="1" t="n">
        <x:f>G233+H233</x:f>
        <x:v>21</x:v>
      </x:c>
      <x:c r="M233" s="1" t="n">
        <x:v>16</x:v>
      </x:c>
      <x:c r="N233" s="1" t="n">
        <x:v>14</x:v>
      </x:c>
      <x:c r="O233" s="3" t="n">
        <x:f t="shared" si="28"/>
        <x:v>3</x:v>
      </x:c>
      <x:c r="P233" s="22" t="n">
        <x:f t="shared" si="29">IF(N233=0,"",M233/N233)</x:f>
        <x:v>1.1428571428571428</x:v>
      </x:c>
      <x:c r="Q233" s="22" t="n">
        <x:f t="shared" si="30">IF(L233=0,"",M233/L233)</x:f>
        <x:v>0.7619047619047619</x:v>
      </x:c>
      <x:c r="R233" s="22" t="n">
        <x:f t="shared" si="31">IF(L233=0,"",N233/L233)</x:f>
        <x:v>0.6666666666666666</x:v>
      </x:c>
      <x:c r="S233" s="22" t="n">
        <x:f>IF(L233=0,"",O233/L233)</x:f>
        <x:v>0.14285714285714285</x:v>
      </x:c>
      <x:c r="T233" s="24" t="n">
        <x:v>15</x:v>
      </x:c>
      <x:c r="U233" s="26" t="n">
        <x:v>0.07</x:v>
      </x:c>
      <x:c r="V233" s="24" t="n">
        <x:v>207</x:v>
      </x:c>
      <x:c r="W233"/>
      <x:c r="X233"/>
    </x:row>
    <x:row r="234">
      <x:c r="A234" s="1" t="n">
        <x:v>232</x:v>
      </x:c>
      <x:c r="B234" s="27" t="n">
        <x:v>45868</x:v>
      </x:c>
      <x:c r="C234" s="1" t="str">
        <x:v>Ascent</x:v>
      </x:c>
      <x:c r="D234" s="1" t="str">
        <x:v>6th</x:v>
      </x:c>
      <x:c r="E234" s="1" t="str">
        <x:v>Sage</x:v>
      </x:c>
      <x:c r="F234" s="1" t="str">
        <x:v>Sentinel</x:v>
      </x:c>
      <x:c r="G234" s="1" t="n">
        <x:v>13</x:v>
      </x:c>
      <x:c r="H234" s="1" t="n">
        <x:f t="shared" si="24"/>
        <x:v>8</x:v>
      </x:c>
      <x:c r="I234" s="1" t="str">
        <x:f t="shared" si="25">IF(G234&gt;H234,"Win",IF(G234&lt;H234,"Loss","Draw"))</x:f>
        <x:v>Win</x:v>
      </x:c>
      <x:c r="J234" s="1" t="n">
        <x:f t="shared" si="26">IF(I234="Win",1,IF(I234="Loss",0,""))</x:f>
        <x:v>1</x:v>
      </x:c>
      <x:c r="K234" s="1" t="n">
        <x:f t="shared" si="27">G234-H234</x:f>
        <x:v>5</x:v>
      </x:c>
      <x:c r="L234" s="1" t="n">
        <x:f>G234+H234</x:f>
        <x:v>21</x:v>
      </x:c>
      <x:c r="M234" s="1" t="n">
        <x:v>12</x:v>
      </x:c>
      <x:c r="N234" s="1" t="n">
        <x:v>10</x:v>
      </x:c>
      <x:c r="O234" s="3" t="n">
        <x:f t="shared" si="28"/>
        <x:v>11</x:v>
      </x:c>
      <x:c r="P234" s="22" t="n">
        <x:f t="shared" si="29">IF(N234=0,"",M234/N234)</x:f>
        <x:v>1.2</x:v>
      </x:c>
      <x:c r="Q234" s="22" t="n">
        <x:f t="shared" si="30">IF(L234=0,"",M234/L234)</x:f>
        <x:v>0.5714285714285714</x:v>
      </x:c>
      <x:c r="R234" s="22" t="n">
        <x:f t="shared" si="31">IF(L234=0,"",N234/L234)</x:f>
        <x:v>0.47619047619047616</x:v>
      </x:c>
      <x:c r="S234" s="22" t="n">
        <x:f>IF(L234=0,"",O234/L234)</x:f>
        <x:v>0.5238095238095238</x:v>
      </x:c>
      <x:c r="T234" s="24" t="n">
        <x:v>-6</x:v>
      </x:c>
      <x:c r="U234" s="26" t="n">
        <x:v>0.1</x:v>
      </x:c>
      <x:c r="V234" s="24" t="n">
        <x:v>159</x:v>
      </x:c>
      <x:c r="W234"/>
      <x:c r="X234"/>
    </x:row>
    <x:row r="235">
      <x:c r="A235" s="1" t="n">
        <x:v>233</x:v>
      </x:c>
      <x:c r="B235" s="27" t="n">
        <x:v>45889</x:v>
      </x:c>
      <x:c r="C235" s="1" t="str">
        <x:v>Sunset</x:v>
      </x:c>
      <x:c r="D235" s="1" t="str">
        <x:v>9th</x:v>
      </x:c>
      <x:c r="E235" s="1" t="str">
        <x:v>Sage</x:v>
      </x:c>
      <x:c r="F235" s="1" t="str">
        <x:v>Sentinel</x:v>
      </x:c>
      <x:c r="G235" s="1" t="n">
        <x:v>11</x:v>
      </x:c>
      <x:c r="H235" s="1" t="n">
        <x:f t="shared" si="24"/>
        <x:v>13</x:v>
      </x:c>
      <x:c r="I235" s="1" t="str">
        <x:f t="shared" si="25">IF(G235&gt;H235,"Win",IF(G235&lt;H235,"Loss","Draw"))</x:f>
        <x:v>Loss</x:v>
      </x:c>
      <x:c r="J235" s="1" t="n">
        <x:f t="shared" si="26">IF(I235="Win",1,IF(I235="Loss",0,""))</x:f>
        <x:v>0</x:v>
      </x:c>
      <x:c r="K235" s="1" t="n">
        <x:f t="shared" si="27">G235-H235</x:f>
        <x:v>-2</x:v>
      </x:c>
      <x:c r="L235" s="1" t="n">
        <x:f>G235+H235</x:f>
        <x:v>24</x:v>
      </x:c>
      <x:c r="M235" s="1" t="n">
        <x:v>8</x:v>
      </x:c>
      <x:c r="N235" s="1" t="n">
        <x:v>16</x:v>
      </x:c>
      <x:c r="O235" s="3" t="n">
        <x:f t="shared" si="28"/>
        <x:v>7</x:v>
      </x:c>
      <x:c r="P235" s="22" t="n">
        <x:f t="shared" si="29">IF(N235=0,"",M235/N235)</x:f>
        <x:v>0.5</x:v>
      </x:c>
      <x:c r="Q235" s="22" t="n">
        <x:f t="shared" si="30">IF(L235=0,"",M235/L235)</x:f>
        <x:v>0.3333333333333333</x:v>
      </x:c>
      <x:c r="R235" s="22" t="n">
        <x:f t="shared" si="31">IF(L235=0,"",N235/L235)</x:f>
        <x:v>0.6666666666666666</x:v>
      </x:c>
      <x:c r="S235" s="22" t="n">
        <x:f>IF(L235=0,"",O235/L235)</x:f>
        <x:v>0.2916666666666667</x:v>
      </x:c>
      <x:c r="T235" s="24" t="n">
        <x:v>-76</x:v>
      </x:c>
      <x:c r="U235" s="26" t="n">
        <x:v>0</x:v>
      </x:c>
      <x:c r="V235" s="24" t="n">
        <x:v>104</x:v>
      </x:c>
      <x:c r="W235"/>
      <x:c r="X235"/>
    </x:row>
    <x:row r="236">
      <x:c r="A236" s="1" t="n">
        <x:v>234</x:v>
      </x:c>
      <x:c r="B236" s="27" t="n">
        <x:v>45890</x:v>
      </x:c>
      <x:c r="C236" s="1" t="str">
        <x:v>Lotus</x:v>
      </x:c>
      <x:c r="D236" s="1" t="str">
        <x:v>8th</x:v>
      </x:c>
      <x:c r="E236" s="1" t="str">
        <x:v>Clove</x:v>
      </x:c>
      <x:c r="F236" s="1" t="str">
        <x:v>Controller</x:v>
      </x:c>
      <x:c r="G236" s="1" t="n">
        <x:v>13</x:v>
      </x:c>
      <x:c r="H236" s="1" t="n">
        <x:f t="shared" si="24"/>
        <x:v>6</x:v>
      </x:c>
      <x:c r="I236" s="1" t="str">
        <x:f t="shared" si="25">IF(G236&gt;H236,"Win",IF(G236&lt;H236,"Loss","Draw"))</x:f>
        <x:v>Win</x:v>
      </x:c>
      <x:c r="J236" s="1" t="n">
        <x:f t="shared" si="26">IF(I236="Win",1,IF(I236="Loss",0,""))</x:f>
        <x:v>1</x:v>
      </x:c>
      <x:c r="K236" s="1" t="n">
        <x:f t="shared" si="27">G236-H236</x:f>
        <x:v>7</x:v>
      </x:c>
      <x:c r="L236" s="1" t="n">
        <x:f>G236+H236</x:f>
        <x:v>19</x:v>
      </x:c>
      <x:c r="M236" s="1" t="n">
        <x:v>9</x:v>
      </x:c>
      <x:c r="N236" s="1" t="n">
        <x:v>11</x:v>
      </x:c>
      <x:c r="O236" s="3" t="n">
        <x:f t="shared" si="28"/>
        <x:v>6</x:v>
      </x:c>
      <x:c r="P236" s="22" t="n">
        <x:f t="shared" si="29">IF(N236=0,"",M236/N236)</x:f>
        <x:v>0.8181818181818182</x:v>
      </x:c>
      <x:c r="Q236" s="22" t="n">
        <x:f t="shared" si="30">IF(L236=0,"",M236/L236)</x:f>
        <x:v>0.47368421052631576</x:v>
      </x:c>
      <x:c r="R236" s="22" t="n">
        <x:f t="shared" si="31">IF(L236=0,"",N236/L236)</x:f>
        <x:v>0.5789473684210527</x:v>
      </x:c>
      <x:c r="S236" s="22" t="n">
        <x:f>IF(L236=0,"",O236/L236)</x:f>
        <x:v>0.3157894736842105</x:v>
      </x:c>
      <x:c r="T236" s="24" t="n">
        <x:v>-46</x:v>
      </x:c>
      <x:c r="U236" s="26" t="n">
        <x:v>0.04</x:v>
      </x:c>
      <x:c r="V236" s="24" t="n">
        <x:v>133</x:v>
      </x:c>
      <x:c r="W236"/>
      <x:c r="X236"/>
    </x:row>
    <x:row r="237">
      <x:c r="A237" s="1" t="n">
        <x:v>235</x:v>
      </x:c>
      <x:c r="B237" s="27" t="n">
        <x:v>45890</x:v>
      </x:c>
      <x:c r="C237" s="1" t="str">
        <x:v>Lotus</x:v>
      </x:c>
      <x:c r="D237" s="1" t="str">
        <x:v>6th</x:v>
      </x:c>
      <x:c r="E237" s="1" t="str">
        <x:v>Clove</x:v>
      </x:c>
      <x:c r="F237" s="1" t="str">
        <x:v>Controller</x:v>
      </x:c>
      <x:c r="G237" s="1" t="n">
        <x:v>6</x:v>
      </x:c>
      <x:c r="H237" s="1" t="n">
        <x:f t="shared" si="24"/>
        <x:v>13</x:v>
      </x:c>
      <x:c r="I237" s="1" t="str">
        <x:f t="shared" si="25">IF(G237&gt;H237,"Win",IF(G237&lt;H237,"Loss","Draw"))</x:f>
        <x:v>Loss</x:v>
      </x:c>
      <x:c r="J237" s="1" t="n">
        <x:f t="shared" si="26">IF(I237="Win",1,IF(I237="Loss",0,""))</x:f>
        <x:v>0</x:v>
      </x:c>
      <x:c r="K237" s="1" t="n">
        <x:f t="shared" si="27">G237-H237</x:f>
        <x:v>-7</x:v>
      </x:c>
      <x:c r="L237" s="1" t="n">
        <x:f>G237+H237</x:f>
        <x:v>19</x:v>
      </x:c>
      <x:c r="M237" s="1" t="n">
        <x:v>10</x:v>
      </x:c>
      <x:c r="N237" s="1" t="n">
        <x:v>17</x:v>
      </x:c>
      <x:c r="O237" s="3" t="n">
        <x:f t="shared" si="28"/>
        <x:v>5</x:v>
      </x:c>
      <x:c r="P237" s="22" t="n">
        <x:f t="shared" si="29">IF(N237=0,"",M237/N237)</x:f>
        <x:v>0.5882352941176471</x:v>
      </x:c>
      <x:c r="Q237" s="22" t="n">
        <x:f t="shared" si="30">IF(L237=0,"",M237/L237)</x:f>
        <x:v>0.5263157894736842</x:v>
      </x:c>
      <x:c r="R237" s="22" t="n">
        <x:f t="shared" si="31">IF(L237=0,"",N237/L237)</x:f>
        <x:v>0.8947368421052632</x:v>
      </x:c>
      <x:c r="S237" s="22" t="n">
        <x:f>IF(L237=0,"",O237/L237)</x:f>
        <x:v>0.2631578947368421</x:v>
      </x:c>
      <x:c r="T237" s="24" t="n">
        <x:v>-44</x:v>
      </x:c>
      <x:c r="U237" s="26" t="n">
        <x:v>0.08</x:v>
      </x:c>
      <x:c r="V237" s="24" t="n">
        <x:v>169</x:v>
      </x:c>
      <x:c r="W237"/>
      <x:c r="X237"/>
    </x:row>
    <x:row r="238">
      <x:c r="A238" s="1" t="n">
        <x:v>236</x:v>
      </x:c>
      <x:c r="B238" s="27" t="n">
        <x:v>45891</x:v>
      </x:c>
      <x:c r="C238" s="1" t="str">
        <x:v>Sunset</x:v>
      </x:c>
      <x:c r="D238" s="1" t="str">
        <x:v>8th</x:v>
      </x:c>
      <x:c r="E238" s="1" t="str">
        <x:v>Clove</x:v>
      </x:c>
      <x:c r="F238" s="1" t="str">
        <x:v>Controller</x:v>
      </x:c>
      <x:c r="G238" s="1" t="n">
        <x:v>5</x:v>
      </x:c>
      <x:c r="H238" s="1" t="n">
        <x:f t="shared" si="24"/>
        <x:v>13</x:v>
      </x:c>
      <x:c r="I238" s="1" t="str">
        <x:f t="shared" si="25">IF(G238&gt;H238,"Win",IF(G238&lt;H238,"Loss","Draw"))</x:f>
        <x:v>Loss</x:v>
      </x:c>
      <x:c r="J238" s="1" t="n">
        <x:f t="shared" si="26">IF(I238="Win",1,IF(I238="Loss",0,""))</x:f>
        <x:v>0</x:v>
      </x:c>
      <x:c r="K238" s="1" t="n">
        <x:f t="shared" si="27">G238-H238</x:f>
        <x:v>-8</x:v>
      </x:c>
      <x:c r="L238" s="1" t="n">
        <x:f>G238+H238</x:f>
        <x:v>18</x:v>
      </x:c>
      <x:c r="M238" s="1" t="n">
        <x:v>10</x:v>
      </x:c>
      <x:c r="N238" s="1" t="n">
        <x:v>17</x:v>
      </x:c>
      <x:c r="O238" s="3" t="n">
        <x:f t="shared" si="28"/>
        <x:v>2</x:v>
      </x:c>
      <x:c r="P238" s="22" t="n">
        <x:f t="shared" si="29">IF(N238=0,"",M238/N238)</x:f>
        <x:v>0.5882352941176471</x:v>
      </x:c>
      <x:c r="Q238" s="22" t="n">
        <x:f t="shared" si="30">IF(L238=0,"",M238/L238)</x:f>
        <x:v>0.5555555555555556</x:v>
      </x:c>
      <x:c r="R238" s="22" t="n">
        <x:f t="shared" si="31">IF(L238=0,"",N238/L238)</x:f>
        <x:v>0.9444444444444444</x:v>
      </x:c>
      <x:c r="S238" s="22" t="n">
        <x:f>IF(L238=0,"",O238/L238)</x:f>
        <x:v>0.1111111111111111</x:v>
      </x:c>
      <x:c r="T238" s="24" t="n">
        <x:v>-115</x:v>
      </x:c>
      <x:c r="U238" s="26" t="n">
        <x:v>0.14</x:v>
      </x:c>
      <x:c r="V238" s="24" t="n">
        <x:v>131</x:v>
      </x:c>
      <x:c r="W238"/>
      <x:c r="X238"/>
    </x:row>
    <x:row r="239">
      <x:c r="A239" s="1" t="n">
        <x:v>237</x:v>
      </x:c>
      <x:c r="B239" s="27" t="n">
        <x:v>45891</x:v>
      </x:c>
      <x:c r="C239" s="1" t="str">
        <x:v>Abyss</x:v>
      </x:c>
      <x:c r="D239" s="1" t="str">
        <x:v>8th</x:v>
      </x:c>
      <x:c r="E239" s="1" t="str">
        <x:v>Clove</x:v>
      </x:c>
      <x:c r="F239" s="1" t="str">
        <x:v>Controller</x:v>
      </x:c>
      <x:c r="G239" s="1" t="n">
        <x:v>6</x:v>
      </x:c>
      <x:c r="H239" s="1" t="n">
        <x:f t="shared" si="24"/>
        <x:v>13</x:v>
      </x:c>
      <x:c r="I239" s="1" t="str">
        <x:f t="shared" si="25">IF(G239&gt;H239,"Win",IF(G239&lt;H239,"Loss","Draw"))</x:f>
        <x:v>Loss</x:v>
      </x:c>
      <x:c r="J239" s="1" t="n">
        <x:f t="shared" si="26">IF(I239="Win",1,IF(I239="Loss",0,""))</x:f>
        <x:v>0</x:v>
      </x:c>
      <x:c r="K239" s="1" t="n">
        <x:f t="shared" si="27">G239-H239</x:f>
        <x:v>-7</x:v>
      </x:c>
      <x:c r="L239" s="1" t="n">
        <x:f>G239+H239</x:f>
        <x:v>19</x:v>
      </x:c>
      <x:c r="M239" s="1" t="n">
        <x:v>14</x:v>
      </x:c>
      <x:c r="N239" s="1" t="n">
        <x:v>17</x:v>
      </x:c>
      <x:c r="O239" s="3" t="n">
        <x:f t="shared" si="28"/>
        <x:v>2</x:v>
      </x:c>
      <x:c r="P239" s="22" t="n">
        <x:f t="shared" si="29">IF(N239=0,"",M239/N239)</x:f>
        <x:v>0.8235294117647058</x:v>
      </x:c>
      <x:c r="Q239" s="22" t="n">
        <x:f t="shared" si="30">IF(L239=0,"",M239/L239)</x:f>
        <x:v>0.7368421052631579</x:v>
      </x:c>
      <x:c r="R239" s="22" t="n">
        <x:f t="shared" si="31">IF(L239=0,"",N239/L239)</x:f>
        <x:v>0.8947368421052632</x:v>
      </x:c>
      <x:c r="S239" s="22" t="n">
        <x:f>IF(L239=0,"",O239/L239)</x:f>
        <x:v>0.10526315789473684</x:v>
      </x:c>
      <x:c r="T239" s="24" t="n">
        <x:v>-54</x:v>
      </x:c>
      <x:c r="U239" s="26" t="n">
        <x:v>0.18</x:v>
      </x:c>
      <x:c r="V239" s="24" t="n">
        <x:v>171</x:v>
      </x:c>
      <x:c r="W239"/>
      <x:c r="X239"/>
    </x:row>
    <x:row r="240">
      <x:c r="A240" s="1" t="n">
        <x:v>238</x:v>
      </x:c>
      <x:c r="B240" s="27" t="n">
        <x:v>45892</x:v>
      </x:c>
      <x:c r="C240" s="1" t="str">
        <x:v>Ascent</x:v>
      </x:c>
      <x:c r="D240" s="1" t="str">
        <x:v>10th</x:v>
      </x:c>
      <x:c r="E240" s="1" t="str">
        <x:v>Sage</x:v>
      </x:c>
      <x:c r="F240" s="1" t="str">
        <x:v>Sentinel</x:v>
      </x:c>
      <x:c r="G240" s="1" t="n">
        <x:v>10</x:v>
      </x:c>
      <x:c r="H240" s="1" t="n">
        <x:f t="shared" si="24"/>
        <x:v>13</x:v>
      </x:c>
      <x:c r="I240" s="1" t="str">
        <x:f t="shared" si="25">IF(G240&gt;H240,"Win",IF(G240&lt;H240,"Loss","Draw"))</x:f>
        <x:v>Loss</x:v>
      </x:c>
      <x:c r="J240" s="1" t="n">
        <x:f t="shared" si="26">IF(I240="Win",1,IF(I240="Loss",0,""))</x:f>
        <x:v>0</x:v>
      </x:c>
      <x:c r="K240" s="1" t="n">
        <x:f t="shared" si="27">G240-H240</x:f>
        <x:v>-3</x:v>
      </x:c>
      <x:c r="L240" s="1" t="n">
        <x:f>G240+H240</x:f>
        <x:v>23</x:v>
      </x:c>
      <x:c r="M240" s="1" t="n">
        <x:v>5</x:v>
      </x:c>
      <x:c r="N240" s="1" t="n">
        <x:v>8</x:v>
      </x:c>
      <x:c r="O240" s="3" t="n">
        <x:f t="shared" si="28"/>
        <x:v>5</x:v>
      </x:c>
      <x:c r="P240" s="22" t="n">
        <x:f t="shared" si="29">IF(N240=0,"",M240/N240)</x:f>
        <x:v>0.625</x:v>
      </x:c>
      <x:c r="Q240" s="22" t="n">
        <x:f t="shared" si="30">IF(L240=0,"",M240/L240)</x:f>
        <x:v>0.21739130434782608</x:v>
      </x:c>
      <x:c r="R240" s="22" t="n">
        <x:f t="shared" si="31">IF(L240=0,"",N240/L240)</x:f>
        <x:v>0.34782608695652173</x:v>
      </x:c>
      <x:c r="S240" s="22" t="n">
        <x:f>IF(L240=0,"",O240/L240)</x:f>
        <x:v>0.21739130434782608</x:v>
      </x:c>
      <x:c r="T240" s="24" t="n">
        <x:v>-14</x:v>
      </x:c>
      <x:c r="U240" s="26" t="n">
        <x:v>0.03</x:v>
      </x:c>
      <x:c r="V240" s="24" t="n">
        <x:v>65</x:v>
      </x:c>
      <x:c r="W240"/>
      <x:c r="X240"/>
    </x:row>
    <x:row r="241">
      <x:c r="A241" s="1" t="n">
        <x:v>239</x:v>
      </x:c>
      <x:c r="B241" s="27" t="n">
        <x:v>45893</x:v>
      </x:c>
      <x:c r="C241" s="1" t="str">
        <x:v>Bind</x:v>
      </x:c>
      <x:c r="D241" s="1" t="str">
        <x:v>10th</x:v>
      </x:c>
      <x:c r="E241" s="1" t="str">
        <x:v>Clove</x:v>
      </x:c>
      <x:c r="F241" s="1" t="str">
        <x:v>Controller</x:v>
      </x:c>
      <x:c r="G241" s="1" t="n">
        <x:v>13</x:v>
      </x:c>
      <x:c r="H241" s="1" t="n">
        <x:f t="shared" si="24"/>
        <x:v>9</x:v>
      </x:c>
      <x:c r="I241" s="1" t="str">
        <x:f t="shared" si="25">IF(G241&gt;H241,"Win",IF(G241&lt;H241,"Loss","Draw"))</x:f>
        <x:v>Win</x:v>
      </x:c>
      <x:c r="J241" s="1" t="n">
        <x:f t="shared" si="26">IF(I241="Win",1,IF(I241="Loss",0,""))</x:f>
        <x:v>1</x:v>
      </x:c>
      <x:c r="K241" s="1" t="n">
        <x:f t="shared" si="27">G241-H241</x:f>
        <x:v>4</x:v>
      </x:c>
      <x:c r="L241" s="1" t="n">
        <x:f>G241+H241</x:f>
        <x:v>22</x:v>
      </x:c>
      <x:c r="M241" s="1" t="n">
        <x:v>6</x:v>
      </x:c>
      <x:c r="N241" s="1" t="n">
        <x:v>13</x:v>
      </x:c>
      <x:c r="O241" s="3" t="n">
        <x:f t="shared" si="28"/>
        <x:v>7</x:v>
      </x:c>
      <x:c r="P241" s="22" t="n">
        <x:f t="shared" si="29">IF(N241=0,"",M241/N241)</x:f>
        <x:v>0.46153846153846156</x:v>
      </x:c>
      <x:c r="Q241" s="22" t="n">
        <x:f t="shared" si="30">IF(L241=0,"",M241/L241)</x:f>
        <x:v>0.2727272727272727</x:v>
      </x:c>
      <x:c r="R241" s="22" t="n">
        <x:f t="shared" si="31">IF(L241=0,"",N241/L241)</x:f>
        <x:v>0.5909090909090909</x:v>
      </x:c>
      <x:c r="S241" s="22" t="n">
        <x:f>IF(L241=0,"",O241/L241)</x:f>
        <x:v>0.3181818181818182</x:v>
      </x:c>
      <x:c r="T241" s="24" t="n">
        <x:v>-56</x:v>
      </x:c>
      <x:c r="U241" s="26" t="n">
        <x:v>0.03</x:v>
      </x:c>
      <x:c r="V241" s="24" t="n">
        <x:v>87</x:v>
      </x:c>
      <x:c r="W241"/>
      <x:c r="X241"/>
    </x:row>
    <x:row r="242">
      <x:c r="A242" s="1" t="n">
        <x:v>240</x:v>
      </x:c>
      <x:c r="B242" s="27" t="n">
        <x:v>45895</x:v>
      </x:c>
      <x:c r="C242" s="1" t="str">
        <x:v>Corrode</x:v>
      </x:c>
      <x:c r="D242" s="1" t="str">
        <x:v>6th</x:v>
      </x:c>
      <x:c r="E242" s="1" t="str">
        <x:v>Sage</x:v>
      </x:c>
      <x:c r="F242" s="1" t="str">
        <x:v>Sentinel</x:v>
      </x:c>
      <x:c r="G242" s="1" t="n">
        <x:v>13</x:v>
      </x:c>
      <x:c r="H242" s="1" t="n">
        <x:f t="shared" si="24"/>
        <x:v>6</x:v>
      </x:c>
      <x:c r="I242" s="1" t="str">
        <x:f t="shared" si="25">IF(G242&gt;H242,"Win",IF(G242&lt;H242,"Loss","Draw"))</x:f>
        <x:v>Win</x:v>
      </x:c>
      <x:c r="J242" s="1" t="n">
        <x:f t="shared" si="26">IF(I242="Win",1,IF(I242="Loss",0,""))</x:f>
        <x:v>1</x:v>
      </x:c>
      <x:c r="K242" s="1" t="n">
        <x:f t="shared" si="27">G242-H242</x:f>
        <x:v>7</x:v>
      </x:c>
      <x:c r="L242" s="1" t="n">
        <x:f>G242+H242</x:f>
        <x:v>19</x:v>
      </x:c>
      <x:c r="M242" s="1" t="n">
        <x:v>15</x:v>
      </x:c>
      <x:c r="N242" s="1" t="n">
        <x:v>12</x:v>
      </x:c>
      <x:c r="O242" s="3" t="n">
        <x:f t="shared" si="28"/>
        <x:v>7</x:v>
      </x:c>
      <x:c r="P242" s="22" t="n">
        <x:f t="shared" si="29">IF(N242=0,"",M242/N242)</x:f>
        <x:v>1.25</x:v>
      </x:c>
      <x:c r="Q242" s="22" t="n">
        <x:f t="shared" si="30">IF(L242=0,"",M242/L242)</x:f>
        <x:v>0.7894736842105263</x:v>
      </x:c>
      <x:c r="R242" s="22" t="n">
        <x:f t="shared" si="31">IF(L242=0,"",N242/L242)</x:f>
        <x:v>0.631578947368421</x:v>
      </x:c>
      <x:c r="S242" s="22" t="n">
        <x:f>IF(L242=0,"",O242/L242)</x:f>
        <x:v>0.3684210526315789</x:v>
      </x:c>
      <x:c r="T242" s="24" t="n">
        <x:v>4</x:v>
      </x:c>
      <x:c r="U242" s="26" t="n">
        <x:v>0.08</x:v>
      </x:c>
      <x:c r="V242" s="24" t="n">
        <x:v>202</x:v>
      </x:c>
      <x:c r="W242"/>
      <x:c r="X242"/>
    </x:row>
    <x:row r="243">
      <x:c r="A243" s="1" t="n">
        <x:v>241</x:v>
      </x:c>
      <x:c r="B243" s="27" t="n">
        <x:v>45895</x:v>
      </x:c>
      <x:c r="C243" s="1" t="str">
        <x:v>Sunset</x:v>
      </x:c>
      <x:c r="D243" s="1" t="str">
        <x:v>9th</x:v>
      </x:c>
      <x:c r="E243" s="1" t="str">
        <x:v>Clove</x:v>
      </x:c>
      <x:c r="F243" s="1" t="str">
        <x:v>Controller</x:v>
      </x:c>
      <x:c r="G243" s="1" t="n">
        <x:v>6</x:v>
      </x:c>
      <x:c r="H243" s="1" t="n">
        <x:f t="shared" si="24"/>
        <x:v>13</x:v>
      </x:c>
      <x:c r="I243" s="1" t="str">
        <x:f t="shared" si="25">IF(G243&gt;H243,"Win",IF(G243&lt;H243,"Loss","Draw"))</x:f>
        <x:v>Loss</x:v>
      </x:c>
      <x:c r="J243" s="1" t="n">
        <x:f t="shared" si="26">IF(I243="Win",1,IF(I243="Loss",0,""))</x:f>
        <x:v>0</x:v>
      </x:c>
      <x:c r="K243" s="1" t="n">
        <x:f t="shared" si="27">G243-H243</x:f>
        <x:v>-7</x:v>
      </x:c>
      <x:c r="L243" s="1" t="n">
        <x:f>G243+H243</x:f>
        <x:v>19</x:v>
      </x:c>
      <x:c r="M243" s="1" t="n">
        <x:v>11</x:v>
      </x:c>
      <x:c r="N243" s="1" t="n">
        <x:v>17</x:v>
      </x:c>
      <x:c r="O243" s="3" t="n">
        <x:f t="shared" si="28"/>
        <x:v>5</x:v>
      </x:c>
      <x:c r="P243" s="22" t="n">
        <x:f t="shared" si="29">IF(N243=0,"",M243/N243)</x:f>
        <x:v>0.6470588235294118</x:v>
      </x:c>
      <x:c r="Q243" s="22" t="n">
        <x:f t="shared" si="30">IF(L243=0,"",M243/L243)</x:f>
        <x:v>0.5789473684210527</x:v>
      </x:c>
      <x:c r="R243" s="22" t="n">
        <x:f t="shared" si="31">IF(L243=0,"",N243/L243)</x:f>
        <x:v>0.8947368421052632</x:v>
      </x:c>
      <x:c r="S243" s="22" t="n">
        <x:f>IF(L243=0,"",O243/L243)</x:f>
        <x:v>0.2631578947368421</x:v>
      </x:c>
      <x:c r="T243" s="24" t="n">
        <x:v>-30</x:v>
      </x:c>
      <x:c r="U243" s="26" t="n">
        <x:v>0.09</x:v>
      </x:c>
      <x:c r="V243" s="24" t="n">
        <x:v>177</x:v>
      </x:c>
      <x:c r="W243"/>
      <x:c r="X243"/>
    </x:row>
    <x:row r="244">
      <x:c r="A244" s="1" t="n">
        <x:v>242</x:v>
      </x:c>
      <x:c r="B244" s="27" t="n">
        <x:v>45895</x:v>
      </x:c>
      <x:c r="C244" s="1" t="str">
        <x:v>Bind</x:v>
      </x:c>
      <x:c r="D244" s="1" t="str">
        <x:v>3rd</x:v>
      </x:c>
      <x:c r="E244" s="1" t="str">
        <x:v>Clove</x:v>
      </x:c>
      <x:c r="F244" s="1" t="str">
        <x:v>Controller</x:v>
      </x:c>
      <x:c r="G244" s="1" t="n">
        <x:v>13</x:v>
      </x:c>
      <x:c r="H244" s="1" t="n">
        <x:f t="shared" si="24"/>
        <x:v>3</x:v>
      </x:c>
      <x:c r="I244" s="1" t="str">
        <x:f t="shared" si="25">IF(G244&gt;H244,"Win",IF(G244&lt;H244,"Loss","Draw"))</x:f>
        <x:v>Win</x:v>
      </x:c>
      <x:c r="J244" s="1" t="n">
        <x:f t="shared" si="26">IF(I244="Win",1,IF(I244="Loss",0,""))</x:f>
        <x:v>1</x:v>
      </x:c>
      <x:c r="K244" s="1" t="n">
        <x:f t="shared" si="27">G244-H244</x:f>
        <x:v>10</x:v>
      </x:c>
      <x:c r="L244" s="1" t="n">
        <x:f>G244+H244</x:f>
        <x:v>16</x:v>
      </x:c>
      <x:c r="M244" s="1" t="n">
        <x:v>13</x:v>
      </x:c>
      <x:c r="N244" s="1" t="n">
        <x:v>8</x:v>
      </x:c>
      <x:c r="O244" s="3" t="n">
        <x:f t="shared" si="28"/>
        <x:v>4</x:v>
      </x:c>
      <x:c r="P244" s="22" t="n">
        <x:f t="shared" si="29">IF(N244=0,"",M244/N244)</x:f>
        <x:v>1.625</x:v>
      </x:c>
      <x:c r="Q244" s="22" t="n">
        <x:f t="shared" si="30">IF(L244=0,"",M244/L244)</x:f>
        <x:v>0.8125</x:v>
      </x:c>
      <x:c r="R244" s="22" t="n">
        <x:f t="shared" si="31">IF(L244=0,"",N244/L244)</x:f>
        <x:v>0.5</x:v>
      </x:c>
      <x:c r="S244" s="22" t="n">
        <x:f>IF(L244=0,"",O244/L244)</x:f>
        <x:v>0.25</x:v>
      </x:c>
      <x:c r="T244" s="24" t="n">
        <x:v>19</x:v>
      </x:c>
      <x:c r="U244" s="26" t="n">
        <x:v>0.05</x:v>
      </x:c>
      <x:c r="V244" s="24" t="n">
        <x:v>226</x:v>
      </x:c>
      <x:c r="W244"/>
      <x:c r="X244"/>
    </x:row>
    <x:row r="245">
      <x:c r="A245" s="1" t="n">
        <x:v>243</x:v>
      </x:c>
      <x:c r="B245" s="27" t="n">
        <x:v>45895</x:v>
      </x:c>
      <x:c r="C245" s="1" t="str">
        <x:v>Sunset</x:v>
      </x:c>
      <x:c r="D245" s="1" t="str">
        <x:v>6th</x:v>
      </x:c>
      <x:c r="E245" s="1" t="str">
        <x:v>Clove</x:v>
      </x:c>
      <x:c r="F245" s="1" t="str">
        <x:v>Controller</x:v>
      </x:c>
      <x:c r="G245" s="1" t="n">
        <x:v>12</x:v>
      </x:c>
      <x:c r="H245" s="1" t="n">
        <x:f t="shared" si="24"/>
        <x:v>14</x:v>
      </x:c>
      <x:c r="I245" s="1" t="str">
        <x:f t="shared" si="25">IF(G245&gt;H245,"Win",IF(G245&lt;H245,"Loss","Draw"))</x:f>
        <x:v>Loss</x:v>
      </x:c>
      <x:c r="J245" s="1" t="n">
        <x:f t="shared" si="26">IF(I245="Win",1,IF(I245="Loss",0,""))</x:f>
        <x:v>0</x:v>
      </x:c>
      <x:c r="K245" s="1" t="n">
        <x:f t="shared" si="27">G245-H245</x:f>
        <x:v>-2</x:v>
      </x:c>
      <x:c r="L245" s="1" t="n">
        <x:f>G245+H245</x:f>
        <x:v>26</x:v>
      </x:c>
      <x:c r="M245" s="1" t="n">
        <x:v>16</x:v>
      </x:c>
      <x:c r="N245" s="1" t="n">
        <x:v>23</x:v>
      </x:c>
      <x:c r="O245" s="3" t="n">
        <x:f t="shared" si="28"/>
        <x:v>7</x:v>
      </x:c>
      <x:c r="P245" s="22" t="n">
        <x:f t="shared" si="29">IF(N245=0,"",M245/N245)</x:f>
        <x:v>0.6956521739130435</x:v>
      </x:c>
      <x:c r="Q245" s="22" t="n">
        <x:f t="shared" si="30">IF(L245=0,"",M245/L245)</x:f>
        <x:v>0.6153846153846154</x:v>
      </x:c>
      <x:c r="R245" s="22" t="n">
        <x:f t="shared" si="31">IF(L245=0,"",N245/L245)</x:f>
        <x:v>0.8846153846153846</x:v>
      </x:c>
      <x:c r="S245" s="22" t="n">
        <x:f>IF(L245=0,"",O245/L245)</x:f>
        <x:v>0.2692307692307692</x:v>
      </x:c>
      <x:c r="T245" s="24" t="n">
        <x:v>-50</x:v>
      </x:c>
      <x:c r="U245" s="26" t="n">
        <x:v>0.05</x:v>
      </x:c>
      <x:c r="V245" s="24" t="n">
        <x:v>191</x:v>
      </x:c>
      <x:c r="W245"/>
      <x:c r="X245"/>
    </x:row>
    <x:row r="246">
      <x:c r="A246" s="1" t="n">
        <x:v>244</x:v>
      </x:c>
      <x:c r="B246" s="27" t="n">
        <x:v>45896</x:v>
      </x:c>
      <x:c r="C246" s="1" t="str">
        <x:v>Lotus</x:v>
      </x:c>
      <x:c r="D246" s="1" t="str">
        <x:v>10th</x:v>
      </x:c>
      <x:c r="E246" s="1" t="str">
        <x:v>Sage</x:v>
      </x:c>
      <x:c r="F246" s="1" t="str">
        <x:v>Sentinel</x:v>
      </x:c>
      <x:c r="G246" s="1" t="n">
        <x:v>7</x:v>
      </x:c>
      <x:c r="H246" s="1" t="n">
        <x:f t="shared" si="24"/>
        <x:v>13</x:v>
      </x:c>
      <x:c r="I246" s="1" t="str">
        <x:f t="shared" si="25">IF(G246&gt;H246,"Win",IF(G246&lt;H246,"Loss","Draw"))</x:f>
        <x:v>Loss</x:v>
      </x:c>
      <x:c r="J246" s="1" t="n">
        <x:f t="shared" si="26">IF(I246="Win",1,IF(I246="Loss",0,""))</x:f>
        <x:v>0</x:v>
      </x:c>
      <x:c r="K246" s="1" t="n">
        <x:f t="shared" si="27">G246-H246</x:f>
        <x:v>-6</x:v>
      </x:c>
      <x:c r="L246" s="1" t="n">
        <x:f>G246+H246</x:f>
        <x:v>20</x:v>
      </x:c>
      <x:c r="M246" s="1" t="n">
        <x:v>8</x:v>
      </x:c>
      <x:c r="N246" s="1" t="n">
        <x:v>15</x:v>
      </x:c>
      <x:c r="O246" s="3" t="n">
        <x:f t="shared" si="28"/>
        <x:v>4</x:v>
      </x:c>
      <x:c r="P246" s="22" t="n">
        <x:f t="shared" si="29">IF(N246=0,"",M246/N246)</x:f>
        <x:v>0.5333333333333333</x:v>
      </x:c>
      <x:c r="Q246" s="22" t="n">
        <x:f t="shared" si="30">IF(L246=0,"",M246/L246)</x:f>
        <x:v>0.4</x:v>
      </x:c>
      <x:c r="R246" s="22" t="n">
        <x:f t="shared" si="31">IF(L246=0,"",N246/L246)</x:f>
        <x:v>0.75</x:v>
      </x:c>
      <x:c r="S246" s="22" t="n">
        <x:f>IF(L246=0,"",O246/L246)</x:f>
        <x:v>0.2</x:v>
      </x:c>
      <x:c r="T246" s="24" t="n">
        <x:v>-50</x:v>
      </x:c>
      <x:c r="U246" s="26" t="n">
        <x:v>0.14</x:v>
      </x:c>
      <x:c r="V246" s="24" t="n">
        <x:v>121</x:v>
      </x:c>
      <x:c r="W246"/>
      <x:c r="X246"/>
    </x:row>
    <x:row r="247">
      <x:c r="A247" s="1" t="n">
        <x:v>245</x:v>
      </x:c>
      <x:c r="B247" s="27" t="n">
        <x:v>45896</x:v>
      </x:c>
      <x:c r="C247" s="1" t="str">
        <x:v>Sunset</x:v>
      </x:c>
      <x:c r="D247" s="1" t="str">
        <x:v>9th</x:v>
      </x:c>
      <x:c r="E247" s="1" t="str">
        <x:v>Clove</x:v>
      </x:c>
      <x:c r="F247" s="1" t="str">
        <x:v>Controller</x:v>
      </x:c>
      <x:c r="G247" s="1" t="n">
        <x:v>4</x:v>
      </x:c>
      <x:c r="H247" s="1" t="n">
        <x:f t="shared" si="24"/>
        <x:v>13</x:v>
      </x:c>
      <x:c r="I247" s="1" t="str">
        <x:f t="shared" si="25">IF(G247&gt;H247,"Win",IF(G247&lt;H247,"Loss","Draw"))</x:f>
        <x:v>Loss</x:v>
      </x:c>
      <x:c r="J247" s="1" t="n">
        <x:f t="shared" si="26">IF(I247="Win",1,IF(I247="Loss",0,""))</x:f>
        <x:v>0</x:v>
      </x:c>
      <x:c r="K247" s="1" t="n">
        <x:f t="shared" si="27">G247-H247</x:f>
        <x:v>-9</x:v>
      </x:c>
      <x:c r="L247" s="1" t="n">
        <x:f>G247+H247</x:f>
        <x:v>17</x:v>
      </x:c>
      <x:c r="M247" s="1" t="n">
        <x:v>6</x:v>
      </x:c>
      <x:c r="N247" s="1" t="n">
        <x:v>18</x:v>
      </x:c>
      <x:c r="O247" s="3" t="n">
        <x:f t="shared" si="28"/>
        <x:v>3</x:v>
      </x:c>
      <x:c r="P247" s="22" t="n">
        <x:f t="shared" si="29">IF(N247=0,"",M247/N247)</x:f>
        <x:v>0.3333333333333333</x:v>
      </x:c>
      <x:c r="Q247" s="22" t="n">
        <x:f t="shared" si="30">IF(L247=0,"",M247/L247)</x:f>
        <x:v>0.35294117647058826</x:v>
      </x:c>
      <x:c r="R247" s="22" t="n">
        <x:f t="shared" si="31">IF(L247=0,"",N247/L247)</x:f>
        <x:v>1.0588235294117647</x:v>
      </x:c>
      <x:c r="S247" s="22" t="n">
        <x:f>IF(L247=0,"",O247/L247)</x:f>
        <x:v>0.17647058823529413</x:v>
      </x:c>
      <x:c r="T247" s="24" t="n">
        <x:v>-105</x:v>
      </x:c>
      <x:c r="U247" s="26" t="n">
        <x:v>0.06</x:v>
      </x:c>
      <x:c r="V247" s="24" t="n">
        <x:v>113</x:v>
      </x:c>
      <x:c r="W247"/>
      <x:c r="X247"/>
    </x:row>
    <x:row r="248">
      <x:c r="A248" s="1" t="n">
        <x:v>246</x:v>
      </x:c>
      <x:c r="B248" s="27" t="n">
        <x:v>45897</x:v>
      </x:c>
      <x:c r="C248" s="1" t="str">
        <x:v>Haven</x:v>
      </x:c>
      <x:c r="D248" s="1" t="str">
        <x:v>8th</x:v>
      </x:c>
      <x:c r="E248" s="1" t="str">
        <x:v>Clove</x:v>
      </x:c>
      <x:c r="F248" s="1" t="str">
        <x:v>Controller</x:v>
      </x:c>
      <x:c r="G248" s="1" t="n">
        <x:v>13</x:v>
      </x:c>
      <x:c r="H248" s="1" t="n">
        <x:f t="shared" si="24"/>
        <x:v>0</x:v>
      </x:c>
      <x:c r="I248" s="1" t="str">
        <x:f t="shared" si="25">IF(G248&gt;H248,"Win",IF(G248&lt;H248,"Loss","Draw"))</x:f>
        <x:v>Win</x:v>
      </x:c>
      <x:c r="J248" s="1" t="n">
        <x:f t="shared" si="26">IF(I248="Win",1,IF(I248="Loss",0,""))</x:f>
        <x:v>1</x:v>
      </x:c>
      <x:c r="K248" s="1" t="n">
        <x:f t="shared" si="27">G248-H248</x:f>
        <x:v>13</x:v>
      </x:c>
      <x:c r="L248" s="1" t="n">
        <x:f>G248+H248</x:f>
        <x:v>13</x:v>
      </x:c>
      <x:c r="M248" s="1" t="n">
        <x:v>7</x:v>
      </x:c>
      <x:c r="N248" s="1" t="n">
        <x:v>6</x:v>
      </x:c>
      <x:c r="O248" s="3" t="n">
        <x:f t="shared" si="28"/>
        <x:v>3</x:v>
      </x:c>
      <x:c r="P248" s="22" t="n">
        <x:f t="shared" si="29">IF(N248=0,"",M248/N248)</x:f>
        <x:v>1.1666666666666667</x:v>
      </x:c>
      <x:c r="Q248" s="22" t="n">
        <x:f t="shared" si="30">IF(L248=0,"",M248/L248)</x:f>
        <x:v>0.5384615384615384</x:v>
      </x:c>
      <x:c r="R248" s="22" t="n">
        <x:f t="shared" si="31">IF(L248=0,"",N248/L248)</x:f>
        <x:v>0.46153846153846156</x:v>
      </x:c>
      <x:c r="S248" s="22" t="n">
        <x:f>IF(L248=0,"",O248/L248)</x:f>
        <x:v>0.23076923076923078</x:v>
      </x:c>
      <x:c r="T248" s="24" t="n">
        <x:v>-18</x:v>
      </x:c>
      <x:c r="U248" s="26" t="n">
        <x:v>0.12</x:v>
      </x:c>
      <x:c r="V248" s="24" t="n">
        <x:v>117</x:v>
      </x:c>
      <x:c r="W248"/>
      <x:c r="X248"/>
    </x:row>
    <x:row r="249">
      <x:c r="A249" s="1" t="n">
        <x:v>247</x:v>
      </x:c>
      <x:c r="B249" s="27" t="n">
        <x:v>45898</x:v>
      </x:c>
      <x:c r="C249" s="1" t="str">
        <x:v>Bind</x:v>
      </x:c>
      <x:c r="D249" s="1" t="str">
        <x:v>3rd</x:v>
      </x:c>
      <x:c r="E249" s="1" t="str">
        <x:v>Clove</x:v>
      </x:c>
      <x:c r="F249" s="1" t="str">
        <x:v>Controller</x:v>
      </x:c>
      <x:c r="G249" s="1" t="n">
        <x:v>2</x:v>
      </x:c>
      <x:c r="H249" s="1" t="n">
        <x:f t="shared" si="24"/>
        <x:v>13</x:v>
      </x:c>
      <x:c r="I249" s="1" t="str">
        <x:f t="shared" si="25">IF(G249&gt;H249,"Win",IF(G249&lt;H249,"Loss","Draw"))</x:f>
        <x:v>Loss</x:v>
      </x:c>
      <x:c r="J249" s="1" t="n">
        <x:f t="shared" si="26">IF(I249="Win",1,IF(I249="Loss",0,""))</x:f>
        <x:v>0</x:v>
      </x:c>
      <x:c r="K249" s="1" t="n">
        <x:f t="shared" si="27">G249-H249</x:f>
        <x:v>-11</x:v>
      </x:c>
      <x:c r="L249" s="1" t="n">
        <x:f>G249+H249</x:f>
        <x:v>15</x:v>
      </x:c>
      <x:c r="M249" s="1" t="n">
        <x:v>14</x:v>
      </x:c>
      <x:c r="N249" s="1" t="n">
        <x:v>16</x:v>
      </x:c>
      <x:c r="O249" s="3" t="n">
        <x:f t="shared" si="28"/>
        <x:v>3</x:v>
      </x:c>
      <x:c r="P249" s="22" t="n">
        <x:f t="shared" si="29">IF(N249=0,"",M249/N249)</x:f>
        <x:v>0.875</x:v>
      </x:c>
      <x:c r="Q249" s="22" t="n">
        <x:f t="shared" si="30">IF(L249=0,"",M249/L249)</x:f>
        <x:v>0.9333333333333333</x:v>
      </x:c>
      <x:c r="R249" s="22" t="n">
        <x:f t="shared" si="31">IF(L249=0,"",N249/L249)</x:f>
        <x:v>1.0666666666666667</x:v>
      </x:c>
      <x:c r="S249" s="22" t="n">
        <x:f>IF(L249=0,"",O249/L249)</x:f>
        <x:v>0.2</x:v>
      </x:c>
      <x:c r="T249" s="24" t="n">
        <x:v>-19</x:v>
      </x:c>
      <x:c r="U249" s="26" t="n">
        <x:v>0.06</x:v>
      </x:c>
      <x:c r="V249" s="24" t="n">
        <x:v>293</x:v>
      </x:c>
      <x:c r="W249"/>
      <x:c r="X249"/>
    </x:row>
    <x:row r="250">
      <x:c r="A250" s="1" t="n">
        <x:v>248</x:v>
      </x:c>
      <x:c r="B250" s="27" t="n">
        <x:v>45898</x:v>
      </x:c>
      <x:c r="C250" s="1" t="str">
        <x:v>Bind</x:v>
      </x:c>
      <x:c r="D250" s="1" t="str">
        <x:v>8th</x:v>
      </x:c>
      <x:c r="E250" s="1" t="str">
        <x:v>Clove</x:v>
      </x:c>
      <x:c r="F250" s="1" t="str">
        <x:v>Controller</x:v>
      </x:c>
      <x:c r="G250" s="1" t="n">
        <x:v>7</x:v>
      </x:c>
      <x:c r="H250" s="1" t="n">
        <x:f t="shared" si="24"/>
        <x:v>13</x:v>
      </x:c>
      <x:c r="I250" s="1" t="str">
        <x:f t="shared" si="25">IF(G250&gt;H250,"Win",IF(G250&lt;H250,"Loss","Draw"))</x:f>
        <x:v>Loss</x:v>
      </x:c>
      <x:c r="J250" s="1" t="n">
        <x:f t="shared" si="26">IF(I250="Win",1,IF(I250="Loss",0,""))</x:f>
        <x:v>0</x:v>
      </x:c>
      <x:c r="K250" s="1" t="n">
        <x:f t="shared" si="27">G250-H250</x:f>
        <x:v>-6</x:v>
      </x:c>
      <x:c r="L250" s="1" t="n">
        <x:f>G250+H250</x:f>
        <x:v>20</x:v>
      </x:c>
      <x:c r="M250" s="1" t="n">
        <x:v>9</x:v>
      </x:c>
      <x:c r="N250" s="1" t="n">
        <x:v>20</x:v>
      </x:c>
      <x:c r="O250" s="3" t="n">
        <x:f t="shared" si="28"/>
        <x:v>6</x:v>
      </x:c>
      <x:c r="P250" s="22" t="n">
        <x:f t="shared" si="29">IF(N250=0,"",M250/N250)</x:f>
        <x:v>0.45</x:v>
      </x:c>
      <x:c r="Q250" s="22" t="n">
        <x:f t="shared" si="30">IF(L250=0,"",M250/L250)</x:f>
        <x:v>0.45</x:v>
      </x:c>
      <x:c r="R250" s="22" t="n">
        <x:f t="shared" si="31">IF(L250=0,"",N250/L250)</x:f>
        <x:v>1</x:v>
      </x:c>
      <x:c r="S250" s="22" t="n">
        <x:f>IF(L250=0,"",O250/L250)</x:f>
        <x:v>0.3</x:v>
      </x:c>
      <x:c r="T250" s="24" t="n">
        <x:v>-90</x:v>
      </x:c>
      <x:c r="U250" s="26" t="n">
        <x:v>0.05</x:v>
      </x:c>
      <x:c r="V250" s="24" t="n">
        <x:v>145</x:v>
      </x:c>
      <x:c r="W250"/>
      <x:c r="X250"/>
    </x:row>
    <x:row r="251">
      <x:c r="A251" s="1" t="n">
        <x:v>249</x:v>
      </x:c>
      <x:c r="B251" s="27" t="n">
        <x:v>45899</x:v>
      </x:c>
      <x:c r="C251" s="1" t="str">
        <x:v>Sunset</x:v>
      </x:c>
      <x:c r="D251" s="1" t="str">
        <x:v>5th</x:v>
      </x:c>
      <x:c r="E251" s="1" t="str">
        <x:v>Clove</x:v>
      </x:c>
      <x:c r="F251" s="1" t="str">
        <x:v>Controller</x:v>
      </x:c>
      <x:c r="G251" s="1" t="n">
        <x:v>10</x:v>
      </x:c>
      <x:c r="H251" s="1" t="n">
        <x:f t="shared" si="24"/>
        <x:v>13</x:v>
      </x:c>
      <x:c r="I251" s="1" t="str">
        <x:f t="shared" si="25">IF(G251&gt;H251,"Win",IF(G251&lt;H251,"Loss","Draw"))</x:f>
        <x:v>Loss</x:v>
      </x:c>
      <x:c r="J251" s="1" t="n">
        <x:f t="shared" si="26">IF(I251="Win",1,IF(I251="Loss",0,""))</x:f>
        <x:v>0</x:v>
      </x:c>
      <x:c r="K251" s="1" t="n">
        <x:f t="shared" si="27">G251-H251</x:f>
        <x:v>-3</x:v>
      </x:c>
      <x:c r="L251" s="1" t="n">
        <x:f>G251+H251</x:f>
        <x:v>23</x:v>
      </x:c>
      <x:c r="M251" s="1" t="n">
        <x:v>20</x:v>
      </x:c>
      <x:c r="N251" s="1" t="n">
        <x:v>16</x:v>
      </x:c>
      <x:c r="O251" s="3" t="n">
        <x:f t="shared" si="28"/>
        <x:v>4</x:v>
      </x:c>
      <x:c r="P251" s="22" t="n">
        <x:f t="shared" si="29">IF(N251=0,"",M251/N251)</x:f>
        <x:v>1.25</x:v>
      </x:c>
      <x:c r="Q251" s="22" t="n">
        <x:f t="shared" si="30">IF(L251=0,"",M251/L251)</x:f>
        <x:v>0.8695652173913043</x:v>
      </x:c>
      <x:c r="R251" s="22" t="n">
        <x:f t="shared" si="31">IF(L251=0,"",N251/L251)</x:f>
        <x:v>0.6956521739130435</x:v>
      </x:c>
      <x:c r="S251" s="22" t="n">
        <x:f>IF(L251=0,"",O251/L251)</x:f>
        <x:v>0.17391304347826086</x:v>
      </x:c>
      <x:c r="T251" s="24" t="n">
        <x:v>12</x:v>
      </x:c>
      <x:c r="U251" s="26" t="n">
        <x:v>0.11</x:v>
      </x:c>
      <x:c r="V251" s="24" t="n">
        <x:v>224</x:v>
      </x:c>
      <x:c r="W251"/>
      <x:c r="X251"/>
    </x:row>
    <x:row r="252">
      <x:c r="A252" s="1" t="n">
        <x:v>250</x:v>
      </x:c>
      <x:c r="B252" s="27" t="n">
        <x:v>45899</x:v>
      </x:c>
      <x:c r="C252" s="1" t="str">
        <x:v>Abyss</x:v>
      </x:c>
      <x:c r="D252" s="1" t="str">
        <x:v>9th</x:v>
      </x:c>
      <x:c r="E252" s="1" t="str">
        <x:v>Deadlock</x:v>
      </x:c>
      <x:c r="F252" s="1" t="str">
        <x:v>Sentinel</x:v>
      </x:c>
      <x:c r="G252" s="1" t="n">
        <x:v>7</x:v>
      </x:c>
      <x:c r="H252" s="1" t="n">
        <x:f t="shared" si="24"/>
        <x:v>13</x:v>
      </x:c>
      <x:c r="I252" s="1" t="str">
        <x:f t="shared" si="25">IF(G252&gt;H252,"Win",IF(G252&lt;H252,"Loss","Draw"))</x:f>
        <x:v>Loss</x:v>
      </x:c>
      <x:c r="J252" s="1" t="n">
        <x:f t="shared" si="26">IF(I252="Win",1,IF(I252="Loss",0,""))</x:f>
        <x:v>0</x:v>
      </x:c>
      <x:c r="K252" s="1" t="n">
        <x:f t="shared" si="27">G252-H252</x:f>
        <x:v>-6</x:v>
      </x:c>
      <x:c r="L252" s="1" t="n">
        <x:f>G252+H252</x:f>
        <x:v>20</x:v>
      </x:c>
      <x:c r="M252" s="1" t="n">
        <x:v>8</x:v>
      </x:c>
      <x:c r="N252" s="1" t="n">
        <x:v>14</x:v>
      </x:c>
      <x:c r="O252" s="3" t="n">
        <x:f t="shared" si="28"/>
        <x:v>4</x:v>
      </x:c>
      <x:c r="P252" s="22" t="n">
        <x:f t="shared" si="29">IF(N252=0,"",M252/N252)</x:f>
        <x:v>0.5714285714285714</x:v>
      </x:c>
      <x:c r="Q252" s="22" t="n">
        <x:f t="shared" si="30">IF(L252=0,"",M252/L252)</x:f>
        <x:v>0.4</x:v>
      </x:c>
      <x:c r="R252" s="22" t="n">
        <x:f t="shared" si="31">IF(L252=0,"",N252/L252)</x:f>
        <x:v>0.7</x:v>
      </x:c>
      <x:c r="S252" s="22" t="n">
        <x:f>IF(L252=0,"",O252/L252)</x:f>
        <x:v>0.2</x:v>
      </x:c>
      <x:c r="T252" s="24" t="n">
        <x:v>-37</x:v>
      </x:c>
      <x:c r="U252" s="26" t="n">
        <x:v>0.05</x:v>
      </x:c>
      <x:c r="V252" s="24" t="n">
        <x:v>124</x:v>
      </x:c>
      <x:c r="W252"/>
      <x:c r="X252"/>
    </x:row>
    <x:row r="253">
      <x:c r="A253" s="1" t="n">
        <x:v>251</x:v>
      </x:c>
      <x:c r="B253" s="27" t="n">
        <x:v>46242</x:v>
      </x:c>
      <x:c r="C253" s="1" t="str">
        <x:v>Sunset</x:v>
      </x:c>
      <x:c r="D253" s="1" t="str">
        <x:v>3rd</x:v>
      </x:c>
      <x:c r="E253" s="1" t="str">
        <x:v>Sage</x:v>
      </x:c>
      <x:c r="F253" s="1" t="str">
        <x:v>Sentinel</x:v>
      </x:c>
      <x:c r="G253" s="1" t="n">
        <x:v>13</x:v>
      </x:c>
      <x:c r="H253" s="1" t="n">
        <x:f t="shared" si="24"/>
        <x:v>9</x:v>
      </x:c>
      <x:c r="I253" s="1" t="str">
        <x:f t="shared" si="25">IF(G253&gt;H253,"Win",IF(G253&lt;H253,"Loss","Draw"))</x:f>
        <x:v>Win</x:v>
      </x:c>
      <x:c r="J253" s="1" t="n">
        <x:f t="shared" si="26">IF(I253="Win",1,IF(I253="Loss",0,""))</x:f>
        <x:v>1</x:v>
      </x:c>
      <x:c r="K253" s="1" t="n">
        <x:f t="shared" si="27">G253-H253</x:f>
        <x:v>4</x:v>
      </x:c>
      <x:c r="L253" s="1" t="n">
        <x:f>G253+H253</x:f>
        <x:v>22</x:v>
      </x:c>
      <x:c r="M253" s="1" t="n">
        <x:v>21</x:v>
      </x:c>
      <x:c r="N253" s="1" t="n">
        <x:v>8</x:v>
      </x:c>
      <x:c r="O253" s="3" t="n">
        <x:f t="shared" si="28"/>
        <x:v>4</x:v>
      </x:c>
      <x:c r="P253" s="22" t="n">
        <x:f t="shared" si="29">IF(N253=0,"",M253/N253)</x:f>
        <x:v>2.625</x:v>
      </x:c>
      <x:c r="Q253" s="22" t="n">
        <x:f t="shared" si="30">IF(L253=0,"",M253/L253)</x:f>
        <x:v>0.9545454545454546</x:v>
      </x:c>
      <x:c r="R253" s="22" t="n">
        <x:f t="shared" si="31">IF(L253=0,"",N253/L253)</x:f>
        <x:v>0.36363636363636365</x:v>
      </x:c>
      <x:c r="S253" s="22" t="n">
        <x:f>IF(L253=0,"",O253/L253)</x:f>
        <x:v>0.18181818181818182</x:v>
      </x:c>
      <x:c r="T253" s="24" t="n">
        <x:v>44</x:v>
      </x:c>
      <x:c r="U253" s="26" t="n">
        <x:v>0.08</x:v>
      </x:c>
      <x:c r="V253" s="24" t="n">
        <x:v>248</x:v>
      </x:c>
      <x:c r="W253"/>
      <x:c r="X253"/>
    </x:row>
    <x:row r="254">
      <x:c r="A254" s="1" t="n">
        <x:v>252</x:v>
      </x:c>
      <x:c r="B254" s="27" t="n">
        <x:v>46242</x:v>
      </x:c>
      <x:c r="C254" s="1" t="str">
        <x:v>Haven</x:v>
      </x:c>
      <x:c r="D254" s="1" t="str">
        <x:v>MVP</x:v>
      </x:c>
      <x:c r="E254" s="1" t="str">
        <x:v>Clove</x:v>
      </x:c>
      <x:c r="F254" s="1" t="str">
        <x:v>Controller</x:v>
      </x:c>
      <x:c r="G254" s="1" t="n">
        <x:v>13</x:v>
      </x:c>
      <x:c r="H254" s="1" t="n">
        <x:f t="shared" si="24"/>
        <x:v>4</x:v>
      </x:c>
      <x:c r="I254" s="1" t="str">
        <x:f t="shared" si="25">IF(G254&gt;H254,"Win",IF(G254&lt;H254,"Loss","Draw"))</x:f>
        <x:v>Win</x:v>
      </x:c>
      <x:c r="J254" s="1" t="n">
        <x:f t="shared" si="26">IF(I254="Win",1,IF(I254="Loss",0,""))</x:f>
        <x:v>1</x:v>
      </x:c>
      <x:c r="K254" s="1" t="n">
        <x:f t="shared" si="27">G254-H254</x:f>
        <x:v>9</x:v>
      </x:c>
      <x:c r="L254" s="1" t="n">
        <x:f>G254+H254</x:f>
        <x:v>17</x:v>
      </x:c>
      <x:c r="M254" s="1" t="n">
        <x:v>19</x:v>
      </x:c>
      <x:c r="N254" s="1" t="n">
        <x:v>8</x:v>
      </x:c>
      <x:c r="O254" s="3" t="n">
        <x:f t="shared" si="28"/>
        <x:v>6</x:v>
      </x:c>
      <x:c r="P254" s="22" t="n">
        <x:f t="shared" si="29">IF(N254=0,"",M254/N254)</x:f>
        <x:v>2.375</x:v>
      </x:c>
      <x:c r="Q254" s="22" t="n">
        <x:f t="shared" si="30">IF(L254=0,"",M254/L254)</x:f>
        <x:v>1.1176470588235294</x:v>
      </x:c>
      <x:c r="R254" s="22" t="n">
        <x:f t="shared" si="31">IF(L254=0,"",N254/L254)</x:f>
        <x:v>0.47058823529411764</x:v>
      </x:c>
      <x:c r="S254" s="22" t="n">
        <x:f>IF(L254=0,"",O254/L254)</x:f>
        <x:v>0.35294117647058826</x:v>
      </x:c>
      <x:c r="T254" s="24" t="n">
        <x:v>90</x:v>
      </x:c>
      <x:c r="U254" s="26" t="n">
        <x:v>0.11</x:v>
      </x:c>
      <x:c r="V254" s="24" t="n">
        <x:v>314</x:v>
      </x:c>
      <x:c r="W254"/>
      <x:c r="X254"/>
    </x:row>
    <x:row r="255">
      <x:c r="A255" s="1" t="n">
        <x:v>253</x:v>
      </x:c>
      <x:c r="B255" s="27" t="n">
        <x:v>46242</x:v>
      </x:c>
      <x:c r="C255" s="1" t="str">
        <x:v>Breeze</x:v>
      </x:c>
      <x:c r="D255" s="1" t="str">
        <x:v>4th</x:v>
      </x:c>
      <x:c r="E255" s="1" t="str">
        <x:v>Sage</x:v>
      </x:c>
      <x:c r="F255" s="1" t="str">
        <x:v>Sentinel</x:v>
      </x:c>
      <x:c r="G255" s="1" t="n">
        <x:v>7</x:v>
      </x:c>
      <x:c r="H255" s="1" t="n">
        <x:f t="shared" si="24"/>
        <x:v>13</x:v>
      </x:c>
      <x:c r="I255" s="1" t="str">
        <x:f t="shared" si="25">IF(G255&gt;H255,"Win",IF(G255&lt;H255,"Loss","Draw"))</x:f>
        <x:v>Loss</x:v>
      </x:c>
      <x:c r="J255" s="1" t="n">
        <x:f t="shared" si="26">IF(I255="Win",1,IF(I255="Loss",0,""))</x:f>
        <x:v>0</x:v>
      </x:c>
      <x:c r="K255" s="1" t="n">
        <x:f t="shared" si="27">G255-H255</x:f>
        <x:v>-6</x:v>
      </x:c>
      <x:c r="L255" s="1" t="n">
        <x:f>G255+H255</x:f>
        <x:v>20</x:v>
      </x:c>
      <x:c r="M255" s="1" t="n">
        <x:v>19</x:v>
      </x:c>
      <x:c r="N255" s="1" t="n">
        <x:v>15</x:v>
      </x:c>
      <x:c r="O255" s="3" t="n">
        <x:f t="shared" si="28"/>
        <x:v>8</x:v>
      </x:c>
      <x:c r="P255" s="22" t="n">
        <x:f t="shared" si="29">IF(N255=0,"",M255/N255)</x:f>
        <x:v>1.2666666666666666</x:v>
      </x:c>
      <x:c r="Q255" s="22" t="n">
        <x:f t="shared" si="30">IF(L255=0,"",M255/L255)</x:f>
        <x:v>0.95</x:v>
      </x:c>
      <x:c r="R255" s="22" t="n">
        <x:f t="shared" si="31">IF(L255=0,"",N255/L255)</x:f>
        <x:v>0.75</x:v>
      </x:c>
      <x:c r="S255" s="22" t="n">
        <x:f>IF(L255=0,"",O255/L255)</x:f>
        <x:v>0.4</x:v>
      </x:c>
      <x:c r="T255" s="24" t="n">
        <x:v>19</x:v>
      </x:c>
      <x:c r="U255" s="26" t="n">
        <x:v>0.12</x:v>
      </x:c>
      <x:c r="V255" s="24" t="n">
        <x:v>273</x:v>
      </x:c>
      <x:c r="W255"/>
      <x:c r="X255"/>
    </x:row>
    <x:row r="256">
      <x:c r="A256" s="1" t="n">
        <x:v>254</x:v>
      </x:c>
      <x:c r="B256" s="27" t="n">
        <x:v>46243</x:v>
      </x:c>
      <x:c r="C256" s="1" t="str">
        <x:v>Haven</x:v>
      </x:c>
      <x:c r="D256" s="1" t="str">
        <x:v>9th</x:v>
      </x:c>
      <x:c r="E256" s="1" t="str">
        <x:v>Sage</x:v>
      </x:c>
      <x:c r="F256" s="1" t="str">
        <x:v>Sentinel</x:v>
      </x:c>
      <x:c r="G256" s="1" t="n">
        <x:v>4</x:v>
      </x:c>
      <x:c r="H256" s="1" t="n">
        <x:f t="shared" si="24"/>
        <x:v>11</x:v>
      </x:c>
      <x:c r="I256" s="1" t="str">
        <x:f t="shared" si="25">IF(G256&gt;H256,"Win",IF(G256&lt;H256,"Loss","Draw"))</x:f>
        <x:v>Loss</x:v>
      </x:c>
      <x:c r="J256" s="1" t="n">
        <x:f t="shared" si="26">IF(I256="Win",1,IF(I256="Loss",0,""))</x:f>
        <x:v>0</x:v>
      </x:c>
      <x:c r="K256" s="1" t="n">
        <x:f t="shared" si="27">G256-H256</x:f>
        <x:v>-7</x:v>
      </x:c>
      <x:c r="L256" s="1" t="n">
        <x:f>G256+H256</x:f>
        <x:v>15</x:v>
      </x:c>
      <x:c r="M256" s="1" t="n">
        <x:v>7</x:v>
      </x:c>
      <x:c r="N256" s="1" t="n">
        <x:v>12</x:v>
      </x:c>
      <x:c r="O256" s="3" t="n">
        <x:f t="shared" si="28"/>
        <x:v>3</x:v>
      </x:c>
      <x:c r="P256" s="22" t="n">
        <x:f t="shared" si="29">IF(N256=0,"",M256/N256)</x:f>
        <x:v>0.5833333333333334</x:v>
      </x:c>
      <x:c r="Q256" s="22" t="n">
        <x:f t="shared" si="30">IF(L256=0,"",M256/L256)</x:f>
        <x:v>0.4666666666666667</x:v>
      </x:c>
      <x:c r="R256" s="22" t="n">
        <x:f t="shared" si="31">IF(L256=0,"",N256/L256)</x:f>
        <x:v>0.8</x:v>
      </x:c>
      <x:c r="S256" s="22" t="n">
        <x:f>IF(L256=0,"",O256/L256)</x:f>
        <x:v>0.2</x:v>
      </x:c>
      <x:c r="T256" s="24" t="n">
        <x:v>-74</x:v>
      </x:c>
      <x:c r="U256" s="26" t="n">
        <x:v>0.06</x:v>
      </x:c>
      <x:c r="V256" s="24" t="n">
        <x:v>125</x:v>
      </x:c>
      <x:c r="W256"/>
      <x:c r="X256"/>
    </x:row>
    <x:row r="257">
      <x:c r="A257" s="1" t="n">
        <x:v>255</x:v>
      </x:c>
      <x:c r="B257" s="27" t="n">
        <x:v>46244</x:v>
      </x:c>
      <x:c r="C257" s="1" t="str">
        <x:v>Split</x:v>
      </x:c>
      <x:c r="D257" s="1" t="str">
        <x:v>4th</x:v>
      </x:c>
      <x:c r="E257" s="1" t="str">
        <x:v>Sage</x:v>
      </x:c>
      <x:c r="F257" s="1" t="str">
        <x:v>Sentinel</x:v>
      </x:c>
      <x:c r="G257" s="1" t="n">
        <x:v>13</x:v>
      </x:c>
      <x:c r="H257" s="1" t="n">
        <x:f t="shared" si="24"/>
        <x:v>5</x:v>
      </x:c>
      <x:c r="I257" s="1" t="str">
        <x:f t="shared" si="25">IF(G257&gt;H257,"Win",IF(G257&lt;H257,"Loss","Draw"))</x:f>
        <x:v>Win</x:v>
      </x:c>
      <x:c r="J257" s="1" t="n">
        <x:f t="shared" si="26">IF(I257="Win",1,IF(I257="Loss",0,""))</x:f>
        <x:v>1</x:v>
      </x:c>
      <x:c r="K257" s="1" t="n">
        <x:f t="shared" si="27">G257-H257</x:f>
        <x:v>8</x:v>
      </x:c>
      <x:c r="L257" s="1" t="n">
        <x:f>G257+H257</x:f>
        <x:v>18</x:v>
      </x:c>
      <x:c r="M257" s="1" t="n">
        <x:v>15</x:v>
      </x:c>
      <x:c r="N257" s="1" t="n">
        <x:v>9</x:v>
      </x:c>
      <x:c r="O257" s="3" t="n">
        <x:f t="shared" si="28"/>
        <x:v>7</x:v>
      </x:c>
      <x:c r="P257" s="22" t="n">
        <x:f t="shared" si="29">IF(N257=0,"",M257/N257)</x:f>
        <x:v>1.6666666666666667</x:v>
      </x:c>
      <x:c r="Q257" s="22" t="n">
        <x:f t="shared" si="30">IF(L257=0,"",M257/L257)</x:f>
        <x:v>0.8333333333333334</x:v>
      </x:c>
      <x:c r="R257" s="22" t="n">
        <x:f t="shared" si="31">IF(L257=0,"",N257/L257)</x:f>
        <x:v>0.5</x:v>
      </x:c>
      <x:c r="S257" s="22" t="n">
        <x:f>IF(L257=0,"",O257/L257)</x:f>
        <x:v>0.3888888888888889</x:v>
      </x:c>
      <x:c r="T257" s="24" t="n">
        <x:v>36</x:v>
      </x:c>
      <x:c r="U257" s="26" t="n">
        <x:v>0.06</x:v>
      </x:c>
      <x:c r="V257" s="24" t="n">
        <x:v>230</x:v>
      </x:c>
      <x:c r="W257"/>
      <x:c r="X257"/>
    </x:row>
    <x:row r="258">
      <x:c r="A258" s="1" t="n">
        <x:v>256</x:v>
      </x:c>
      <x:c r="B258" s="27" t="n">
        <x:v>46245</x:v>
      </x:c>
      <x:c r="C258" s="1" t="str">
        <x:v>Ascent</x:v>
      </x:c>
      <x:c r="D258" s="1" t="str">
        <x:v>3rd</x:v>
      </x:c>
      <x:c r="E258" s="1" t="str">
        <x:v>Clove</x:v>
      </x:c>
      <x:c r="F258" s="1" t="str">
        <x:v>Controller</x:v>
      </x:c>
      <x:c r="G258" s="1" t="n">
        <x:v>13</x:v>
      </x:c>
      <x:c r="H258" s="1" t="n">
        <x:f t="shared" si="24"/>
        <x:v>2</x:v>
      </x:c>
      <x:c r="I258" s="1" t="str">
        <x:f t="shared" si="25">IF(G258&gt;H258,"Win",IF(G258&lt;H258,"Loss","Draw"))</x:f>
        <x:v>Win</x:v>
      </x:c>
      <x:c r="J258" s="1" t="n">
        <x:f t="shared" si="26">IF(I258="Win",1,IF(I258="Loss",0,""))</x:f>
        <x:v>1</x:v>
      </x:c>
      <x:c r="K258" s="1" t="n">
        <x:f t="shared" si="27">G258-H258</x:f>
        <x:v>11</x:v>
      </x:c>
      <x:c r="L258" s="1" t="n">
        <x:f>G258+H258</x:f>
        <x:v>15</x:v>
      </x:c>
      <x:c r="M258" s="1" t="n">
        <x:v>16</x:v>
      </x:c>
      <x:c r="N258" s="1" t="n">
        <x:v>5</x:v>
      </x:c>
      <x:c r="O258" s="3" t="n">
        <x:f t="shared" si="28"/>
        <x:v>5</x:v>
      </x:c>
      <x:c r="P258" s="22" t="n">
        <x:f t="shared" si="29">IF(N258=0,"",M258/N258)</x:f>
        <x:v>3.2</x:v>
      </x:c>
      <x:c r="Q258" s="22" t="n">
        <x:f t="shared" si="30">IF(L258=0,"",M258/L258)</x:f>
        <x:v>1.0666666666666667</x:v>
      </x:c>
      <x:c r="R258" s="22" t="n">
        <x:f t="shared" si="31">IF(L258=0,"",N258/L258)</x:f>
        <x:v>0.3333333333333333</x:v>
      </x:c>
      <x:c r="S258" s="22" t="n">
        <x:f>IF(L258=0,"",O258/L258)</x:f>
        <x:v>0.3333333333333333</x:v>
      </x:c>
      <x:c r="T258" s="24" t="n">
        <x:v>73</x:v>
      </x:c>
      <x:c r="U258" s="26" t="n">
        <x:v>0.07</x:v>
      </x:c>
      <x:c r="V258" s="24" t="n">
        <x:v>277</x:v>
      </x:c>
      <x:c r="W258"/>
      <x:c r="X258"/>
    </x:row>
    <x:row r="259">
      <x:c r="A259" s="1" t="n">
        <x:v>257</x:v>
      </x:c>
      <x:c r="B259" s="27" t="n">
        <x:v>46245</x:v>
      </x:c>
      <x:c r="C259" s="1" t="str">
        <x:v>Ascent</x:v>
      </x:c>
      <x:c r="D259" s="1" t="str">
        <x:v>6th</x:v>
      </x:c>
      <x:c r="E259" s="1" t="str">
        <x:v>Clove</x:v>
      </x:c>
      <x:c r="F259" s="1" t="str">
        <x:v>Controller</x:v>
      </x:c>
      <x:c r="G259" s="1" t="n">
        <x:v>13</x:v>
      </x:c>
      <x:c r="H259" s="1" t="n">
        <x:f t="shared" ref="H259:H306" si="32">IF(F259&gt;G259,"Win",IF(F259&lt;G259,"Loss","Draw"))</x:f>
        <x:v>8</x:v>
      </x:c>
      <x:c r="I259" s="1" t="str">
        <x:f t="shared" ref="I259:I306" si="33">IF(G259&gt;H259,"Win",IF(G259&lt;H259,"Loss","Draw"))</x:f>
        <x:v>Win</x:v>
      </x:c>
      <x:c r="J259" s="1" t="n">
        <x:f t="shared" ref="J259:J306" si="34">IF(I259="Win",1,IF(I259="Loss",0,""))</x:f>
        <x:v>1</x:v>
      </x:c>
      <x:c r="K259" s="1" t="n">
        <x:f t="shared" ref="K259:K306" si="35">G259-H259</x:f>
        <x:v>5</x:v>
      </x:c>
      <x:c r="L259" s="1" t="n">
        <x:f>G259+H259</x:f>
        <x:v>21</x:v>
      </x:c>
      <x:c r="M259" s="1" t="n">
        <x:v>17</x:v>
      </x:c>
      <x:c r="N259" s="1" t="n">
        <x:v>17</x:v>
      </x:c>
      <x:c r="O259" s="3" t="n">
        <x:f t="shared" ref="O259:O306" si="36">IF(M259=0,"",L259/M259)</x:f>
        <x:v>9</x:v>
      </x:c>
      <x:c r="P259" s="22" t="n">
        <x:f t="shared" ref="P259:P306" si="37">IF(N259=0,"",M259/N259)</x:f>
        <x:v>1</x:v>
      </x:c>
      <x:c r="Q259" s="22" t="n">
        <x:f t="shared" ref="Q259:Q306" si="38">IF(L259=0,"",M259/L259)</x:f>
        <x:v>0.8095238095238095</x:v>
      </x:c>
      <x:c r="R259" s="22" t="n">
        <x:f t="shared" ref="R259:R306" si="39">IF(L259=0,"",N259/L259)</x:f>
        <x:v>0.8095238095238095</x:v>
      </x:c>
      <x:c r="S259" s="22" t="n">
        <x:f>IF(L259=0,"",O259/L259)</x:f>
        <x:v>0.42857142857142855</x:v>
      </x:c>
      <x:c r="T259" s="24" t="n">
        <x:v>-8</x:v>
      </x:c>
      <x:c r="U259" s="26" t="n">
        <x:v>0.06</x:v>
      </x:c>
      <x:c r="V259" s="24" t="n">
        <x:v>213</x:v>
      </x:c>
      <x:c r="W259"/>
      <x:c r="X259"/>
    </x:row>
    <x:row r="260">
      <x:c r="A260" s="1" t="n">
        <x:v>258</x:v>
      </x:c>
      <x:c r="B260" s="27" t="n">
        <x:v>46246</x:v>
      </x:c>
      <x:c r="C260" s="1" t="str">
        <x:v>Haven</x:v>
      </x:c>
      <x:c r="D260" s="1" t="str">
        <x:v>5th</x:v>
      </x:c>
      <x:c r="E260" s="1" t="str">
        <x:v>Clove</x:v>
      </x:c>
      <x:c r="F260" s="1" t="str">
        <x:v>Controller</x:v>
      </x:c>
      <x:c r="G260" s="1" t="n">
        <x:v>13</x:v>
      </x:c>
      <x:c r="H260" s="1" t="n">
        <x:f t="shared" si="32"/>
        <x:v>5</x:v>
      </x:c>
      <x:c r="I260" s="1" t="str">
        <x:f t="shared" si="33">IF(G260&gt;H260,"Win",IF(G260&lt;H260,"Loss","Draw"))</x:f>
        <x:v>Win</x:v>
      </x:c>
      <x:c r="J260" s="1" t="n">
        <x:f t="shared" si="34">IF(I260="Win",1,IF(I260="Loss",0,""))</x:f>
        <x:v>1</x:v>
      </x:c>
      <x:c r="K260" s="1" t="n">
        <x:f t="shared" si="35">G260-H260</x:f>
        <x:v>8</x:v>
      </x:c>
      <x:c r="L260" s="1" t="n">
        <x:f>G260+H260</x:f>
        <x:v>18</x:v>
      </x:c>
      <x:c r="M260" s="1" t="n">
        <x:v>11</x:v>
      </x:c>
      <x:c r="N260" s="1" t="n">
        <x:v>10</x:v>
      </x:c>
      <x:c r="O260" s="3" t="n">
        <x:f t="shared" si="36"/>
        <x:v>9</x:v>
      </x:c>
      <x:c r="P260" s="22" t="n">
        <x:f t="shared" si="37">IF(N260=0,"",M260/N260)</x:f>
        <x:v>1.1</x:v>
      </x:c>
      <x:c r="Q260" s="22" t="n">
        <x:f t="shared" si="38">IF(L260=0,"",M260/L260)</x:f>
        <x:v>0.6111111111111112</x:v>
      </x:c>
      <x:c r="R260" s="22" t="n">
        <x:f t="shared" si="39">IF(L260=0,"",N260/L260)</x:f>
        <x:v>0.5555555555555556</x:v>
      </x:c>
      <x:c r="S260" s="22" t="n">
        <x:f>IF(L260=0,"",O260/L260)</x:f>
        <x:v>0.5</x:v>
      </x:c>
      <x:c r="T260" s="24" t="n">
        <x:v>6</x:v>
      </x:c>
      <x:c r="U260" s="26" t="n">
        <x:v>0.08</x:v>
      </x:c>
      <x:c r="V260" s="24" t="n">
        <x:v>182</x:v>
      </x:c>
      <x:c r="W260"/>
      <x:c r="X260"/>
    </x:row>
    <x:row r="261">
      <x:c r="A261" s="1" t="n">
        <x:v>259</x:v>
      </x:c>
      <x:c r="B261" s="27" t="n">
        <x:v>46246</x:v>
      </x:c>
      <x:c r="C261" s="1" t="str">
        <x:v>Sunset</x:v>
      </x:c>
      <x:c r="D261" s="1" t="str">
        <x:v>2nd</x:v>
      </x:c>
      <x:c r="E261" s="1" t="str">
        <x:v>Sage</x:v>
      </x:c>
      <x:c r="F261" s="1" t="str">
        <x:v>Sentinel</x:v>
      </x:c>
      <x:c r="G261" s="1" t="n">
        <x:v>6</x:v>
      </x:c>
      <x:c r="H261" s="1" t="n">
        <x:f t="shared" si="32"/>
        <x:v>13</x:v>
      </x:c>
      <x:c r="I261" s="1" t="str">
        <x:f t="shared" si="33">IF(G261&gt;H261,"Win",IF(G261&lt;H261,"Loss","Draw"))</x:f>
        <x:v>Loss</x:v>
      </x:c>
      <x:c r="J261" s="1" t="n">
        <x:f t="shared" si="34">IF(I261="Win",1,IF(I261="Loss",0,""))</x:f>
        <x:v>0</x:v>
      </x:c>
      <x:c r="K261" s="1" t="n">
        <x:f t="shared" si="35">G261-H261</x:f>
        <x:v>-7</x:v>
      </x:c>
      <x:c r="L261" s="1" t="n">
        <x:f>G261+H261</x:f>
        <x:v>19</x:v>
      </x:c>
      <x:c r="M261" s="1" t="n">
        <x:v>20</x:v>
      </x:c>
      <x:c r="N261" s="1" t="n">
        <x:v>16</x:v>
      </x:c>
      <x:c r="O261" s="3" t="n">
        <x:f t="shared" si="36"/>
        <x:v>5</x:v>
      </x:c>
      <x:c r="P261" s="22" t="n">
        <x:f t="shared" si="37">IF(N261=0,"",M261/N261)</x:f>
        <x:v>1.25</x:v>
      </x:c>
      <x:c r="Q261" s="22" t="n">
        <x:f t="shared" si="38">IF(L261=0,"",M261/L261)</x:f>
        <x:v>1.0526315789473684</x:v>
      </x:c>
      <x:c r="R261" s="22" t="n">
        <x:f t="shared" si="39">IF(L261=0,"",N261/L261)</x:f>
        <x:v>0.8421052631578947</x:v>
      </x:c>
      <x:c r="S261" s="22" t="n">
        <x:f>IF(L261=0,"",O261/L261)</x:f>
        <x:v>0.2631578947368421</x:v>
      </x:c>
      <x:c r="T261" s="24" t="n">
        <x:v>38</x:v>
      </x:c>
      <x:c r="U261" s="26" t="n">
        <x:v>0.02</x:v>
      </x:c>
      <x:c r="V261" s="24" t="n">
        <x:v>322</x:v>
      </x:c>
      <x:c r="W261"/>
      <x:c r="X261"/>
    </x:row>
    <x:row r="262">
      <x:c r="A262" s="1" t="n">
        <x:v>260</x:v>
      </x:c>
      <x:c r="B262" s="27" t="n">
        <x:v>46246</x:v>
      </x:c>
      <x:c r="C262" s="1" t="str">
        <x:v>Breeze</x:v>
      </x:c>
      <x:c r="D262" s="1" t="str">
        <x:v>7th</x:v>
      </x:c>
      <x:c r="E262" s="1" t="str">
        <x:v>Clove</x:v>
      </x:c>
      <x:c r="F262" s="1" t="str">
        <x:v>Controller</x:v>
      </x:c>
      <x:c r="G262" s="1" t="n">
        <x:v>13</x:v>
      </x:c>
      <x:c r="H262" s="1" t="n">
        <x:f t="shared" si="32"/>
        <x:v>13</x:v>
      </x:c>
      <x:c r="I262" s="1" t="str">
        <x:f t="shared" si="33">IF(G262&gt;H262,"Win",IF(G262&lt;H262,"Loss","Draw"))</x:f>
        <x:v>Draw</x:v>
      </x:c>
      <x:c r="J262" s="1" t="str">
        <x:f t="shared" si="34">IF(I262="Win",1,IF(I262="Loss",0,""))</x:f>
      </x:c>
      <x:c r="K262" s="1" t="n">
        <x:f t="shared" si="35">G262-H262</x:f>
        <x:v>0</x:v>
      </x:c>
      <x:c r="L262" s="1" t="n">
        <x:f>G262+H262</x:f>
        <x:v>26</x:v>
      </x:c>
      <x:c r="M262" s="1" t="n">
        <x:v>18</x:v>
      </x:c>
      <x:c r="N262" s="1" t="n">
        <x:v>22</x:v>
      </x:c>
      <x:c r="O262" s="3" t="n">
        <x:f t="shared" si="36"/>
        <x:v>6</x:v>
      </x:c>
      <x:c r="P262" s="22" t="n">
        <x:f t="shared" si="37">IF(N262=0,"",M262/N262)</x:f>
        <x:v>0.8181818181818182</x:v>
      </x:c>
      <x:c r="Q262" s="22" t="n">
        <x:f t="shared" si="38">IF(L262=0,"",M262/L262)</x:f>
        <x:v>0.6923076923076923</x:v>
      </x:c>
      <x:c r="R262" s="22" t="n">
        <x:f t="shared" si="39">IF(L262=0,"",N262/L262)</x:f>
        <x:v>0.8461538461538461</x:v>
      </x:c>
      <x:c r="S262" s="22" t="n">
        <x:f>IF(L262=0,"",O262/L262)</x:f>
        <x:v>0.23076923076923078</x:v>
      </x:c>
      <x:c r="T262" s="24" t="n">
        <x:v>-27</x:v>
      </x:c>
      <x:c r="U262" s="26" t="n">
        <x:v>0.03</x:v>
      </x:c>
      <x:c r="V262" s="24" t="n">
        <x:v>211</x:v>
      </x:c>
      <x:c r="W262"/>
      <x:c r="X262"/>
    </x:row>
    <x:row r="263">
      <x:c r="A263" s="1" t="n">
        <x:v>261</x:v>
      </x:c>
      <x:c r="B263" s="27" t="n">
        <x:v>46247</x:v>
      </x:c>
      <x:c r="C263" s="1" t="str">
        <x:v>Breeze</x:v>
      </x:c>
      <x:c r="D263" s="1" t="str">
        <x:v>4th</x:v>
      </x:c>
      <x:c r="E263" s="1" t="str">
        <x:v>Clove</x:v>
      </x:c>
      <x:c r="F263" s="1" t="str">
        <x:v>Controller</x:v>
      </x:c>
      <x:c r="G263" s="1" t="n">
        <x:v>1</x:v>
      </x:c>
      <x:c r="H263" s="1" t="n">
        <x:f t="shared" si="32"/>
        <x:v>13</x:v>
      </x:c>
      <x:c r="I263" s="1" t="str">
        <x:f t="shared" si="33">IF(G263&gt;H263,"Win",IF(G263&lt;H263,"Loss","Draw"))</x:f>
        <x:v>Loss</x:v>
      </x:c>
      <x:c r="J263" s="1" t="n">
        <x:f t="shared" si="34">IF(I263="Win",1,IF(I263="Loss",0,""))</x:f>
        <x:v>0</x:v>
      </x:c>
      <x:c r="K263" s="1" t="n">
        <x:f t="shared" si="35">G263-H263</x:f>
        <x:v>-12</x:v>
      </x:c>
      <x:c r="L263" s="1" t="n">
        <x:f>G263+H263</x:f>
        <x:v>14</x:v>
      </x:c>
      <x:c r="M263" s="1" t="n">
        <x:v>10</x:v>
      </x:c>
      <x:c r="N263" s="1" t="n">
        <x:v>14</x:v>
      </x:c>
      <x:c r="O263" s="3" t="n">
        <x:f t="shared" si="36"/>
        <x:v>2</x:v>
      </x:c>
      <x:c r="P263" s="22" t="n">
        <x:f t="shared" si="37">IF(N263=0,"",M263/N263)</x:f>
        <x:v>0.7142857142857143</x:v>
      </x:c>
      <x:c r="Q263" s="22" t="n">
        <x:f t="shared" si="38">IF(L263=0,"",M263/L263)</x:f>
        <x:v>0.7142857142857143</x:v>
      </x:c>
      <x:c r="R263" s="22" t="n">
        <x:f t="shared" si="39">IF(L263=0,"",N263/L263)</x:f>
        <x:v>1</x:v>
      </x:c>
      <x:c r="S263" s="22" t="n">
        <x:f>IF(L263=0,"",O263/L263)</x:f>
        <x:v>0.14285714285714285</x:v>
      </x:c>
      <x:c r="T263" s="24" t="n">
        <x:v>-25</x:v>
      </x:c>
      <x:c r="U263" s="26" t="n">
        <x:v>0.09</x:v>
      </x:c>
      <x:c r="V263" s="24" t="n">
        <x:v>250</x:v>
      </x:c>
      <x:c r="W263"/>
      <x:c r="X263"/>
    </x:row>
    <x:row r="264">
      <x:c r="A264" s="1" t="n">
        <x:v>262</x:v>
      </x:c>
      <x:c r="B264" s="27" t="n">
        <x:v>46248</x:v>
      </x:c>
      <x:c r="C264" s="1" t="str">
        <x:v>Split</x:v>
      </x:c>
      <x:c r="D264" s="1" t="str">
        <x:v>2nd</x:v>
      </x:c>
      <x:c r="E264" s="1" t="str">
        <x:v>Sage</x:v>
      </x:c>
      <x:c r="F264" s="1" t="str">
        <x:v>Sentinel</x:v>
      </x:c>
      <x:c r="G264" s="1" t="n">
        <x:v>13</x:v>
      </x:c>
      <x:c r="H264" s="1" t="n">
        <x:f t="shared" si="32"/>
        <x:v>5</x:v>
      </x:c>
      <x:c r="I264" s="1" t="str">
        <x:f t="shared" si="33">IF(G264&gt;H264,"Win",IF(G264&lt;H264,"Loss","Draw"))</x:f>
        <x:v>Win</x:v>
      </x:c>
      <x:c r="J264" s="1" t="n">
        <x:f t="shared" si="34">IF(I264="Win",1,IF(I264="Loss",0,""))</x:f>
        <x:v>1</x:v>
      </x:c>
      <x:c r="K264" s="1" t="n">
        <x:f t="shared" si="35">G264-H264</x:f>
        <x:v>8</x:v>
      </x:c>
      <x:c r="L264" s="1" t="n">
        <x:f>G264+H264</x:f>
        <x:v>18</x:v>
      </x:c>
      <x:c r="M264" s="1" t="n">
        <x:v>20</x:v>
      </x:c>
      <x:c r="N264" s="1" t="n">
        <x:v>10</x:v>
      </x:c>
      <x:c r="O264" s="3" t="n">
        <x:f t="shared" si="36"/>
        <x:v>9</x:v>
      </x:c>
      <x:c r="P264" s="22" t="n">
        <x:f t="shared" si="37">IF(N264=0,"",M264/N264)</x:f>
        <x:v>2</x:v>
      </x:c>
      <x:c r="Q264" s="22" t="n">
        <x:f t="shared" si="38">IF(L264=0,"",M264/L264)</x:f>
        <x:v>1.1111111111111112</x:v>
      </x:c>
      <x:c r="R264" s="22" t="n">
        <x:f t="shared" si="39">IF(L264=0,"",N264/L264)</x:f>
        <x:v>0.5555555555555556</x:v>
      </x:c>
      <x:c r="S264" s="22" t="n">
        <x:f>IF(L264=0,"",O264/L264)</x:f>
        <x:v>0.5</x:v>
      </x:c>
      <x:c r="T264" s="24" t="n">
        <x:v>51</x:v>
      </x:c>
      <x:c r="U264" s="26" t="n">
        <x:v>0.12</x:v>
      </x:c>
      <x:c r="V264" s="24" t="n">
        <x:v>283</x:v>
      </x:c>
      <x:c r="W264"/>
      <x:c r="X264"/>
    </x:row>
    <x:row r="265">
      <x:c r="A265" s="1" t="n">
        <x:v>263</x:v>
      </x:c>
      <x:c r="B265" s="27" t="n">
        <x:v>46249</x:v>
      </x:c>
      <x:c r="C265" s="1" t="str">
        <x:v>Haven</x:v>
      </x:c>
      <x:c r="D265" s="1" t="str">
        <x:v>5th</x:v>
      </x:c>
      <x:c r="E265" s="1" t="str">
        <x:v>Clove</x:v>
      </x:c>
      <x:c r="F265" s="1" t="str">
        <x:v>Controller</x:v>
      </x:c>
      <x:c r="G265" s="1" t="n">
        <x:v>12</x:v>
      </x:c>
      <x:c r="H265" s="1" t="n">
        <x:f t="shared" si="32"/>
        <x:v>14</x:v>
      </x:c>
      <x:c r="I265" s="1" t="str">
        <x:f t="shared" si="33">IF(G265&gt;H265,"Win",IF(G265&lt;H265,"Loss","Draw"))</x:f>
        <x:v>Loss</x:v>
      </x:c>
      <x:c r="J265" s="1" t="n">
        <x:f t="shared" si="34">IF(I265="Win",1,IF(I265="Loss",0,""))</x:f>
        <x:v>0</x:v>
      </x:c>
      <x:c r="K265" s="1" t="n">
        <x:f t="shared" si="35">G265-H265</x:f>
        <x:v>-2</x:v>
      </x:c>
      <x:c r="L265" s="1" t="n">
        <x:f>G265+H265</x:f>
        <x:v>26</x:v>
      </x:c>
      <x:c r="M265" s="1" t="n">
        <x:v>21</x:v>
      </x:c>
      <x:c r="N265" s="1" t="n">
        <x:v>23</x:v>
      </x:c>
      <x:c r="O265" s="3" t="n">
        <x:f t="shared" si="36"/>
        <x:v>10</x:v>
      </x:c>
      <x:c r="P265" s="22" t="n">
        <x:f t="shared" si="37">IF(N265=0,"",M265/N265)</x:f>
        <x:v>0.9130434782608695</x:v>
      </x:c>
      <x:c r="Q265" s="22" t="n">
        <x:f t="shared" si="38">IF(L265=0,"",M265/L265)</x:f>
        <x:v>0.8076923076923077</x:v>
      </x:c>
      <x:c r="R265" s="22" t="n">
        <x:f t="shared" si="39">IF(L265=0,"",N265/L265)</x:f>
        <x:v>0.8846153846153846</x:v>
      </x:c>
      <x:c r="S265" s="22" t="n">
        <x:f>IF(L265=0,"",O265/L265)</x:f>
        <x:v>0.38461538461538464</x:v>
      </x:c>
      <x:c r="T265" s="24" t="n">
        <x:v>-15</x:v>
      </x:c>
      <x:c r="U265" s="26" t="n">
        <x:v>0.03</x:v>
      </x:c>
      <x:c r="V265" s="24" t="n">
        <x:v>236</x:v>
      </x:c>
      <x:c r="W265"/>
      <x:c r="X265"/>
    </x:row>
    <x:row r="266">
      <x:c r="A266" s="1" t="n">
        <x:v>264</x:v>
      </x:c>
      <x:c r="B266" s="27" t="n">
        <x:v>46249</x:v>
      </x:c>
      <x:c r="C266" s="1" t="str">
        <x:v>Split</x:v>
      </x:c>
      <x:c r="D266" s="1" t="str">
        <x:v>10th</x:v>
      </x:c>
      <x:c r="E266" s="1" t="str">
        <x:v>Sage</x:v>
      </x:c>
      <x:c r="F266" s="1" t="str">
        <x:v>Sentinel</x:v>
      </x:c>
      <x:c r="G266" s="1" t="n">
        <x:v>7</x:v>
      </x:c>
      <x:c r="H266" s="1" t="n">
        <x:f t="shared" si="32"/>
        <x:v>13</x:v>
      </x:c>
      <x:c r="I266" s="1" t="str">
        <x:f t="shared" si="33">IF(G266&gt;H266,"Win",IF(G266&lt;H266,"Loss","Draw"))</x:f>
        <x:v>Loss</x:v>
      </x:c>
      <x:c r="J266" s="1" t="n">
        <x:f t="shared" si="34">IF(I266="Win",1,IF(I266="Loss",0,""))</x:f>
        <x:v>0</x:v>
      </x:c>
      <x:c r="K266" s="1" t="n">
        <x:f t="shared" si="35">G266-H266</x:f>
        <x:v>-6</x:v>
      </x:c>
      <x:c r="L266" s="1" t="n">
        <x:f>G266+H266</x:f>
        <x:v>20</x:v>
      </x:c>
      <x:c r="M266" s="1" t="n">
        <x:v>6</x:v>
      </x:c>
      <x:c r="N266" s="1" t="n">
        <x:v>16</x:v>
      </x:c>
      <x:c r="O266" s="3" t="n">
        <x:f t="shared" si="36"/>
        <x:v>9</x:v>
      </x:c>
      <x:c r="P266" s="22" t="n">
        <x:f t="shared" si="37">IF(N266=0,"",M266/N266)</x:f>
        <x:v>0.375</x:v>
      </x:c>
      <x:c r="Q266" s="22" t="n">
        <x:f t="shared" si="38">IF(L266=0,"",M266/L266)</x:f>
        <x:v>0.3</x:v>
      </x:c>
      <x:c r="R266" s="22" t="n">
        <x:f t="shared" si="39">IF(L266=0,"",N266/L266)</x:f>
        <x:v>0.8</x:v>
      </x:c>
      <x:c r="S266" s="22" t="n">
        <x:f>IF(L266=0,"",O266/L266)</x:f>
        <x:v>0.45</x:v>
      </x:c>
      <x:c r="T266" s="24" t="n">
        <x:v>-54</x:v>
      </x:c>
      <x:c r="U266" s="26" t="n">
        <x:v>0.04</x:v>
      </x:c>
      <x:c r="V266" s="24" t="n">
        <x:v>122</x:v>
      </x:c>
      <x:c r="W266"/>
      <x:c r="X266"/>
    </x:row>
    <x:row r="267">
      <x:c r="A267" s="1" t="n">
        <x:v>265</x:v>
      </x:c>
      <x:c r="B267" s="27" t="n">
        <x:v>46249</x:v>
      </x:c>
      <x:c r="C267" s="1" t="str">
        <x:v>Ascent</x:v>
      </x:c>
      <x:c r="D267" s="1" t="str">
        <x:v>4th</x:v>
      </x:c>
      <x:c r="E267" s="1" t="str">
        <x:v>Killjoy</x:v>
      </x:c>
      <x:c r="F267" s="1" t="str">
        <x:v>Sentinel</x:v>
      </x:c>
      <x:c r="G267" s="1" t="n">
        <x:v>13</x:v>
      </x:c>
      <x:c r="H267" s="1" t="n">
        <x:f t="shared" si="32"/>
        <x:v>10</x:v>
      </x:c>
      <x:c r="I267" s="1" t="str">
        <x:f t="shared" si="33">IF(G267&gt;H267,"Win",IF(G267&lt;H267,"Loss","Draw"))</x:f>
        <x:v>Win</x:v>
      </x:c>
      <x:c r="J267" s="1" t="n">
        <x:f t="shared" si="34">IF(I267="Win",1,IF(I267="Loss",0,""))</x:f>
        <x:v>1</x:v>
      </x:c>
      <x:c r="K267" s="1" t="n">
        <x:f t="shared" si="35">G267-H267</x:f>
        <x:v>3</x:v>
      </x:c>
      <x:c r="L267" s="1" t="n">
        <x:f>G267+H267</x:f>
        <x:v>23</x:v>
      </x:c>
      <x:c r="M267" s="1" t="n">
        <x:v>18</x:v>
      </x:c>
      <x:c r="N267" s="1" t="n">
        <x:v>16</x:v>
      </x:c>
      <x:c r="O267" s="3" t="n">
        <x:f t="shared" si="36"/>
        <x:v>8</x:v>
      </x:c>
      <x:c r="P267" s="22" t="n">
        <x:f t="shared" si="37">IF(N267=0,"",M267/N267)</x:f>
        <x:v>1.125</x:v>
      </x:c>
      <x:c r="Q267" s="22" t="n">
        <x:f t="shared" si="38">IF(L267=0,"",M267/L267)</x:f>
        <x:v>0.782608695652174</x:v>
      </x:c>
      <x:c r="R267" s="22" t="n">
        <x:f t="shared" si="39">IF(L267=0,"",N267/L267)</x:f>
        <x:v>0.6956521739130435</x:v>
      </x:c>
      <x:c r="S267" s="22" t="n">
        <x:f>IF(L267=0,"",O267/L267)</x:f>
        <x:v>0.34782608695652173</x:v>
      </x:c>
      <x:c r="T267" s="24" t="n">
        <x:v>27</x:v>
      </x:c>
      <x:c r="U267" s="26" t="n">
        <x:v>0.08</x:v>
      </x:c>
      <x:c r="V267" s="24" t="n">
        <x:v>247</x:v>
      </x:c>
      <x:c r="W267"/>
      <x:c r="X267"/>
    </x:row>
    <x:row r="268">
      <x:c r="A268" s="1" t="n">
        <x:v>266</x:v>
      </x:c>
      <x:c r="B268" s="27" t="n">
        <x:v>46250</x:v>
      </x:c>
      <x:c r="C268" s="1" t="str">
        <x:v>Summit</x:v>
      </x:c>
      <x:c r="D268" s="1" t="str">
        <x:v>10th</x:v>
      </x:c>
      <x:c r="E268" s="1" t="str">
        <x:v>Clove</x:v>
      </x:c>
      <x:c r="F268" s="1" t="str">
        <x:v>Controller</x:v>
      </x:c>
      <x:c r="G268" s="1" t="n">
        <x:v>13</x:v>
      </x:c>
      <x:c r="H268" s="1" t="n">
        <x:f t="shared" si="32"/>
        <x:v>15</x:v>
      </x:c>
      <x:c r="I268" s="1" t="str">
        <x:f t="shared" si="33">IF(G268&gt;H268,"Win",IF(G268&lt;H268,"Loss","Draw"))</x:f>
        <x:v>Loss</x:v>
      </x:c>
      <x:c r="J268" s="1" t="n">
        <x:f t="shared" si="34">IF(I268="Win",1,IF(I268="Loss",0,""))</x:f>
        <x:v>0</x:v>
      </x:c>
      <x:c r="K268" s="1" t="n">
        <x:f t="shared" si="35">G268-H268</x:f>
        <x:v>-2</x:v>
      </x:c>
      <x:c r="L268" s="1" t="n">
        <x:f>G268+H268</x:f>
        <x:v>28</x:v>
      </x:c>
      <x:c r="M268" s="1" t="n">
        <x:v>11</x:v>
      </x:c>
      <x:c r="N268" s="1" t="n">
        <x:v>20</x:v>
      </x:c>
      <x:c r="O268" s="3" t="n">
        <x:f t="shared" si="36"/>
        <x:v>4</x:v>
      </x:c>
      <x:c r="P268" s="22" t="n">
        <x:f t="shared" si="37">IF(N268=0,"",M268/N268)</x:f>
        <x:v>0.55</x:v>
      </x:c>
      <x:c r="Q268" s="22" t="n">
        <x:f t="shared" si="38">IF(L268=0,"",M268/L268)</x:f>
        <x:v>0.39285714285714285</x:v>
      </x:c>
      <x:c r="R268" s="22" t="n">
        <x:f t="shared" si="39">IF(L268=0,"",N268/L268)</x:f>
        <x:v>0.7142857142857143</x:v>
      </x:c>
      <x:c r="S268" s="22" t="n">
        <x:f>IF(L268=0,"",O268/L268)</x:f>
        <x:v>0.14285714285714285</x:v>
      </x:c>
      <x:c r="T268" s="24" t="n">
        <x:v>-51</x:v>
      </x:c>
      <x:c r="U268" s="26" t="n">
        <x:v>0.02</x:v>
      </x:c>
      <x:c r="V268" s="24" t="n">
        <x:v>115</x:v>
      </x:c>
      <x:c r="W268"/>
      <x:c r="X268"/>
    </x:row>
    <x:row r="269">
      <x:c r="A269" s="1" t="n">
        <x:v>267</x:v>
      </x:c>
      <x:c r="B269" s="27" t="n">
        <x:v>46250</x:v>
      </x:c>
      <x:c r="C269" s="1" t="str">
        <x:v>Breeze</x:v>
      </x:c>
      <x:c r="D269" s="1" t="str">
        <x:v>10th</x:v>
      </x:c>
      <x:c r="E269" s="1" t="str">
        <x:v>Sage</x:v>
      </x:c>
      <x:c r="F269" s="1" t="str">
        <x:v>Sentinel</x:v>
      </x:c>
      <x:c r="G269" s="1" t="n">
        <x:v>6</x:v>
      </x:c>
      <x:c r="H269" s="1" t="n">
        <x:f t="shared" si="32"/>
        <x:v>13</x:v>
      </x:c>
      <x:c r="I269" s="1" t="str">
        <x:f t="shared" si="33">IF(G269&gt;H269,"Win",IF(G269&lt;H269,"Loss","Draw"))</x:f>
        <x:v>Loss</x:v>
      </x:c>
      <x:c r="J269" s="1" t="n">
        <x:f t="shared" si="34">IF(I269="Win",1,IF(I269="Loss",0,""))</x:f>
        <x:v>0</x:v>
      </x:c>
      <x:c r="K269" s="1" t="n">
        <x:f t="shared" si="35">G269-H269</x:f>
        <x:v>-7</x:v>
      </x:c>
      <x:c r="L269" s="1" t="n">
        <x:f>G269+H269</x:f>
        <x:v>19</x:v>
      </x:c>
      <x:c r="M269" s="1" t="n">
        <x:v>3</x:v>
      </x:c>
      <x:c r="N269" s="1" t="n">
        <x:v>15</x:v>
      </x:c>
      <x:c r="O269" s="3" t="n">
        <x:f t="shared" si="36"/>
        <x:v>6</x:v>
      </x:c>
      <x:c r="P269" s="22" t="n">
        <x:f t="shared" si="37">IF(N269=0,"",M269/N269)</x:f>
        <x:v>0.2</x:v>
      </x:c>
      <x:c r="Q269" s="22" t="n">
        <x:f t="shared" si="38">IF(L269=0,"",M269/L269)</x:f>
        <x:v>0.15789473684210525</x:v>
      </x:c>
      <x:c r="R269" s="22" t="n">
        <x:f t="shared" si="39">IF(L269=0,"",N269/L269)</x:f>
        <x:v>0.7894736842105263</x:v>
      </x:c>
      <x:c r="S269" s="22" t="n">
        <x:f>IF(L269=0,"",O269/L269)</x:f>
        <x:v>0.3157894736842105</x:v>
      </x:c>
      <x:c r="T269" s="24" t="n">
        <x:v>-84</x:v>
      </x:c>
      <x:c r="U269" s="26" t="n">
        <x:v>0.14</x:v>
      </x:c>
      <x:c r="V269" s="24" t="n">
        <x:v>83</x:v>
      </x:c>
      <x:c r="W269"/>
      <x:c r="X269"/>
    </x:row>
    <x:row r="270">
      <x:c r="A270" s="1" t="n">
        <x:v>268</x:v>
      </x:c>
      <x:c r="B270" s="27" t="n">
        <x:v>46251</x:v>
      </x:c>
      <x:c r="C270" s="1" t="str">
        <x:v>Breeze</x:v>
      </x:c>
      <x:c r="D270" s="1" t="str">
        <x:v>3rd</x:v>
      </x:c>
      <x:c r="E270" s="1" t="str">
        <x:v>Sage</x:v>
      </x:c>
      <x:c r="F270" s="1" t="str">
        <x:v>Sentinel</x:v>
      </x:c>
      <x:c r="G270" s="1" t="n">
        <x:v>10</x:v>
      </x:c>
      <x:c r="H270" s="1" t="n">
        <x:f t="shared" si="32"/>
        <x:v>13</x:v>
      </x:c>
      <x:c r="I270" s="1" t="str">
        <x:f t="shared" si="33">IF(G270&gt;H270,"Win",IF(G270&lt;H270,"Loss","Draw"))</x:f>
        <x:v>Loss</x:v>
      </x:c>
      <x:c r="J270" s="1" t="n">
        <x:f t="shared" si="34">IF(I270="Win",1,IF(I270="Loss",0,""))</x:f>
        <x:v>0</x:v>
      </x:c>
      <x:c r="K270" s="1" t="n">
        <x:f t="shared" si="35">G270-H270</x:f>
        <x:v>-3</x:v>
      </x:c>
      <x:c r="L270" s="1" t="n">
        <x:f>G270+H270</x:f>
        <x:v>23</x:v>
      </x:c>
      <x:c r="M270" s="1" t="n">
        <x:v>21</x:v>
      </x:c>
      <x:c r="N270" s="1" t="n">
        <x:v>17</x:v>
      </x:c>
      <x:c r="O270" s="3" t="n">
        <x:f t="shared" si="36"/>
        <x:v>10</x:v>
      </x:c>
      <x:c r="P270" s="22" t="n">
        <x:f t="shared" si="37">IF(N270=0,"",M270/N270)</x:f>
        <x:v>1.2352941176470589</x:v>
      </x:c>
      <x:c r="Q270" s="22" t="n">
        <x:f t="shared" si="38">IF(L270=0,"",M270/L270)</x:f>
        <x:v>0.9130434782608695</x:v>
      </x:c>
      <x:c r="R270" s="22" t="n">
        <x:f t="shared" si="39">IF(L270=0,"",N270/L270)</x:f>
        <x:v>0.7391304347826086</x:v>
      </x:c>
      <x:c r="S270" s="22" t="n">
        <x:f>IF(L270=0,"",O270/L270)</x:f>
        <x:v>0.43478260869565216</x:v>
      </x:c>
      <x:c r="T270" s="24" t="n">
        <x:v>-4</x:v>
      </x:c>
      <x:c r="U270" s="26" t="n">
        <x:v>0.06</x:v>
      </x:c>
      <x:c r="V270" s="24" t="n">
        <x:v>257</x:v>
      </x:c>
      <x:c r="W270"/>
      <x:c r="X270"/>
    </x:row>
    <x:row r="271">
      <x:c r="A271" s="1" t="n">
        <x:v>269</x:v>
      </x:c>
      <x:c r="B271" s="27" t="n">
        <x:v>46252</x:v>
      </x:c>
      <x:c r="C271" s="1" t="str">
        <x:v>Summit</x:v>
      </x:c>
      <x:c r="D271" s="1" t="str">
        <x:v>6th</x:v>
      </x:c>
      <x:c r="E271" s="1" t="str">
        <x:v>Sage</x:v>
      </x:c>
      <x:c r="F271" s="1" t="str">
        <x:v>Sentinel</x:v>
      </x:c>
      <x:c r="G271" s="1" t="n">
        <x:v>6</x:v>
      </x:c>
      <x:c r="H271" s="1" t="n">
        <x:f t="shared" si="32"/>
        <x:v>13</x:v>
      </x:c>
      <x:c r="I271" s="1" t="str">
        <x:f t="shared" si="33">IF(G271&gt;H271,"Win",IF(G271&lt;H271,"Loss","Draw"))</x:f>
        <x:v>Loss</x:v>
      </x:c>
      <x:c r="J271" s="1" t="n">
        <x:f t="shared" si="34">IF(I271="Win",1,IF(I271="Loss",0,""))</x:f>
        <x:v>0</x:v>
      </x:c>
      <x:c r="K271" s="1" t="n">
        <x:f t="shared" si="35">G271-H271</x:f>
        <x:v>-7</x:v>
      </x:c>
      <x:c r="L271" s="1" t="n">
        <x:f>G271+H271</x:f>
        <x:v>19</x:v>
      </x:c>
      <x:c r="M271" s="1" t="n">
        <x:v>15</x:v>
      </x:c>
      <x:c r="N271" s="1" t="n">
        <x:v>13</x:v>
      </x:c>
      <x:c r="O271" s="3" t="n">
        <x:f t="shared" si="36"/>
        <x:v>8</x:v>
      </x:c>
      <x:c r="P271" s="22" t="n">
        <x:f t="shared" si="37">IF(N271=0,"",M271/N271)</x:f>
        <x:v>1.1538461538461537</x:v>
      </x:c>
      <x:c r="Q271" s="22" t="n">
        <x:f t="shared" si="38">IF(L271=0,"",M271/L271)</x:f>
        <x:v>0.7894736842105263</x:v>
      </x:c>
      <x:c r="R271" s="22" t="n">
        <x:f t="shared" si="39">IF(L271=0,"",N271/L271)</x:f>
        <x:v>0.6842105263157895</x:v>
      </x:c>
      <x:c r="S271" s="22" t="n">
        <x:f>IF(L271=0,"",O271/L271)</x:f>
        <x:v>0.42105263157894735</x:v>
      </x:c>
      <x:c r="T271" s="24" t="n">
        <x:v>-22</x:v>
      </x:c>
      <x:c r="U271" s="26" t="n">
        <x:v>0.05</x:v>
      </x:c>
      <x:c r="V271" s="24" t="n">
        <x:v>218</x:v>
      </x:c>
      <x:c r="W271"/>
      <x:c r="X271"/>
    </x:row>
    <x:row r="272">
      <x:c r="A272" s="1" t="n">
        <x:v>270</x:v>
      </x:c>
      <x:c r="B272" s="27" t="n">
        <x:v>46253</x:v>
      </x:c>
      <x:c r="C272" s="1" t="str">
        <x:v>Split</x:v>
      </x:c>
      <x:c r="D272" s="1" t="str">
        <x:v>10th</x:v>
      </x:c>
      <x:c r="E272" s="1" t="str">
        <x:v>Clove</x:v>
      </x:c>
      <x:c r="F272" s="1" t="str">
        <x:v>Controller</x:v>
      </x:c>
      <x:c r="G272" s="1" t="n">
        <x:v>5</x:v>
      </x:c>
      <x:c r="H272" s="1" t="n">
        <x:f t="shared" si="32"/>
        <x:v>13</x:v>
      </x:c>
      <x:c r="I272" s="1" t="str">
        <x:f t="shared" si="33">IF(G272&gt;H272,"Win",IF(G272&lt;H272,"Loss","Draw"))</x:f>
        <x:v>Loss</x:v>
      </x:c>
      <x:c r="J272" s="1" t="n">
        <x:f t="shared" si="34">IF(I272="Win",1,IF(I272="Loss",0,""))</x:f>
        <x:v>0</x:v>
      </x:c>
      <x:c r="K272" s="1" t="n">
        <x:f t="shared" si="35">G272-H272</x:f>
        <x:v>-8</x:v>
      </x:c>
      <x:c r="L272" s="1" t="n">
        <x:f>G272+H272</x:f>
        <x:v>18</x:v>
      </x:c>
      <x:c r="M272" s="1" t="n">
        <x:v>5</x:v>
      </x:c>
      <x:c r="N272" s="1" t="n">
        <x:v>11</x:v>
      </x:c>
      <x:c r="O272" s="3" t="n">
        <x:f t="shared" si="36"/>
        <x:v>3</x:v>
      </x:c>
      <x:c r="P272" s="22" t="n">
        <x:f t="shared" si="37">IF(N272=0,"",M272/N272)</x:f>
        <x:v>0.45454545454545453</x:v>
      </x:c>
      <x:c r="Q272" s="22" t="n">
        <x:f t="shared" si="38">IF(L272=0,"",M272/L272)</x:f>
        <x:v>0.2777777777777778</x:v>
      </x:c>
      <x:c r="R272" s="22" t="n">
        <x:f t="shared" si="39">IF(L272=0,"",N272/L272)</x:f>
        <x:v>0.6111111111111112</x:v>
      </x:c>
      <x:c r="S272" s="22" t="n">
        <x:f>IF(L272=0,"",O272/L272)</x:f>
        <x:v>0.16666666666666666</x:v>
      </x:c>
      <x:c r="T272" s="24" t="n">
        <x:v>-54</x:v>
      </x:c>
      <x:c r="U272" s="26" t="n">
        <x:v>0.04</x:v>
      </x:c>
      <x:c r="V272" s="24" t="n">
        <x:v>82</x:v>
      </x:c>
      <x:c r="W272"/>
      <x:c r="X272"/>
    </x:row>
    <x:row r="273">
      <x:c r="A273" s="1" t="n">
        <x:v>271</x:v>
      </x:c>
      <x:c r="B273" s="27" t="n">
        <x:v>46257</x:v>
      </x:c>
      <x:c r="C273" s="1" t="str">
        <x:v>Split</x:v>
      </x:c>
      <x:c r="D273" s="1" t="str">
        <x:v>8th</x:v>
      </x:c>
      <x:c r="E273" s="1" t="str">
        <x:v>Sage</x:v>
      </x:c>
      <x:c r="F273" s="1" t="str">
        <x:v>Sentinel</x:v>
      </x:c>
      <x:c r="G273" s="1" t="n">
        <x:v>10</x:v>
      </x:c>
      <x:c r="H273" s="1" t="n">
        <x:f t="shared" si="32"/>
        <x:v>13</x:v>
      </x:c>
      <x:c r="I273" s="1" t="str">
        <x:f t="shared" si="33">IF(G273&gt;H273,"Win",IF(G273&lt;H273,"Loss","Draw"))</x:f>
        <x:v>Loss</x:v>
      </x:c>
      <x:c r="J273" s="1" t="n">
        <x:f t="shared" si="34">IF(I273="Win",1,IF(I273="Loss",0,""))</x:f>
        <x:v>0</x:v>
      </x:c>
      <x:c r="K273" s="1" t="n">
        <x:f t="shared" si="35">G273-H273</x:f>
        <x:v>-3</x:v>
      </x:c>
      <x:c r="L273" s="1" t="n">
        <x:f>G273+H273</x:f>
        <x:v>23</x:v>
      </x:c>
      <x:c r="M273" s="1" t="n">
        <x:v>11</x:v>
      </x:c>
      <x:c r="N273" s="1" t="n">
        <x:v>16</x:v>
      </x:c>
      <x:c r="O273" s="3" t="n">
        <x:f t="shared" si="36"/>
        <x:v>7</x:v>
      </x:c>
      <x:c r="P273" s="22" t="n">
        <x:f t="shared" si="37">IF(N273=0,"",M273/N273)</x:f>
        <x:v>0.6875</x:v>
      </x:c>
      <x:c r="Q273" s="22" t="n">
        <x:f t="shared" si="38">IF(L273=0,"",M273/L273)</x:f>
        <x:v>0.4782608695652174</x:v>
      </x:c>
      <x:c r="R273" s="22" t="n">
        <x:f t="shared" si="39">IF(L273=0,"",N273/L273)</x:f>
        <x:v>0.6956521739130435</x:v>
      </x:c>
      <x:c r="S273" s="22" t="n">
        <x:f>IF(L273=0,"",O273/L273)</x:f>
        <x:v>0.30434782608695654</x:v>
      </x:c>
      <x:c r="T273" s="24" t="n">
        <x:v>-39</x:v>
      </x:c>
      <x:c r="U273" s="26" t="n">
        <x:v>0.03</x:v>
      </x:c>
      <x:c r="V273" s="24" t="n">
        <x:v>142</x:v>
      </x:c>
      <x:c r="W273"/>
      <x:c r="X273"/>
    </x:row>
    <x:row r="274">
      <x:c r="A274" s="1" t="n">
        <x:v>272</x:v>
      </x:c>
      <x:c r="B274" s="27" t="n">
        <x:v>46259</x:v>
      </x:c>
      <x:c r="C274" s="1" t="str">
        <x:v>Haven</x:v>
      </x:c>
      <x:c r="D274" s="1" t="str">
        <x:v>2nd</x:v>
      </x:c>
      <x:c r="E274" s="1" t="str">
        <x:v>Sage</x:v>
      </x:c>
      <x:c r="F274" s="1" t="str">
        <x:v>Sentinel</x:v>
      </x:c>
      <x:c r="G274" s="1" t="n">
        <x:v>0</x:v>
      </x:c>
      <x:c r="H274" s="1" t="n">
        <x:f t="shared" si="32"/>
        <x:v>5</x:v>
      </x:c>
      <x:c r="I274" s="1" t="str">
        <x:f t="shared" si="33">IF(G274&gt;H274,"Win",IF(G274&lt;H274,"Loss","Draw"))</x:f>
        <x:v>Loss</x:v>
      </x:c>
      <x:c r="J274" s="1" t="n">
        <x:f t="shared" si="34">IF(I274="Win",1,IF(I274="Loss",0,""))</x:f>
        <x:v>0</x:v>
      </x:c>
      <x:c r="K274" s="1" t="n">
        <x:f t="shared" si="35">G274-H274</x:f>
        <x:v>-5</x:v>
      </x:c>
      <x:c r="L274" s="1" t="n">
        <x:f>G274+H274</x:f>
        <x:v>5</x:v>
      </x:c>
      <x:c r="M274" s="1" t="n">
        <x:v>6</x:v>
      </x:c>
      <x:c r="N274" s="1" t="n">
        <x:v>5</x:v>
      </x:c>
      <x:c r="O274" s="3" t="n">
        <x:f t="shared" si="36"/>
        <x:v>0</x:v>
      </x:c>
      <x:c r="P274" s="22" t="n">
        <x:f t="shared" si="37">IF(N274=0,"",M274/N274)</x:f>
        <x:v>1.2</x:v>
      </x:c>
      <x:c r="Q274" s="22" t="n">
        <x:f t="shared" si="38">IF(L274=0,"",M274/L274)</x:f>
        <x:v>1.2</x:v>
      </x:c>
      <x:c r="R274" s="22" t="n">
        <x:f t="shared" si="39">IF(L274=0,"",N274/L274)</x:f>
        <x:v>1</x:v>
      </x:c>
      <x:c r="S274" s="22" t="n">
        <x:f>IF(L274=0,"",O274/L274)</x:f>
        <x:v>0</x:v>
      </x:c>
      <x:c r="T274" s="24" t="n">
        <x:v>21</x:v>
      </x:c>
      <x:c r="U274" s="26" t="n">
        <x:v>0.17</x:v>
      </x:c>
      <x:c r="V274" s="24" t="n">
        <x:v>331</x:v>
      </x:c>
      <x:c r="W274"/>
      <x:c r="X274"/>
    </x:row>
    <x:row r="275">
      <x:c r="A275" s="1" t="n">
        <x:v>273</x:v>
      </x:c>
      <x:c r="B275" s="27" t="n">
        <x:v>46260</x:v>
      </x:c>
      <x:c r="C275" s="1" t="str">
        <x:v>Lotus</x:v>
      </x:c>
      <x:c r="D275" s="1" t="str">
        <x:v>7th</x:v>
      </x:c>
      <x:c r="E275" s="1" t="str">
        <x:v>Breach</x:v>
      </x:c>
      <x:c r="F275" s="1" t="str">
        <x:v>Initiator</x:v>
      </x:c>
      <x:c r="G275" s="1" t="n">
        <x:v>9</x:v>
      </x:c>
      <x:c r="H275" s="1" t="n">
        <x:f t="shared" si="32"/>
        <x:v>13</x:v>
      </x:c>
      <x:c r="I275" s="1" t="str">
        <x:f t="shared" si="33">IF(G275&gt;H275,"Win",IF(G275&lt;H275,"Loss","Draw"))</x:f>
        <x:v>Loss</x:v>
      </x:c>
      <x:c r="J275" s="1" t="n">
        <x:f t="shared" si="34">IF(I275="Win",1,IF(I275="Loss",0,""))</x:f>
        <x:v>0</x:v>
      </x:c>
      <x:c r="K275" s="1" t="n">
        <x:f t="shared" si="35">G275-H275</x:f>
        <x:v>-4</x:v>
      </x:c>
      <x:c r="L275" s="1" t="n">
        <x:f>G275+H275</x:f>
        <x:v>22</x:v>
      </x:c>
      <x:c r="M275" s="1" t="n">
        <x:v>14</x:v>
      </x:c>
      <x:c r="N275" s="1" t="n">
        <x:v>19</x:v>
      </x:c>
      <x:c r="O275" s="3" t="n">
        <x:f t="shared" si="36"/>
        <x:v>6</x:v>
      </x:c>
      <x:c r="P275" s="22" t="n">
        <x:f t="shared" si="37">IF(N275=0,"",M275/N275)</x:f>
        <x:v>0.7368421052631579</x:v>
      </x:c>
      <x:c r="Q275" s="22" t="n">
        <x:f t="shared" si="38">IF(L275=0,"",M275/L275)</x:f>
        <x:v>0.6363636363636364</x:v>
      </x:c>
      <x:c r="R275" s="22" t="n">
        <x:f t="shared" si="39">IF(L275=0,"",N275/L275)</x:f>
        <x:v>0.8636363636363636</x:v>
      </x:c>
      <x:c r="S275" s="22" t="n">
        <x:f>IF(L275=0,"",O275/L275)</x:f>
        <x:v>0.2727272727272727</x:v>
      </x:c>
      <x:c r="T275" s="24" t="n">
        <x:v>-29</x:v>
      </x:c>
      <x:c r="U275" s="26" t="n">
        <x:v>0.06</x:v>
      </x:c>
      <x:c r="V275" s="24" t="n">
        <x:v>194</x:v>
      </x:c>
      <x:c r="W275"/>
      <x:c r="X275"/>
    </x:row>
    <x:row r="276">
      <x:c r="A276" s="1" t="n">
        <x:v>274</x:v>
      </x:c>
      <x:c r="B276" s="27" t="n">
        <x:v>46260</x:v>
      </x:c>
      <x:c r="C276" s="1" t="str">
        <x:v>Lotus</x:v>
      </x:c>
      <x:c r="D276" s="1" t="str">
        <x:v>2nd</x:v>
      </x:c>
      <x:c r="E276" s="1" t="str">
        <x:v>Sage</x:v>
      </x:c>
      <x:c r="F276" s="1" t="str">
        <x:v>Sentinel</x:v>
      </x:c>
      <x:c r="G276" s="1" t="n">
        <x:v>8</x:v>
      </x:c>
      <x:c r="H276" s="1" t="n">
        <x:f t="shared" si="32"/>
        <x:v>13</x:v>
      </x:c>
      <x:c r="I276" s="1" t="str">
        <x:f t="shared" si="33">IF(G276&gt;H276,"Win",IF(G276&lt;H276,"Loss","Draw"))</x:f>
        <x:v>Loss</x:v>
      </x:c>
      <x:c r="J276" s="1" t="n">
        <x:f t="shared" si="34">IF(I276="Win",1,IF(I276="Loss",0,""))</x:f>
        <x:v>0</x:v>
      </x:c>
      <x:c r="K276" s="1" t="n">
        <x:f t="shared" si="35">G276-H276</x:f>
        <x:v>-5</x:v>
      </x:c>
      <x:c r="L276" s="1" t="n">
        <x:f>G276+H276</x:f>
        <x:v>21</x:v>
      </x:c>
      <x:c r="M276" s="1" t="n">
        <x:v>25</x:v>
      </x:c>
      <x:c r="N276" s="1" t="n">
        <x:v>15</x:v>
      </x:c>
      <x:c r="O276" s="3" t="n">
        <x:f t="shared" si="36"/>
        <x:v>3</x:v>
      </x:c>
      <x:c r="P276" s="22" t="n">
        <x:f t="shared" si="37">IF(N276=0,"",M276/N276)</x:f>
        <x:v>1.6666666666666667</x:v>
      </x:c>
      <x:c r="Q276" s="22" t="n">
        <x:f t="shared" si="38">IF(L276=0,"",M276/L276)</x:f>
        <x:v>1.1904761904761905</x:v>
      </x:c>
      <x:c r="R276" s="22" t="n">
        <x:f t="shared" si="39">IF(L276=0,"",N276/L276)</x:f>
        <x:v>0.7142857142857143</x:v>
      </x:c>
      <x:c r="S276" s="22" t="n">
        <x:f>IF(L276=0,"",O276/L276)</x:f>
        <x:v>0.14285714285714285</x:v>
      </x:c>
      <x:c r="T276" s="24" t="n">
        <x:v>14</x:v>
      </x:c>
      <x:c r="U276" s="26" t="n">
        <x:v>0.09</x:v>
      </x:c>
      <x:c r="V276" s="24" t="n">
        <x:v>327</x:v>
      </x:c>
      <x:c r="W276"/>
      <x:c r="X276"/>
    </x:row>
    <x:row r="277">
      <x:c r="A277" s="1" t="n">
        <x:v>275</x:v>
      </x:c>
      <x:c r="B277" s="27" t="n">
        <x:v>46261</x:v>
      </x:c>
      <x:c r="C277" s="1" t="str">
        <x:v>Haven</x:v>
      </x:c>
      <x:c r="D277" s="1" t="str">
        <x:v>MVP</x:v>
      </x:c>
      <x:c r="E277" s="1" t="str">
        <x:v>Sage</x:v>
      </x:c>
      <x:c r="F277" s="1" t="str">
        <x:v>Sentinel</x:v>
      </x:c>
      <x:c r="G277" s="1" t="n">
        <x:v>13</x:v>
      </x:c>
      <x:c r="H277" s="1" t="n">
        <x:f t="shared" si="32"/>
        <x:v>4</x:v>
      </x:c>
      <x:c r="I277" s="1" t="str">
        <x:f t="shared" si="33">IF(G277&gt;H277,"Win",IF(G277&lt;H277,"Loss","Draw"))</x:f>
        <x:v>Win</x:v>
      </x:c>
      <x:c r="J277" s="1" t="n">
        <x:f t="shared" si="34">IF(I277="Win",1,IF(I277="Loss",0,""))</x:f>
        <x:v>1</x:v>
      </x:c>
      <x:c r="K277" s="1" t="n">
        <x:f t="shared" si="35">G277-H277</x:f>
        <x:v>9</x:v>
      </x:c>
      <x:c r="L277" s="1" t="n">
        <x:f>G277+H277</x:f>
        <x:v>17</x:v>
      </x:c>
      <x:c r="M277" s="1" t="n">
        <x:v>22</x:v>
      </x:c>
      <x:c r="N277" s="1" t="n">
        <x:v>10</x:v>
      </x:c>
      <x:c r="O277" s="3" t="n">
        <x:f t="shared" si="36"/>
        <x:v>4</x:v>
      </x:c>
      <x:c r="P277" s="22" t="n">
        <x:f t="shared" si="37">IF(N277=0,"",M277/N277)</x:f>
        <x:v>2.2</x:v>
      </x:c>
      <x:c r="Q277" s="22" t="n">
        <x:f t="shared" si="38">IF(L277=0,"",M277/L277)</x:f>
        <x:v>1.2941176470588236</x:v>
      </x:c>
      <x:c r="R277" s="22" t="n">
        <x:f t="shared" si="39">IF(L277=0,"",N277/L277)</x:f>
        <x:v>0.5882352941176471</x:v>
      </x:c>
      <x:c r="S277" s="22" t="n">
        <x:f>IF(L277=0,"",O277/L277)</x:f>
        <x:v>0.23529411764705882</x:v>
      </x:c>
      <x:c r="T277" s="24" t="n">
        <x:v>60</x:v>
      </x:c>
      <x:c r="U277" s="26" t="n">
        <x:v>0.03</x:v>
      </x:c>
      <x:c r="V277" s="24" t="n">
        <x:v>339</x:v>
      </x:c>
      <x:c r="W277"/>
      <x:c r="X277"/>
    </x:row>
    <x:row r="278">
      <x:c r="A278" s="1" t="n">
        <x:v>276</x:v>
      </x:c>
      <x:c r="B278" s="27" t="n">
        <x:v>46261</x:v>
      </x:c>
      <x:c r="C278" s="1" t="str">
        <x:v>Sunset</x:v>
      </x:c>
      <x:c r="D278" s="1" t="str">
        <x:v>MVP</x:v>
      </x:c>
      <x:c r="E278" s="1" t="str">
        <x:v>Sage</x:v>
      </x:c>
      <x:c r="F278" s="1" t="str">
        <x:v>Sentinel</x:v>
      </x:c>
      <x:c r="G278" s="1" t="n">
        <x:v>13</x:v>
      </x:c>
      <x:c r="H278" s="1" t="n">
        <x:f t="shared" si="32"/>
        <x:v>11</x:v>
      </x:c>
      <x:c r="I278" s="1" t="str">
        <x:f t="shared" si="33">IF(G278&gt;H278,"Win",IF(G278&lt;H278,"Loss","Draw"))</x:f>
        <x:v>Win</x:v>
      </x:c>
      <x:c r="J278" s="1" t="n">
        <x:f t="shared" si="34">IF(I278="Win",1,IF(I278="Loss",0,""))</x:f>
        <x:v>1</x:v>
      </x:c>
      <x:c r="K278" s="1" t="n">
        <x:f t="shared" si="35">G278-H278</x:f>
        <x:v>2</x:v>
      </x:c>
      <x:c r="L278" s="1" t="n">
        <x:f>G278+H278</x:f>
        <x:v>24</x:v>
      </x:c>
      <x:c r="M278" s="1" t="n">
        <x:v>26</x:v>
      </x:c>
      <x:c r="N278" s="1" t="n">
        <x:v>11</x:v>
      </x:c>
      <x:c r="O278" s="3" t="n">
        <x:f t="shared" si="36"/>
        <x:v>11</x:v>
      </x:c>
      <x:c r="P278" s="22" t="n">
        <x:f t="shared" si="37">IF(N278=0,"",M278/N278)</x:f>
        <x:v>2.3636363636363638</x:v>
      </x:c>
      <x:c r="Q278" s="22" t="n">
        <x:f t="shared" si="38">IF(L278=0,"",M278/L278)</x:f>
        <x:v>1.0833333333333333</x:v>
      </x:c>
      <x:c r="R278" s="22" t="n">
        <x:f t="shared" si="39">IF(L278=0,"",N278/L278)</x:f>
        <x:v>0.4583333333333333</x:v>
      </x:c>
      <x:c r="S278" s="22" t="n">
        <x:f>IF(L278=0,"",O278/L278)</x:f>
        <x:v>0.4583333333333333</x:v>
      </x:c>
      <x:c r="T278" s="24" t="n">
        <x:v>84</x:v>
      </x:c>
      <x:c r="U278" s="26" t="n">
        <x:v>0.02</x:v>
      </x:c>
      <x:c r="V278" s="24" t="n">
        <x:v>302</x:v>
      </x:c>
      <x:c r="W278"/>
      <x:c r="X278"/>
    </x:row>
    <x:row r="279">
      <x:c r="A279" s="1" t="n">
        <x:v>277</x:v>
      </x:c>
      <x:c r="B279" s="27" t="n">
        <x:v>46262</x:v>
      </x:c>
      <x:c r="C279" s="1" t="str">
        <x:v>Sunset</x:v>
      </x:c>
      <x:c r="D279" s="1" t="str">
        <x:v>3rd</x:v>
      </x:c>
      <x:c r="E279" s="1" t="str">
        <x:v>Clove</x:v>
      </x:c>
      <x:c r="F279" s="1" t="str">
        <x:v>Controller</x:v>
      </x:c>
      <x:c r="G279" s="1" t="n">
        <x:v>3</x:v>
      </x:c>
      <x:c r="H279" s="1" t="n">
        <x:f t="shared" si="32"/>
        <x:v>13</x:v>
      </x:c>
      <x:c r="I279" s="1" t="str">
        <x:f t="shared" si="33">IF(G279&gt;H279,"Win",IF(G279&lt;H279,"Loss","Draw"))</x:f>
        <x:v>Loss</x:v>
      </x:c>
      <x:c r="J279" s="1" t="n">
        <x:f t="shared" si="34">IF(I279="Win",1,IF(I279="Loss",0,""))</x:f>
        <x:v>0</x:v>
      </x:c>
      <x:c r="K279" s="1" t="n">
        <x:f t="shared" si="35">G279-H279</x:f>
        <x:v>-10</x:v>
      </x:c>
      <x:c r="L279" s="1" t="n">
        <x:f>G279+H279</x:f>
        <x:v>16</x:v>
      </x:c>
      <x:c r="M279" s="1" t="n">
        <x:v>14</x:v>
      </x:c>
      <x:c r="N279" s="1" t="n">
        <x:v>13</x:v>
      </x:c>
      <x:c r="O279" s="3" t="n">
        <x:f t="shared" si="36"/>
        <x:v>2</x:v>
      </x:c>
      <x:c r="P279" s="22" t="n">
        <x:f t="shared" si="37">IF(N279=0,"",M279/N279)</x:f>
        <x:v>1.0769230769230769</x:v>
      </x:c>
      <x:c r="Q279" s="22" t="n">
        <x:f t="shared" si="38">IF(L279=0,"",M279/L279)</x:f>
        <x:v>0.875</x:v>
      </x:c>
      <x:c r="R279" s="22" t="n">
        <x:f t="shared" si="39">IF(L279=0,"",N279/L279)</x:f>
        <x:v>0.8125</x:v>
      </x:c>
      <x:c r="S279" s="22" t="n">
        <x:f>IF(L279=0,"",O279/L279)</x:f>
        <x:v>0.125</x:v>
      </x:c>
      <x:c r="T279" s="24" t="n">
        <x:v>-14</x:v>
      </x:c>
      <x:c r="U279" s="26" t="n">
        <x:v>0.06</x:v>
      </x:c>
      <x:c r="V279" s="24" t="n">
        <x:v>248</x:v>
      </x:c>
      <x:c r="W279"/>
      <x:c r="X279"/>
    </x:row>
    <x:row r="280">
      <x:c r="A280" s="1" t="n">
        <x:v>278</x:v>
      </x:c>
      <x:c r="B280" s="27" t="n">
        <x:v>46262</x:v>
      </x:c>
      <x:c r="C280" s="1" t="str">
        <x:v>Ascent</x:v>
      </x:c>
      <x:c r="D280" s="1" t="str">
        <x:v>2nd</x:v>
      </x:c>
      <x:c r="E280" s="1" t="str">
        <x:v>Deadlock</x:v>
      </x:c>
      <x:c r="F280" s="1" t="str">
        <x:v>Sentinel</x:v>
      </x:c>
      <x:c r="G280" s="1" t="n">
        <x:v>13</x:v>
      </x:c>
      <x:c r="H280" s="1" t="n">
        <x:f t="shared" si="32"/>
        <x:v>7</x:v>
      </x:c>
      <x:c r="I280" s="1" t="str">
        <x:f t="shared" si="33">IF(G280&gt;H280,"Win",IF(G280&lt;H280,"Loss","Draw"))</x:f>
        <x:v>Win</x:v>
      </x:c>
      <x:c r="J280" s="1" t="n">
        <x:f t="shared" si="34">IF(I280="Win",1,IF(I280="Loss",0,""))</x:f>
        <x:v>1</x:v>
      </x:c>
      <x:c r="K280" s="1" t="n">
        <x:f t="shared" si="35">G280-H280</x:f>
        <x:v>6</x:v>
      </x:c>
      <x:c r="L280" s="1" t="n">
        <x:f>G280+H280</x:f>
        <x:v>20</x:v>
      </x:c>
      <x:c r="M280" s="1" t="n">
        <x:v>21</x:v>
      </x:c>
      <x:c r="N280" s="1" t="n">
        <x:v>10</x:v>
      </x:c>
      <x:c r="O280" s="3" t="n">
        <x:f t="shared" si="36"/>
        <x:v>4</x:v>
      </x:c>
      <x:c r="P280" s="22" t="n">
        <x:f t="shared" si="37">IF(N280=0,"",M280/N280)</x:f>
        <x:v>2.1</x:v>
      </x:c>
      <x:c r="Q280" s="22" t="n">
        <x:f t="shared" si="38">IF(L280=0,"",M280/L280)</x:f>
        <x:v>1.05</x:v>
      </x:c>
      <x:c r="R280" s="22" t="n">
        <x:f t="shared" si="39">IF(L280=0,"",N280/L280)</x:f>
        <x:v>0.5</x:v>
      </x:c>
      <x:c r="S280" s="22" t="n">
        <x:f>IF(L280=0,"",O280/L280)</x:f>
        <x:v>0.2</x:v>
      </x:c>
      <x:c r="T280" s="24" t="n">
        <x:v>58</x:v>
      </x:c>
      <x:c r="U280" s="26" t="n">
        <x:v>0.09</x:v>
      </x:c>
      <x:c r="V280" s="24" t="n">
        <x:v>273</x:v>
      </x:c>
      <x:c r="W280"/>
      <x:c r="X280"/>
    </x:row>
    <x:row r="281">
      <x:c r="A281" s="1" t="n">
        <x:v>279</x:v>
      </x:c>
      <x:c r="B281" s="27" t="n">
        <x:v>46263</x:v>
      </x:c>
      <x:c r="C281" s="1" t="str">
        <x:v>Lotus</x:v>
      </x:c>
      <x:c r="D281" s="1" t="str">
        <x:v>8th</x:v>
      </x:c>
      <x:c r="E281" s="1" t="str">
        <x:v>Clove</x:v>
      </x:c>
      <x:c r="F281" s="1" t="str">
        <x:v>Controller</x:v>
      </x:c>
      <x:c r="G281" s="1" t="n">
        <x:v>13</x:v>
      </x:c>
      <x:c r="H281" s="1" t="n">
        <x:f t="shared" si="32"/>
        <x:v>1</x:v>
      </x:c>
      <x:c r="I281" s="1" t="str">
        <x:f t="shared" si="33">IF(G281&gt;H281,"Win",IF(G281&lt;H281,"Loss","Draw"))</x:f>
        <x:v>Win</x:v>
      </x:c>
      <x:c r="J281" s="1" t="n">
        <x:f t="shared" si="34">IF(I281="Win",1,IF(I281="Loss",0,""))</x:f>
        <x:v>1</x:v>
      </x:c>
      <x:c r="K281" s="1" t="n">
        <x:f t="shared" si="35">G281-H281</x:f>
        <x:v>12</x:v>
      </x:c>
      <x:c r="L281" s="1" t="n">
        <x:f>G281+H281</x:f>
        <x:v>14</x:v>
      </x:c>
      <x:c r="M281" s="1" t="n">
        <x:v>6</x:v>
      </x:c>
      <x:c r="N281" s="1" t="n">
        <x:v>4</x:v>
      </x:c>
      <x:c r="O281" s="3" t="n">
        <x:f t="shared" si="36"/>
        <x:v>2</x:v>
      </x:c>
      <x:c r="P281" s="22" t="n">
        <x:f t="shared" si="37">IF(N281=0,"",M281/N281)</x:f>
        <x:v>1.5</x:v>
      </x:c>
      <x:c r="Q281" s="22" t="n">
        <x:f t="shared" si="38">IF(L281=0,"",M281/L281)</x:f>
        <x:v>0.42857142857142855</x:v>
      </x:c>
      <x:c r="R281" s="22" t="n">
        <x:f t="shared" si="39">IF(L281=0,"",N281/L281)</x:f>
        <x:v>0.2857142857142857</x:v>
      </x:c>
      <x:c r="S281" s="22" t="n">
        <x:f>IF(L281=0,"",O281/L281)</x:f>
        <x:v>0.14285714285714285</x:v>
      </x:c>
      <x:c r="T281" s="24" t="n">
        <x:v>23</x:v>
      </x:c>
      <x:c r="U281" s="26" t="n">
        <x:v>0.07</x:v>
      </x:c>
      <x:c r="V281" s="24" t="n">
        <x:v>112</x:v>
      </x:c>
      <x:c r="W281"/>
      <x:c r="X281"/>
    </x:row>
    <x:row r="282">
      <x:c r="A282" s="1" t="n">
        <x:v>280</x:v>
      </x:c>
      <x:c r="B282" s="27" t="n">
        <x:v>46263</x:v>
      </x:c>
      <x:c r="C282" s="1" t="str">
        <x:v>Ascent</x:v>
      </x:c>
      <x:c r="D282" s="1" t="str">
        <x:v>6th</x:v>
      </x:c>
      <x:c r="E282" s="1" t="str">
        <x:v>Sage</x:v>
      </x:c>
      <x:c r="F282" s="1" t="str">
        <x:v>Sentinel</x:v>
      </x:c>
      <x:c r="G282" s="1" t="n">
        <x:v>14</x:v>
      </x:c>
      <x:c r="H282" s="1" t="n">
        <x:f t="shared" si="32"/>
        <x:v>14</x:v>
      </x:c>
      <x:c r="I282" s="1" t="str">
        <x:f t="shared" si="33">IF(G282&gt;H282,"Win",IF(G282&lt;H282,"Loss","Draw"))</x:f>
        <x:v>Draw</x:v>
      </x:c>
      <x:c r="J282" s="1" t="str">
        <x:f t="shared" si="34">IF(I282="Win",1,IF(I282="Loss",0,""))</x:f>
      </x:c>
      <x:c r="K282" s="1" t="n">
        <x:f t="shared" si="35">G282-H282</x:f>
        <x:v>0</x:v>
      </x:c>
      <x:c r="L282" s="1" t="n">
        <x:f>G282+H282</x:f>
        <x:v>28</x:v>
      </x:c>
      <x:c r="M282" s="1" t="n">
        <x:v>19</x:v>
      </x:c>
      <x:c r="N282" s="1" t="n">
        <x:v>19</x:v>
      </x:c>
      <x:c r="O282" s="3" t="n">
        <x:f t="shared" si="36"/>
        <x:v>10</x:v>
      </x:c>
      <x:c r="P282" s="22" t="n">
        <x:f t="shared" si="37">IF(N282=0,"",M282/N282)</x:f>
        <x:v>1</x:v>
      </x:c>
      <x:c r="Q282" s="22" t="n">
        <x:f t="shared" si="38">IF(L282=0,"",M282/L282)</x:f>
        <x:v>0.6785714285714286</x:v>
      </x:c>
      <x:c r="R282" s="22" t="n">
        <x:f t="shared" si="39">IF(L282=0,"",N282/L282)</x:f>
        <x:v>0.6785714285714286</x:v>
      </x:c>
      <x:c r="S282" s="22" t="n">
        <x:f>IF(L282=0,"",O282/L282)</x:f>
        <x:v>0.35714285714285715</x:v>
      </x:c>
      <x:c r="T282" s="24" t="n">
        <x:v>-26</x:v>
      </x:c>
      <x:c r="U282" s="26" t="n">
        <x:v>0.08</x:v>
      </x:c>
      <x:c r="V282" s="24" t="n">
        <x:v>204</x:v>
      </x:c>
      <x:c r="W282"/>
      <x:c r="X282"/>
    </x:row>
    <x:row r="283">
      <x:c r="A283" s="1" t="n">
        <x:v>281</x:v>
      </x:c>
      <x:c r="B283" s="27" t="n">
        <x:v>46263</x:v>
      </x:c>
      <x:c r="C283" s="1" t="str">
        <x:v>Split</x:v>
      </x:c>
      <x:c r="D283" s="1" t="str">
        <x:v>9th</x:v>
      </x:c>
      <x:c r="E283" s="1" t="str">
        <x:v>Sage</x:v>
      </x:c>
      <x:c r="F283" s="1" t="str">
        <x:v>Sentinel</x:v>
      </x:c>
      <x:c r="G283" s="1" t="n">
        <x:v>13</x:v>
      </x:c>
      <x:c r="H283" s="1" t="n">
        <x:f t="shared" si="32"/>
        <x:v>2</x:v>
      </x:c>
      <x:c r="I283" s="1" t="str">
        <x:f t="shared" si="33">IF(G283&gt;H283,"Win",IF(G283&lt;H283,"Loss","Draw"))</x:f>
        <x:v>Win</x:v>
      </x:c>
      <x:c r="J283" s="1" t="n">
        <x:f t="shared" si="34">IF(I283="Win",1,IF(I283="Loss",0,""))</x:f>
        <x:v>1</x:v>
      </x:c>
      <x:c r="K283" s="1" t="n">
        <x:f t="shared" si="35">G283-H283</x:f>
        <x:v>11</x:v>
      </x:c>
      <x:c r="L283" s="1" t="n">
        <x:f>G283+H283</x:f>
        <x:v>15</x:v>
      </x:c>
      <x:c r="M283" s="1" t="n">
        <x:v>7</x:v>
      </x:c>
      <x:c r="N283" s="1" t="n">
        <x:v>7</x:v>
      </x:c>
      <x:c r="O283" s="3" t="n">
        <x:f t="shared" si="36"/>
        <x:v>2</x:v>
      </x:c>
      <x:c r="P283" s="22" t="n">
        <x:f t="shared" si="37">IF(N283=0,"",M283/N283)</x:f>
        <x:v>1</x:v>
      </x:c>
      <x:c r="Q283" s="22" t="n">
        <x:f t="shared" si="38">IF(L283=0,"",M283/L283)</x:f>
        <x:v>0.4666666666666667</x:v>
      </x:c>
      <x:c r="R283" s="22" t="n">
        <x:f t="shared" si="39">IF(L283=0,"",N283/L283)</x:f>
        <x:v>0.4666666666666667</x:v>
      </x:c>
      <x:c r="S283" s="22" t="n">
        <x:f>IF(L283=0,"",O283/L283)</x:f>
        <x:v>0.13333333333333333</x:v>
      </x:c>
      <x:c r="T283" s="24" t="n">
        <x:v>-6</x:v>
      </x:c>
      <x:c r="U283" s="26" t="n">
        <x:v>0.03</x:v>
      </x:c>
      <x:c r="V283" s="24" t="n">
        <x:v>140</x:v>
      </x:c>
      <x:c r="W283"/>
      <x:c r="X283"/>
    </x:row>
    <x:row r="284">
      <x:c r="A284" s="1" t="n">
        <x:v>282</x:v>
      </x:c>
      <x:c r="B284" s="27" t="n">
        <x:v>46263</x:v>
      </x:c>
      <x:c r="C284" s="1" t="str">
        <x:v>Sunset</x:v>
      </x:c>
      <x:c r="D284" s="1" t="str">
        <x:v>10th</x:v>
      </x:c>
      <x:c r="E284" s="1" t="str">
        <x:v>Sage</x:v>
      </x:c>
      <x:c r="F284" s="1" t="str">
        <x:v>Sentinel</x:v>
      </x:c>
      <x:c r="G284" s="1" t="n">
        <x:v>9</x:v>
      </x:c>
      <x:c r="H284" s="1" t="n">
        <x:f t="shared" si="32"/>
        <x:v>13</x:v>
      </x:c>
      <x:c r="I284" s="1" t="str">
        <x:f t="shared" si="33">IF(G284&gt;H284,"Win",IF(G284&lt;H284,"Loss","Draw"))</x:f>
        <x:v>Loss</x:v>
      </x:c>
      <x:c r="J284" s="1" t="n">
        <x:f t="shared" si="34">IF(I284="Win",1,IF(I284="Loss",0,""))</x:f>
        <x:v>0</x:v>
      </x:c>
      <x:c r="K284" s="1" t="n">
        <x:f t="shared" si="35">G284-H284</x:f>
        <x:v>-4</x:v>
      </x:c>
      <x:c r="L284" s="1" t="n">
        <x:f>G284+H284</x:f>
        <x:v>22</x:v>
      </x:c>
      <x:c r="M284" s="1" t="n">
        <x:v>5</x:v>
      </x:c>
      <x:c r="N284" s="1" t="n">
        <x:v>17</x:v>
      </x:c>
      <x:c r="O284" s="3" t="n">
        <x:f t="shared" si="36"/>
        <x:v>7</x:v>
      </x:c>
      <x:c r="P284" s="22" t="n">
        <x:f t="shared" si="37">IF(N284=0,"",M284/N284)</x:f>
        <x:v>0.29411764705882354</x:v>
      </x:c>
      <x:c r="Q284" s="22" t="n">
        <x:f t="shared" si="38">IF(L284=0,"",M284/L284)</x:f>
        <x:v>0.22727272727272727</x:v>
      </x:c>
      <x:c r="R284" s="22" t="n">
        <x:f t="shared" si="39">IF(L284=0,"",N284/L284)</x:f>
        <x:v>0.7727272727272727</x:v>
      </x:c>
      <x:c r="S284" s="22" t="n">
        <x:f>IF(L284=0,"",O284/L284)</x:f>
        <x:v>0.3181818181818182</x:v>
      </x:c>
      <x:c r="T284" s="24" t="n">
        <x:v>-96</x:v>
      </x:c>
      <x:c r="U284" s="26" t="n">
        <x:v>0.05</x:v>
      </x:c>
      <x:c r="V284" s="24" t="n">
        <x:v>75</x:v>
      </x:c>
      <x:c r="W284"/>
      <x:c r="X284"/>
    </x:row>
    <x:row r="285">
      <x:c r="A285" s="1" t="n">
        <x:v>283</x:v>
      </x:c>
      <x:c r="B285" s="27" t="n">
        <x:v>46263</x:v>
      </x:c>
      <x:c r="C285" s="1" t="str">
        <x:v>Summit</x:v>
      </x:c>
      <x:c r="D285" s="1" t="str">
        <x:v>9th</x:v>
      </x:c>
      <x:c r="E285" s="1" t="str">
        <x:v>Sage</x:v>
      </x:c>
      <x:c r="F285" s="1" t="str">
        <x:v>Sentinel</x:v>
      </x:c>
      <x:c r="G285" s="1" t="n">
        <x:v>9</x:v>
      </x:c>
      <x:c r="H285" s="1" t="n">
        <x:f t="shared" si="32"/>
        <x:v>3</x:v>
      </x:c>
      <x:c r="I285" s="1" t="str">
        <x:f t="shared" si="33">IF(G285&gt;H285,"Win",IF(G285&lt;H285,"Loss","Draw"))</x:f>
        <x:v>Win</x:v>
      </x:c>
      <x:c r="J285" s="1" t="n">
        <x:f t="shared" si="34">IF(I285="Win",1,IF(I285="Loss",0,""))</x:f>
        <x:v>1</x:v>
      </x:c>
      <x:c r="K285" s="1" t="n">
        <x:f t="shared" si="35">G285-H285</x:f>
        <x:v>6</x:v>
      </x:c>
      <x:c r="L285" s="1" t="n">
        <x:f>G285+H285</x:f>
        <x:v>12</x:v>
      </x:c>
      <x:c r="M285" s="1" t="n">
        <x:v>6</x:v>
      </x:c>
      <x:c r="N285" s="1" t="n">
        <x:v>8</x:v>
      </x:c>
      <x:c r="O285" s="3" t="n">
        <x:f t="shared" si="36"/>
        <x:v>3</x:v>
      </x:c>
      <x:c r="P285" s="22" t="n">
        <x:f t="shared" si="37">IF(N285=0,"",M285/N285)</x:f>
        <x:v>0.75</x:v>
      </x:c>
      <x:c r="Q285" s="22" t="n">
        <x:f t="shared" si="38">IF(L285=0,"",M285/L285)</x:f>
        <x:v>0.5</x:v>
      </x:c>
      <x:c r="R285" s="22" t="n">
        <x:f t="shared" si="39">IF(L285=0,"",N285/L285)</x:f>
        <x:v>0.6666666666666666</x:v>
      </x:c>
      <x:c r="S285" s="22" t="n">
        <x:f>IF(L285=0,"",O285/L285)</x:f>
        <x:v>0.25</x:v>
      </x:c>
      <x:c r="T285" s="24" t="n">
        <x:v>-59</x:v>
      </x:c>
      <x:c r="U285" s="26" t="n">
        <x:v>0.04</x:v>
      </x:c>
      <x:c r="V285" s="24" t="n">
        <x:v>112</x:v>
      </x:c>
      <x:c r="W285"/>
      <x:c r="X285"/>
    </x:row>
    <x:row r="286">
      <x:c r="A286" s="1" t="n">
        <x:v>284</x:v>
      </x:c>
      <x:c r="B286" s="27" t="n">
        <x:v>46264</x:v>
      </x:c>
      <x:c r="C286" s="1" t="str">
        <x:v>Split</x:v>
      </x:c>
      <x:c r="D286" s="1" t="str">
        <x:v>5th</x:v>
      </x:c>
      <x:c r="E286" s="1" t="str">
        <x:v>Sage</x:v>
      </x:c>
      <x:c r="F286" s="1" t="str">
        <x:v>Sentinel</x:v>
      </x:c>
      <x:c r="G286" s="1" t="n">
        <x:v>13</x:v>
      </x:c>
      <x:c r="H286" s="1" t="n">
        <x:f t="shared" si="32"/>
        <x:v>6</x:v>
      </x:c>
      <x:c r="I286" s="1" t="str">
        <x:f t="shared" si="33">IF(G286&gt;H286,"Win",IF(G286&lt;H286,"Loss","Draw"))</x:f>
        <x:v>Win</x:v>
      </x:c>
      <x:c r="J286" s="1" t="n">
        <x:f t="shared" si="34">IF(I286="Win",1,IF(I286="Loss",0,""))</x:f>
        <x:v>1</x:v>
      </x:c>
      <x:c r="K286" s="1" t="n">
        <x:f t="shared" si="35">G286-H286</x:f>
        <x:v>7</x:v>
      </x:c>
      <x:c r="L286" s="1" t="n">
        <x:f>G286+H286</x:f>
        <x:v>19</x:v>
      </x:c>
      <x:c r="M286" s="1" t="n">
        <x:v>15</x:v>
      </x:c>
      <x:c r="N286" s="1" t="n">
        <x:v>13</x:v>
      </x:c>
      <x:c r="O286" s="3" t="n">
        <x:f t="shared" si="36"/>
        <x:v>4</x:v>
      </x:c>
      <x:c r="P286" s="22" t="n">
        <x:f t="shared" si="37">IF(N286=0,"",M286/N286)</x:f>
        <x:v>1.1538461538461537</x:v>
      </x:c>
      <x:c r="Q286" s="22" t="n">
        <x:f t="shared" si="38">IF(L286=0,"",M286/L286)</x:f>
        <x:v>0.7894736842105263</x:v>
      </x:c>
      <x:c r="R286" s="22" t="n">
        <x:f t="shared" si="39">IF(L286=0,"",N286/L286)</x:f>
        <x:v>0.6842105263157895</x:v>
      </x:c>
      <x:c r="S286" s="22" t="n">
        <x:f>IF(L286=0,"",O286/L286)</x:f>
        <x:v>0.21052631578947367</x:v>
      </x:c>
      <x:c r="T286" s="24" t="n">
        <x:v>16</x:v>
      </x:c>
      <x:c r="U286" s="26" t="n">
        <x:v>0.08</x:v>
      </x:c>
      <x:c r="V286" s="24" t="n">
        <x:v>236</x:v>
      </x:c>
      <x:c r="W286"/>
      <x:c r="X286"/>
    </x:row>
    <x:row r="287">
      <x:c r="A287" s="1" t="n">
        <x:v>285</x:v>
      </x:c>
      <x:c r="B287" s="27" t="n">
        <x:v>46264</x:v>
      </x:c>
      <x:c r="C287" s="1" t="str">
        <x:v>Abyss</x:v>
      </x:c>
      <x:c r="D287" s="1" t="str">
        <x:v>3rd</x:v>
      </x:c>
      <x:c r="E287" s="1" t="str">
        <x:v>Clove</x:v>
      </x:c>
      <x:c r="F287" s="1" t="str">
        <x:v>Controller</x:v>
      </x:c>
      <x:c r="G287" s="1" t="n">
        <x:v>13</x:v>
      </x:c>
      <x:c r="H287" s="1" t="n">
        <x:f t="shared" si="32"/>
        <x:v>8</x:v>
      </x:c>
      <x:c r="I287" s="1" t="str">
        <x:f t="shared" si="33">IF(G287&gt;H287,"Win",IF(G287&lt;H287,"Loss","Draw"))</x:f>
        <x:v>Win</x:v>
      </x:c>
      <x:c r="J287" s="1" t="n">
        <x:f t="shared" si="34">IF(I287="Win",1,IF(I287="Loss",0,""))</x:f>
        <x:v>1</x:v>
      </x:c>
      <x:c r="K287" s="1" t="n">
        <x:f t="shared" si="35">G287-H287</x:f>
        <x:v>5</x:v>
      </x:c>
      <x:c r="L287" s="1" t="n">
        <x:f>G287+H287</x:f>
        <x:v>21</x:v>
      </x:c>
      <x:c r="M287" s="1" t="n">
        <x:v>23</x:v>
      </x:c>
      <x:c r="N287" s="1" t="n">
        <x:v>14</x:v>
      </x:c>
      <x:c r="O287" s="3" t="n">
        <x:f t="shared" si="36"/>
        <x:v>2</x:v>
      </x:c>
      <x:c r="P287" s="22" t="n">
        <x:f t="shared" si="37">IF(N287=0,"",M287/N287)</x:f>
        <x:v>1.6428571428571428</x:v>
      </x:c>
      <x:c r="Q287" s="22" t="n">
        <x:f t="shared" si="38">IF(L287=0,"",M287/L287)</x:f>
        <x:v>1.0952380952380953</x:v>
      </x:c>
      <x:c r="R287" s="22" t="n">
        <x:f t="shared" si="39">IF(L287=0,"",N287/L287)</x:f>
        <x:v>0.6666666666666666</x:v>
      </x:c>
      <x:c r="S287" s="22" t="n">
        <x:f>IF(L287=0,"",O287/L287)</x:f>
        <x:v>0.09523809523809523</x:v>
      </x:c>
      <x:c r="T287" s="24" t="n">
        <x:v>7</x:v>
      </x:c>
      <x:c r="U287" s="26" t="n">
        <x:v>0.04</x:v>
      </x:c>
      <x:c r="V287" s="24" t="n">
        <x:v>265</x:v>
      </x:c>
      <x:c r="W287"/>
      <x:c r="X287"/>
    </x:row>
    <x:row r="288">
      <x:c r="A288" s="1" t="n">
        <x:v>286</x:v>
      </x:c>
      <x:c r="B288" s="27" t="n">
        <x:v>46264</x:v>
      </x:c>
      <x:c r="C288" s="1" t="str">
        <x:v>Haven</x:v>
      </x:c>
      <x:c r="D288" s="1" t="str">
        <x:v>MVP</x:v>
      </x:c>
      <x:c r="E288" s="1" t="str">
        <x:v>Sage</x:v>
      </x:c>
      <x:c r="F288" s="1" t="str">
        <x:v>Sentinel</x:v>
      </x:c>
      <x:c r="G288" s="1" t="n">
        <x:v>13</x:v>
      </x:c>
      <x:c r="H288" s="1" t="n">
        <x:f t="shared" si="32"/>
        <x:v>10</x:v>
      </x:c>
      <x:c r="I288" s="1" t="str">
        <x:f t="shared" si="33">IF(G288&gt;H288,"Win",IF(G288&lt;H288,"Loss","Draw"))</x:f>
        <x:v>Win</x:v>
      </x:c>
      <x:c r="J288" s="1" t="n">
        <x:f t="shared" si="34">IF(I288="Win",1,IF(I288="Loss",0,""))</x:f>
        <x:v>1</x:v>
      </x:c>
      <x:c r="K288" s="1" t="n">
        <x:f t="shared" si="35">G288-H288</x:f>
        <x:v>3</x:v>
      </x:c>
      <x:c r="L288" s="1" t="n">
        <x:f>G288+H288</x:f>
        <x:v>23</x:v>
      </x:c>
      <x:c r="M288" s="1" t="n">
        <x:v>32</x:v>
      </x:c>
      <x:c r="N288" s="1" t="n">
        <x:v>12</x:v>
      </x:c>
      <x:c r="O288" s="3" t="n">
        <x:f t="shared" si="36"/>
        <x:v>8</x:v>
      </x:c>
      <x:c r="P288" s="22" t="n">
        <x:f t="shared" si="37">IF(N288=0,"",M288/N288)</x:f>
        <x:v>2.6666666666666665</x:v>
      </x:c>
      <x:c r="Q288" s="22" t="n">
        <x:f t="shared" si="38">IF(L288=0,"",M288/L288)</x:f>
        <x:v>1.391304347826087</x:v>
      </x:c>
      <x:c r="R288" s="22" t="n">
        <x:f t="shared" si="39">IF(L288=0,"",N288/L288)</x:f>
        <x:v>0.5217391304347826</x:v>
      </x:c>
      <x:c r="S288" s="22" t="n">
        <x:f>IF(L288=0,"",O288/L288)</x:f>
        <x:v>0.34782608695652173</x:v>
      </x:c>
      <x:c r="T288" s="24" t="n">
        <x:v>129</x:v>
      </x:c>
      <x:c r="U288" s="26" t="n">
        <x:v>0.05</x:v>
      </x:c>
      <x:c r="V288" s="24" t="n">
        <x:v>409</x:v>
      </x:c>
      <x:c r="W288"/>
      <x:c r="X288"/>
    </x:row>
    <x:row r="289">
      <x:c r="A289" s="1" t="n">
        <x:v>287</x:v>
      </x:c>
      <x:c r="B289" s="27" t="n">
        <x:v>46266</x:v>
      </x:c>
      <x:c r="C289" s="1" t="str">
        <x:v>Haven</x:v>
      </x:c>
      <x:c r="D289" s="1" t="str">
        <x:v>8th</x:v>
      </x:c>
      <x:c r="E289" s="1" t="str">
        <x:v>Sage</x:v>
      </x:c>
      <x:c r="F289" s="1" t="str">
        <x:v>Sentinel</x:v>
      </x:c>
      <x:c r="G289" s="1" t="n">
        <x:v>8</x:v>
      </x:c>
      <x:c r="H289" s="1" t="n">
        <x:f t="shared" si="32"/>
        <x:v>13</x:v>
      </x:c>
      <x:c r="I289" s="1" t="str">
        <x:f t="shared" si="33">IF(G289&gt;H289,"Win",IF(G289&lt;H289,"Loss","Draw"))</x:f>
        <x:v>Loss</x:v>
      </x:c>
      <x:c r="J289" s="1" t="n">
        <x:f t="shared" si="34">IF(I289="Win",1,IF(I289="Loss",0,""))</x:f>
        <x:v>0</x:v>
      </x:c>
      <x:c r="K289" s="1" t="n">
        <x:f t="shared" si="35">G289-H289</x:f>
        <x:v>-5</x:v>
      </x:c>
      <x:c r="L289" s="1" t="n">
        <x:f>G289+H289</x:f>
        <x:v>21</x:v>
      </x:c>
      <x:c r="M289" s="1" t="n">
        <x:v>9</x:v>
      </x:c>
      <x:c r="N289" s="1" t="n">
        <x:v>18</x:v>
      </x:c>
      <x:c r="O289" s="3" t="n">
        <x:f t="shared" si="36"/>
        <x:v>6</x:v>
      </x:c>
      <x:c r="P289" s="22" t="n">
        <x:f t="shared" si="37">IF(N289=0,"",M289/N289)</x:f>
        <x:v>0.5</x:v>
      </x:c>
      <x:c r="Q289" s="22" t="n">
        <x:f t="shared" si="38">IF(L289=0,"",M289/L289)</x:f>
        <x:v>0.42857142857142855</x:v>
      </x:c>
      <x:c r="R289" s="22" t="n">
        <x:f t="shared" si="39">IF(L289=0,"",N289/L289)</x:f>
        <x:v>0.8571428571428571</x:v>
      </x:c>
      <x:c r="S289" s="22" t="n">
        <x:f>IF(L289=0,"",O289/L289)</x:f>
        <x:v>0.2857142857142857</x:v>
      </x:c>
      <x:c r="T289" s="24" t="n">
        <x:v>-42</x:v>
      </x:c>
      <x:c r="U289" s="26" t="n">
        <x:v>0.08</x:v>
      </x:c>
      <x:c r="V289" s="24" t="n">
        <x:v>149</x:v>
      </x:c>
      <x:c r="W289"/>
      <x:c r="X289"/>
    </x:row>
    <x:row r="290">
      <x:c r="A290" s="1" t="n">
        <x:v>288</x:v>
      </x:c>
      <x:c r="B290" s="27" t="n">
        <x:v>46268</x:v>
      </x:c>
      <x:c r="C290" s="1" t="str">
        <x:v>Summit</x:v>
      </x:c>
      <x:c r="D290" s="1" t="str">
        <x:v>9th</x:v>
      </x:c>
      <x:c r="E290" s="1" t="str">
        <x:v>Clove</x:v>
      </x:c>
      <x:c r="F290" s="1" t="str">
        <x:v>Controller</x:v>
      </x:c>
      <x:c r="G290" s="1" t="n">
        <x:v>5</x:v>
      </x:c>
      <x:c r="H290" s="1" t="n">
        <x:f t="shared" si="32"/>
        <x:v>13</x:v>
      </x:c>
      <x:c r="I290" s="1" t="str">
        <x:f t="shared" si="33">IF(G290&gt;H290,"Win",IF(G290&lt;H290,"Loss","Draw"))</x:f>
        <x:v>Loss</x:v>
      </x:c>
      <x:c r="J290" s="1" t="n">
        <x:f t="shared" si="34">IF(I290="Win",1,IF(I290="Loss",0,""))</x:f>
        <x:v>0</x:v>
      </x:c>
      <x:c r="K290" s="1" t="n">
        <x:f t="shared" si="35">G290-H290</x:f>
        <x:v>-8</x:v>
      </x:c>
      <x:c r="L290" s="1" t="n">
        <x:f>G290+H290</x:f>
        <x:v>18</x:v>
      </x:c>
      <x:c r="M290" s="1" t="n">
        <x:v>10</x:v>
      </x:c>
      <x:c r="N290" s="1" t="n">
        <x:v>16</x:v>
      </x:c>
      <x:c r="O290" s="3" t="n">
        <x:f t="shared" si="36"/>
        <x:v>9</x:v>
      </x:c>
      <x:c r="P290" s="22" t="n">
        <x:f t="shared" si="37">IF(N290=0,"",M290/N290)</x:f>
        <x:v>0.625</x:v>
      </x:c>
      <x:c r="Q290" s="22" t="n">
        <x:f t="shared" si="38">IF(L290=0,"",M290/L290)</x:f>
        <x:v>0.5555555555555556</x:v>
      </x:c>
      <x:c r="R290" s="22" t="n">
        <x:f t="shared" si="39">IF(L290=0,"",N290/L290)</x:f>
        <x:v>0.8888888888888888</x:v>
      </x:c>
      <x:c r="S290" s="22" t="n">
        <x:f>IF(L290=0,"",O290/L290)</x:f>
        <x:v>0.5</x:v>
      </x:c>
      <x:c r="T290" s="24" t="n">
        <x:v>-83</x:v>
      </x:c>
      <x:c r="U290" s="26" t="n">
        <x:v>0.05</x:v>
      </x:c>
      <x:c r="V290" s="24" t="n">
        <x:v>152</x:v>
      </x:c>
      <x:c r="W290"/>
      <x:c r="X290"/>
    </x:row>
    <x:row r="291">
      <x:c r="A291" s="1" t="n">
        <x:v>289</x:v>
      </x:c>
      <x:c r="B291" s="27" t="n">
        <x:v>46269</x:v>
      </x:c>
      <x:c r="C291" s="1" t="str">
        <x:v>Sunset</x:v>
      </x:c>
      <x:c r="D291" s="1" t="str">
        <x:v>8th</x:v>
      </x:c>
      <x:c r="E291" s="1" t="str">
        <x:v>Sage</x:v>
      </x:c>
      <x:c r="F291" s="1" t="str">
        <x:v>Sentinel</x:v>
      </x:c>
      <x:c r="G291" s="1" t="n">
        <x:v>13</x:v>
      </x:c>
      <x:c r="H291" s="1" t="n">
        <x:f t="shared" si="32"/>
        <x:v>11</x:v>
      </x:c>
      <x:c r="I291" s="1" t="str">
        <x:f t="shared" si="33">IF(G291&gt;H291,"Win",IF(G291&lt;H291,"Loss","Draw"))</x:f>
        <x:v>Win</x:v>
      </x:c>
      <x:c r="J291" s="1" t="n">
        <x:f t="shared" si="34">IF(I291="Win",1,IF(I291="Loss",0,""))</x:f>
        <x:v>1</x:v>
      </x:c>
      <x:c r="K291" s="1" t="n">
        <x:f t="shared" si="35">G291-H291</x:f>
        <x:v>2</x:v>
      </x:c>
      <x:c r="L291" s="1" t="n">
        <x:f>G291+H291</x:f>
        <x:v>24</x:v>
      </x:c>
      <x:c r="M291" s="1" t="n">
        <x:v>13</x:v>
      </x:c>
      <x:c r="N291" s="1" t="n">
        <x:v>15</x:v>
      </x:c>
      <x:c r="O291" s="3" t="n">
        <x:f t="shared" si="36"/>
        <x:v>8</x:v>
      </x:c>
      <x:c r="P291" s="22" t="n">
        <x:f t="shared" si="37">IF(N291=0,"",M291/N291)</x:f>
        <x:v>0.8666666666666667</x:v>
      </x:c>
      <x:c r="Q291" s="22" t="n">
        <x:f t="shared" si="38">IF(L291=0,"",M291/L291)</x:f>
        <x:v>0.5416666666666666</x:v>
      </x:c>
      <x:c r="R291" s="22" t="n">
        <x:f t="shared" si="39">IF(L291=0,"",N291/L291)</x:f>
        <x:v>0.625</x:v>
      </x:c>
      <x:c r="S291" s="22" t="n">
        <x:f>IF(L291=0,"",O291/L291)</x:f>
        <x:v>0.3333333333333333</x:v>
      </x:c>
      <x:c r="T291" s="24" t="n">
        <x:v>-10</x:v>
      </x:c>
      <x:c r="U291" s="26" t="n">
        <x:v>0.04</x:v>
      </x:c>
      <x:c r="V291" s="24" t="n">
        <x:v>183</x:v>
      </x:c>
      <x:c r="W291"/>
      <x:c r="X291"/>
    </x:row>
    <x:row r="292">
      <x:c r="A292" s="1" t="n">
        <x:v>290</x:v>
      </x:c>
      <x:c r="B292" s="27" t="n">
        <x:v>46270</x:v>
      </x:c>
      <x:c r="C292" s="1" t="str">
        <x:v>Abyss</x:v>
      </x:c>
      <x:c r="D292" s="1" t="str">
        <x:v>6th</x:v>
      </x:c>
      <x:c r="E292" s="1" t="str">
        <x:v>Skye</x:v>
      </x:c>
      <x:c r="F292" s="1" t="str">
        <x:v>Initiator</x:v>
      </x:c>
      <x:c r="G292" s="1" t="n">
        <x:v>7</x:v>
      </x:c>
      <x:c r="H292" s="1" t="n">
        <x:f t="shared" si="32"/>
        <x:v>13</x:v>
      </x:c>
      <x:c r="I292" s="1" t="str">
        <x:f t="shared" si="33">IF(G292&gt;H292,"Win",IF(G292&lt;H292,"Loss","Draw"))</x:f>
        <x:v>Loss</x:v>
      </x:c>
      <x:c r="J292" s="1" t="n">
        <x:f t="shared" si="34">IF(I292="Win",1,IF(I292="Loss",0,""))</x:f>
        <x:v>0</x:v>
      </x:c>
      <x:c r="K292" s="1" t="n">
        <x:f t="shared" si="35">G292-H292</x:f>
        <x:v>-6</x:v>
      </x:c>
      <x:c r="L292" s="1" t="n">
        <x:f>G292+H292</x:f>
        <x:v>20</x:v>
      </x:c>
      <x:c r="M292" s="1" t="n">
        <x:v>12</x:v>
      </x:c>
      <x:c r="N292" s="1" t="n">
        <x:v>14</x:v>
      </x:c>
      <x:c r="O292" s="3" t="n">
        <x:f t="shared" si="36"/>
        <x:v>6</x:v>
      </x:c>
      <x:c r="P292" s="22" t="n">
        <x:f t="shared" si="37">IF(N292=0,"",M292/N292)</x:f>
        <x:v>0.8571428571428571</x:v>
      </x:c>
      <x:c r="Q292" s="22" t="n">
        <x:f t="shared" si="38">IF(L292=0,"",M292/L292)</x:f>
        <x:v>0.6</x:v>
      </x:c>
      <x:c r="R292" s="22" t="n">
        <x:f t="shared" si="39">IF(L292=0,"",N292/L292)</x:f>
        <x:v>0.7</x:v>
      </x:c>
      <x:c r="S292" s="22" t="n">
        <x:f>IF(L292=0,"",O292/L292)</x:f>
        <x:v>0.3</x:v>
      </x:c>
      <x:c r="T292" s="24" t="n">
        <x:v>11</x:v>
      </x:c>
      <x:c r="U292" s="26" t="n">
        <x:v>0.1</x:v>
      </x:c>
      <x:c r="V292" s="24" t="n">
        <x:v>193</x:v>
      </x:c>
      <x:c r="W292"/>
      <x:c r="X292"/>
    </x:row>
    <x:row r="293">
      <x:c r="A293" s="1" t="n">
        <x:v>291</x:v>
      </x:c>
      <x:c r="B293" s="27" t="n">
        <x:v>46280</x:v>
      </x:c>
      <x:c r="C293" s="1" t="str">
        <x:v>Split</x:v>
      </x:c>
      <x:c r="D293" s="1" t="str">
        <x:v>5th</x:v>
      </x:c>
      <x:c r="E293" s="1" t="str">
        <x:v>Sage</x:v>
      </x:c>
      <x:c r="F293" s="1" t="str">
        <x:v>Sentinel</x:v>
      </x:c>
      <x:c r="G293" s="1" t="n">
        <x:v>13</x:v>
      </x:c>
      <x:c r="H293" s="1" t="n">
        <x:f t="shared" si="32"/>
        <x:v>5</x:v>
      </x:c>
      <x:c r="I293" s="1" t="str">
        <x:f t="shared" si="33">IF(G293&gt;H293,"Win",IF(G293&lt;H293,"Loss","Draw"))</x:f>
        <x:v>Win</x:v>
      </x:c>
      <x:c r="J293" s="1" t="n">
        <x:f t="shared" si="34">IF(I293="Win",1,IF(I293="Loss",0,""))</x:f>
        <x:v>1</x:v>
      </x:c>
      <x:c r="K293" s="1" t="n">
        <x:f t="shared" si="35">G293-H293</x:f>
        <x:v>8</x:v>
      </x:c>
      <x:c r="L293" s="1" t="n">
        <x:f>G293+H293</x:f>
        <x:v>18</x:v>
      </x:c>
      <x:c r="M293" s="1" t="n">
        <x:v>15</x:v>
      </x:c>
      <x:c r="N293" s="1" t="n">
        <x:v>10</x:v>
      </x:c>
      <x:c r="O293" s="3" t="n">
        <x:f t="shared" si="36"/>
        <x:v>7</x:v>
      </x:c>
      <x:c r="P293" s="22" t="n">
        <x:f t="shared" si="37">IF(N293=0,"",M293/N293)</x:f>
        <x:v>1.5</x:v>
      </x:c>
      <x:c r="Q293" s="22" t="n">
        <x:f t="shared" si="38">IF(L293=0,"",M293/L293)</x:f>
        <x:v>0.8333333333333334</x:v>
      </x:c>
      <x:c r="R293" s="22" t="n">
        <x:f t="shared" si="39">IF(L293=0,"",N293/L293)</x:f>
        <x:v>0.5555555555555556</x:v>
      </x:c>
      <x:c r="S293" s="22" t="n">
        <x:f>IF(L293=0,"",O293/L293)</x:f>
        <x:v>0.3888888888888889</x:v>
      </x:c>
      <x:c r="T293" s="24" t="n">
        <x:v>-7</x:v>
      </x:c>
      <x:c r="U293" s="26" t="n">
        <x:v>0.03</x:v>
      </x:c>
      <x:c r="V293" s="24" t="n">
        <x:v>211</x:v>
      </x:c>
      <x:c r="W293"/>
      <x:c r="X293"/>
    </x:row>
    <x:row r="294">
      <x:c r="A294" s="1" t="n">
        <x:v>292</x:v>
      </x:c>
      <x:c r="B294" s="27" t="n">
        <x:v>46284</x:v>
      </x:c>
      <x:c r="C294" s="1" t="str">
        <x:v>Ascent</x:v>
      </x:c>
      <x:c r="D294" s="1" t="str">
        <x:v>6th</x:v>
      </x:c>
      <x:c r="E294" s="1" t="str">
        <x:v>Clove</x:v>
      </x:c>
      <x:c r="F294" s="1" t="str">
        <x:v>Controller</x:v>
      </x:c>
      <x:c r="G294" s="1" t="n">
        <x:v>13</x:v>
      </x:c>
      <x:c r="H294" s="1" t="n">
        <x:f t="shared" si="32"/>
        <x:v>5</x:v>
      </x:c>
      <x:c r="I294" s="1" t="str">
        <x:f t="shared" si="33">IF(G294&gt;H294,"Win",IF(G294&lt;H294,"Loss","Draw"))</x:f>
        <x:v>Win</x:v>
      </x:c>
      <x:c r="J294" s="1" t="n">
        <x:f t="shared" si="34">IF(I294="Win",1,IF(I294="Loss",0,""))</x:f>
        <x:v>1</x:v>
      </x:c>
      <x:c r="K294" s="1" t="n">
        <x:f t="shared" si="35">G294-H294</x:f>
        <x:v>8</x:v>
      </x:c>
      <x:c r="L294" s="1" t="n">
        <x:f>G294+H294</x:f>
        <x:v>18</x:v>
      </x:c>
      <x:c r="M294" s="1" t="n">
        <x:v>12</x:v>
      </x:c>
      <x:c r="N294" s="1" t="n">
        <x:v>10</x:v>
      </x:c>
      <x:c r="O294" s="3" t="n">
        <x:f t="shared" si="36"/>
        <x:v>8</x:v>
      </x:c>
      <x:c r="P294" s="22" t="n">
        <x:f t="shared" si="37">IF(N294=0,"",M294/N294)</x:f>
        <x:v>1.2</x:v>
      </x:c>
      <x:c r="Q294" s="22" t="n">
        <x:f t="shared" si="38">IF(L294=0,"",M294/L294)</x:f>
        <x:v>0.6666666666666666</x:v>
      </x:c>
      <x:c r="R294" s="22" t="n">
        <x:f t="shared" si="39">IF(L294=0,"",N294/L294)</x:f>
        <x:v>0.5555555555555556</x:v>
      </x:c>
      <x:c r="S294" s="22" t="n">
        <x:f>IF(L294=0,"",O294/L294)</x:f>
        <x:v>0.4444444444444444</x:v>
      </x:c>
      <x:c r="T294" s="24" t="n">
        <x:v>16</x:v>
      </x:c>
      <x:c r="U294" s="26" t="n">
        <x:v>0.05</x:v>
      </x:c>
      <x:c r="V294" s="24" t="n">
        <x:v>191</x:v>
      </x:c>
      <x:c r="W294"/>
      <x:c r="X294"/>
    </x:row>
    <x:row r="295">
      <x:c r="A295" s="1" t="n">
        <x:v>293</x:v>
      </x:c>
      <x:c r="B295" s="27" t="n">
        <x:v>46284</x:v>
      </x:c>
      <x:c r="C295" s="1" t="str">
        <x:v>Lotus</x:v>
      </x:c>
      <x:c r="D295" s="1" t="str">
        <x:v>9th</x:v>
      </x:c>
      <x:c r="E295" s="1" t="str">
        <x:v>Sage</x:v>
      </x:c>
      <x:c r="F295" s="1" t="str">
        <x:v>Sentinel</x:v>
      </x:c>
      <x:c r="G295" s="1" t="n">
        <x:v>6</x:v>
      </x:c>
      <x:c r="H295" s="1" t="n">
        <x:f t="shared" si="32"/>
        <x:v>13</x:v>
      </x:c>
      <x:c r="I295" s="1" t="str">
        <x:f t="shared" si="33">IF(G295&gt;H295,"Win",IF(G295&lt;H295,"Loss","Draw"))</x:f>
        <x:v>Loss</x:v>
      </x:c>
      <x:c r="J295" s="1" t="n">
        <x:f t="shared" si="34">IF(I295="Win",1,IF(I295="Loss",0,""))</x:f>
        <x:v>0</x:v>
      </x:c>
      <x:c r="K295" s="1" t="n">
        <x:f t="shared" si="35">G295-H295</x:f>
        <x:v>-7</x:v>
      </x:c>
      <x:c r="L295" s="1" t="n">
        <x:f>G295+H295</x:f>
        <x:v>19</x:v>
      </x:c>
      <x:c r="M295" s="1" t="n">
        <x:v>10</x:v>
      </x:c>
      <x:c r="N295" s="1" t="n">
        <x:v>15</x:v>
      </x:c>
      <x:c r="O295" s="3" t="n">
        <x:f t="shared" si="36"/>
        <x:v>2</x:v>
      </x:c>
      <x:c r="P295" s="22" t="n">
        <x:f t="shared" si="37">IF(N295=0,"",M295/N295)</x:f>
        <x:v>0.6666666666666666</x:v>
      </x:c>
      <x:c r="Q295" s="22" t="n">
        <x:f t="shared" si="38">IF(L295=0,"",M295/L295)</x:f>
        <x:v>0.5263157894736842</x:v>
      </x:c>
      <x:c r="R295" s="22" t="n">
        <x:f t="shared" si="39">IF(L295=0,"",N295/L295)</x:f>
        <x:v>0.7894736842105263</x:v>
      </x:c>
      <x:c r="S295" s="22" t="n">
        <x:f>IF(L295=0,"",O295/L295)</x:f>
        <x:v>0.10526315789473684</x:v>
      </x:c>
      <x:c r="T295" s="24" t="n">
        <x:v>-72</x:v>
      </x:c>
      <x:c r="U295" s="26" t="n">
        <x:v>0.06</x:v>
      </x:c>
      <x:c r="V295" s="24" t="n">
        <x:v>130</x:v>
      </x:c>
      <x:c r="W295"/>
      <x:c r="X295"/>
    </x:row>
    <x:row r="296">
      <x:c r="A296" s="1" t="n">
        <x:v>294</x:v>
      </x:c>
      <x:c r="B296" s="27" t="n">
        <x:v>46285</x:v>
      </x:c>
      <x:c r="C296" s="1" t="str">
        <x:v>Ascent</x:v>
      </x:c>
      <x:c r="D296" s="1" t="str">
        <x:v>6th</x:v>
      </x:c>
      <x:c r="E296" s="1" t="str">
        <x:v>Skye</x:v>
      </x:c>
      <x:c r="F296" s="1" t="str">
        <x:v>Initiator</x:v>
      </x:c>
      <x:c r="G296" s="1" t="n">
        <x:v>9</x:v>
      </x:c>
      <x:c r="H296" s="1" t="n">
        <x:f t="shared" si="32"/>
        <x:v>13</x:v>
      </x:c>
      <x:c r="I296" s="1" t="str">
        <x:f t="shared" si="33">IF(G296&gt;H296,"Win",IF(G296&lt;H296,"Loss","Draw"))</x:f>
        <x:v>Loss</x:v>
      </x:c>
      <x:c r="J296" s="1" t="n">
        <x:f t="shared" si="34">IF(I296="Win",1,IF(I296="Loss",0,""))</x:f>
        <x:v>0</x:v>
      </x:c>
      <x:c r="K296" s="1" t="n">
        <x:f t="shared" si="35">G296-H296</x:f>
        <x:v>-4</x:v>
      </x:c>
      <x:c r="L296" s="1" t="n">
        <x:f>G296+H296</x:f>
        <x:v>22</x:v>
      </x:c>
      <x:c r="M296" s="1" t="n">
        <x:v>16</x:v>
      </x:c>
      <x:c r="N296" s="1" t="n">
        <x:v>16</x:v>
      </x:c>
      <x:c r="O296" s="3" t="n">
        <x:f t="shared" si="36"/>
        <x:v>5</x:v>
      </x:c>
      <x:c r="P296" s="22" t="n">
        <x:f t="shared" si="37">IF(N296=0,"",M296/N296)</x:f>
        <x:v>1</x:v>
      </x:c>
      <x:c r="Q296" s="22" t="n">
        <x:f t="shared" si="38">IF(L296=0,"",M296/L296)</x:f>
        <x:v>0.7272727272727273</x:v>
      </x:c>
      <x:c r="R296" s="22" t="n">
        <x:f t="shared" si="39">IF(L296=0,"",N296/L296)</x:f>
        <x:v>0.7272727272727273</x:v>
      </x:c>
      <x:c r="S296" s="22" t="n">
        <x:f>IF(L296=0,"",O296/L296)</x:f>
        <x:v>0.22727272727272727</x:v>
      </x:c>
      <x:c r="T296" s="24" t="n">
        <x:v>-20</x:v>
      </x:c>
      <x:c r="U296" s="26" t="n">
        <x:v>0.05</x:v>
      </x:c>
      <x:c r="V296" s="24" t="n">
        <x:v>201</x:v>
      </x:c>
      <x:c r="W296"/>
      <x:c r="X296"/>
    </x:row>
    <x:row r="297">
      <x:c r="A297" s="1" t="n">
        <x:v>295</x:v>
      </x:c>
      <x:c r="B297" s="27" t="n">
        <x:v>46285</x:v>
      </x:c>
      <x:c r="C297" s="1" t="str">
        <x:v>Abyss</x:v>
      </x:c>
      <x:c r="D297" s="1" t="str">
        <x:v>5th</x:v>
      </x:c>
      <x:c r="E297" s="1" t="str">
        <x:v>Astra</x:v>
      </x:c>
      <x:c r="F297" s="1" t="str">
        <x:v>Controller</x:v>
      </x:c>
      <x:c r="G297" s="1" t="n">
        <x:v>13</x:v>
      </x:c>
      <x:c r="H297" s="1" t="n">
        <x:f t="shared" si="32"/>
        <x:v>8</x:v>
      </x:c>
      <x:c r="I297" s="1" t="str">
        <x:f t="shared" si="33">IF(G297&gt;H297,"Win",IF(G297&lt;H297,"Loss","Draw"))</x:f>
        <x:v>Win</x:v>
      </x:c>
      <x:c r="J297" s="1" t="n">
        <x:f t="shared" si="34">IF(I297="Win",1,IF(I297="Loss",0,""))</x:f>
        <x:v>1</x:v>
      </x:c>
      <x:c r="K297" s="1" t="n">
        <x:f t="shared" si="35">G297-H297</x:f>
        <x:v>5</x:v>
      </x:c>
      <x:c r="L297" s="1" t="n">
        <x:f>G297+H297</x:f>
        <x:v>21</x:v>
      </x:c>
      <x:c r="M297" s="1" t="n">
        <x:v>18</x:v>
      </x:c>
      <x:c r="N297" s="1" t="n">
        <x:v>15</x:v>
      </x:c>
      <x:c r="O297" s="3" t="n">
        <x:f t="shared" si="36"/>
        <x:v>5</x:v>
      </x:c>
      <x:c r="P297" s="22" t="n">
        <x:f t="shared" si="37">IF(N297=0,"",M297/N297)</x:f>
        <x:v>1.2</x:v>
      </x:c>
      <x:c r="Q297" s="22" t="n">
        <x:f t="shared" si="38">IF(L297=0,"",M297/L297)</x:f>
        <x:v>0.8571428571428571</x:v>
      </x:c>
      <x:c r="R297" s="22" t="n">
        <x:f t="shared" si="39">IF(L297=0,"",N297/L297)</x:f>
        <x:v>0.7142857142857143</x:v>
      </x:c>
      <x:c r="S297" s="22" t="n">
        <x:f>IF(L297=0,"",O297/L297)</x:f>
        <x:v>0.23809523809523808</x:v>
      </x:c>
      <x:c r="T297" s="24" t="n">
        <x:v>14</x:v>
      </x:c>
      <x:c r="U297" s="26" t="n">
        <x:v>0.12</x:v>
      </x:c>
      <x:c r="V297" s="24" t="n">
        <x:v>237</x:v>
      </x:c>
      <x:c r="W297"/>
      <x:c r="X297"/>
    </x:row>
    <x:row r="298">
      <x:c r="A298" s="1" t="n">
        <x:v>296</x:v>
      </x:c>
      <x:c r="B298" s="27" t="n">
        <x:v>46285</x:v>
      </x:c>
      <x:c r="C298" s="1" t="str">
        <x:v>Haven</x:v>
      </x:c>
      <x:c r="D298" s="1" t="str">
        <x:v>4th</x:v>
      </x:c>
      <x:c r="E298" s="1" t="str">
        <x:v>Clove</x:v>
      </x:c>
      <x:c r="F298" s="1" t="str">
        <x:v>Controller</x:v>
      </x:c>
      <x:c r="G298" s="1" t="n">
        <x:v>13</x:v>
      </x:c>
      <x:c r="H298" s="1" t="n">
        <x:f t="shared" si="32"/>
        <x:v>13</x:v>
      </x:c>
      <x:c r="I298" s="1" t="str">
        <x:f t="shared" si="33">IF(G298&gt;H298,"Win",IF(G298&lt;H298,"Loss","Draw"))</x:f>
        <x:v>Draw</x:v>
      </x:c>
      <x:c r="J298" s="1" t="str">
        <x:f t="shared" si="34">IF(I298="Win",1,IF(I298="Loss",0,""))</x:f>
      </x:c>
      <x:c r="K298" s="1" t="n">
        <x:f t="shared" si="35">G298-H298</x:f>
        <x:v>0</x:v>
      </x:c>
      <x:c r="L298" s="1" t="n">
        <x:f>G298+H298</x:f>
        <x:v>26</x:v>
      </x:c>
      <x:c r="M298" s="1" t="n">
        <x:v>20</x:v>
      </x:c>
      <x:c r="N298" s="1" t="n">
        <x:v>24</x:v>
      </x:c>
      <x:c r="O298" s="3" t="n">
        <x:f t="shared" si="36"/>
        <x:v>8</x:v>
      </x:c>
      <x:c r="P298" s="22" t="n">
        <x:f t="shared" si="37">IF(N298=0,"",M298/N298)</x:f>
        <x:v>0.8333333333333334</x:v>
      </x:c>
      <x:c r="Q298" s="22" t="n">
        <x:f t="shared" si="38">IF(L298=0,"",M298/L298)</x:f>
        <x:v>0.7692307692307693</x:v>
      </x:c>
      <x:c r="R298" s="22" t="n">
        <x:f t="shared" si="39">IF(L298=0,"",N298/L298)</x:f>
        <x:v>0.9230769230769231</x:v>
      </x:c>
      <x:c r="S298" s="22" t="n">
        <x:f>IF(L298=0,"",O298/L298)</x:f>
        <x:v>0.3076923076923077</x:v>
      </x:c>
      <x:c r="T298" s="24" t="n">
        <x:v>-39</x:v>
      </x:c>
      <x:c r="U298" s="26" t="n">
        <x:v>0.02</x:v>
      </x:c>
      <x:c r="V298" s="24" t="n">
        <x:v>219</x:v>
      </x:c>
      <x:c r="W298"/>
      <x:c r="X298"/>
    </x:row>
    <x:row r="299">
      <x:c r="A299" s="1" t="n">
        <x:v>297</x:v>
      </x:c>
      <x:c r="B299" s="28" t="n">
        <x:v>46285</x:v>
      </x:c>
      <x:c r="C299" s="1" t="str">
        <x:v>Haven</x:v>
      </x:c>
      <x:c r="D299" s="1" t="str">
        <x:v>8th</x:v>
      </x:c>
      <x:c r="E299" s="1" t="str">
        <x:v>Sage</x:v>
      </x:c>
      <x:c r="F299" s="1" t="str">
        <x:v>Sentinel</x:v>
      </x:c>
      <x:c r="G299" s="1" t="n">
        <x:v>13</x:v>
      </x:c>
      <x:c r="H299" s="1" t="n">
        <x:f t="shared" si="32"/>
        <x:v>7</x:v>
      </x:c>
      <x:c r="I299" s="1" t="str">
        <x:f t="shared" si="33">IF(G299&gt;H299,"Win",IF(G299&lt;H299,"Loss","Draw"))</x:f>
        <x:v>Win</x:v>
      </x:c>
      <x:c r="J299" s="1" t="n">
        <x:f t="shared" si="34">IF(I299="Win",1,IF(I299="Loss",0,""))</x:f>
        <x:v>1</x:v>
      </x:c>
      <x:c r="K299" s="1" t="n">
        <x:f t="shared" si="35">G299-H299</x:f>
        <x:v>6</x:v>
      </x:c>
      <x:c r="L299" s="1" t="n">
        <x:f>G299+H299</x:f>
        <x:v>20</x:v>
      </x:c>
      <x:c r="M299" s="1" t="n">
        <x:v>14</x:v>
      </x:c>
      <x:c r="N299" s="1" t="n">
        <x:v>12</x:v>
      </x:c>
      <x:c r="O299" s="3" t="n">
        <x:f t="shared" si="36"/>
        <x:v>3</x:v>
      </x:c>
      <x:c r="P299" s="22" t="n">
        <x:f t="shared" si="37">IF(N299=0,"",M299/N299)</x:f>
        <x:v>1.1666666666666667</x:v>
      </x:c>
      <x:c r="Q299" s="22" t="n">
        <x:f t="shared" si="38">IF(L299=0,"",M299/L299)</x:f>
        <x:v>0.7</x:v>
      </x:c>
      <x:c r="R299" s="22" t="n">
        <x:f t="shared" si="39">IF(L299=0,"",N299/L299)</x:f>
        <x:v>0.6</x:v>
      </x:c>
      <x:c r="S299" s="22" t="n">
        <x:f>IF(L299=0,"",O299/L299)</x:f>
        <x:v>0.15</x:v>
      </x:c>
      <x:c r="T299" s="24" t="n">
        <x:v>9</x:v>
      </x:c>
      <x:c r="U299" s="26" t="n">
        <x:v>0.11</x:v>
      </x:c>
      <x:c r="V299" s="24" t="n">
        <x:v>180</x:v>
      </x:c>
      <x:c r="W299"/>
      <x:c r="X299"/>
    </x:row>
    <x:row r="300">
      <x:c r="A300" s="1" t="n">
        <x:v>298</x:v>
      </x:c>
      <x:c r="B300" s="28" t="n">
        <x:v>46290</x:v>
      </x:c>
      <x:c r="C300" s="1" t="str">
        <x:v>Sunset</x:v>
      </x:c>
      <x:c r="D300" s="1" t="str">
        <x:v>8th</x:v>
      </x:c>
      <x:c r="E300" s="1" t="str">
        <x:v>Clove</x:v>
      </x:c>
      <x:c r="F300" s="1" t="str">
        <x:v>Controller</x:v>
      </x:c>
      <x:c r="G300" s="1" t="n">
        <x:v>3</x:v>
      </x:c>
      <x:c r="H300" s="1" t="n">
        <x:f t="shared" si="32"/>
        <x:v>13</x:v>
      </x:c>
      <x:c r="I300" s="1" t="str">
        <x:f t="shared" si="33">IF(G300&gt;H300,"Win",IF(G300&lt;H300,"Loss","Draw"))</x:f>
        <x:v>Loss</x:v>
      </x:c>
      <x:c r="J300" s="1" t="n">
        <x:f t="shared" si="34">IF(I300="Win",1,IF(I300="Loss",0,""))</x:f>
        <x:v>0</x:v>
      </x:c>
      <x:c r="K300" s="1" t="n">
        <x:f t="shared" si="35">G300-H300</x:f>
        <x:v>-10</x:v>
      </x:c>
      <x:c r="L300" s="1" t="n">
        <x:f>G300+H300</x:f>
        <x:v>16</x:v>
      </x:c>
      <x:c r="M300" s="1" t="n">
        <x:v>4</x:v>
      </x:c>
      <x:c r="N300" s="1" t="n">
        <x:v>14</x:v>
      </x:c>
      <x:c r="O300" s="3" t="n">
        <x:f t="shared" si="36"/>
        <x:v>6</x:v>
      </x:c>
      <x:c r="P300" s="22" t="n">
        <x:f t="shared" si="37">IF(N300=0,"",M300/N300)</x:f>
        <x:v>0.2857142857142857</x:v>
      </x:c>
      <x:c r="Q300" s="22" t="n">
        <x:f t="shared" si="38">IF(L300=0,"",M300/L300)</x:f>
        <x:v>0.25</x:v>
      </x:c>
      <x:c r="R300" s="22" t="n">
        <x:f t="shared" si="39">IF(L300=0,"",N300/L300)</x:f>
        <x:v>0.875</x:v>
      </x:c>
      <x:c r="S300" s="22" t="n">
        <x:f>IF(L300=0,"",O300/L300)</x:f>
        <x:v>0.375</x:v>
      </x:c>
      <x:c r="T300" s="24" t="n">
        <x:v>-91</x:v>
      </x:c>
      <x:c r="U300" s="26" t="n">
        <x:v>0.02</x:v>
      </x:c>
      <x:c r="V300" s="24" t="n">
        <x:v>104</x:v>
      </x:c>
      <x:c r="W300"/>
      <x:c r="X300"/>
    </x:row>
    <x:row r="301">
      <x:c r="A301" s="1" t="n">
        <x:v>299</x:v>
      </x:c>
      <x:c r="B301" s="28" t="n">
        <x:v>46291</x:v>
      </x:c>
      <x:c r="C301" s="1" t="str">
        <x:v>Abyss</x:v>
      </x:c>
      <x:c r="D301" s="1" t="str">
        <x:v>4th</x:v>
      </x:c>
      <x:c r="E301" s="1" t="str">
        <x:v>Deadlock</x:v>
      </x:c>
      <x:c r="F301" s="1" t="str">
        <x:v>Sentinel</x:v>
      </x:c>
      <x:c r="G301" s="1" t="n">
        <x:v>13</x:v>
      </x:c>
      <x:c r="H301" s="1" t="n">
        <x:f t="shared" si="32"/>
        <x:v>7</x:v>
      </x:c>
      <x:c r="I301" s="1" t="str">
        <x:f t="shared" si="33">IF(G301&gt;H301,"Win",IF(G301&lt;H301,"Loss","Draw"))</x:f>
        <x:v>Win</x:v>
      </x:c>
      <x:c r="J301" s="1" t="n">
        <x:f t="shared" si="34">IF(I301="Win",1,IF(I301="Loss",0,""))</x:f>
        <x:v>1</x:v>
      </x:c>
      <x:c r="K301" s="1" t="n">
        <x:f t="shared" si="35">G301-H301</x:f>
        <x:v>6</x:v>
      </x:c>
      <x:c r="L301" s="1" t="n">
        <x:f>G301+H301</x:f>
        <x:v>20</x:v>
      </x:c>
      <x:c r="M301" s="1" t="n">
        <x:v>18</x:v>
      </x:c>
      <x:c r="N301" s="1" t="n">
        <x:v>10</x:v>
      </x:c>
      <x:c r="O301" s="3" t="n">
        <x:f t="shared" si="36"/>
        <x:v>0</x:v>
      </x:c>
      <x:c r="P301" s="22" t="n">
        <x:f t="shared" si="37">IF(N301=0,"",M301/N301)</x:f>
        <x:v>1.8</x:v>
      </x:c>
      <x:c r="Q301" s="22" t="n">
        <x:f t="shared" si="38">IF(L301=0,"",M301/L301)</x:f>
        <x:v>0.9</x:v>
      </x:c>
      <x:c r="R301" s="22" t="n">
        <x:f t="shared" si="39">IF(L301=0,"",N301/L301)</x:f>
        <x:v>0.5</x:v>
      </x:c>
      <x:c r="S301" s="22" t="n">
        <x:f>IF(L301=0,"",O301/L301)</x:f>
        <x:v>0</x:v>
      </x:c>
      <x:c r="T301" s="24" t="n">
        <x:v>38</x:v>
      </x:c>
      <x:c r="U301" s="26" t="n">
        <x:v>0.05</x:v>
      </x:c>
      <x:c r="V301" s="24" t="n">
        <x:v>234</x:v>
      </x:c>
      <x:c r="W301"/>
      <x:c r="X301"/>
    </x:row>
    <x:row r="302">
      <x:c r="A302" s="1" t="n">
        <x:v>300</x:v>
      </x:c>
      <x:c r="B302" s="28" t="n">
        <x:v>46291</x:v>
      </x:c>
      <x:c r="C302" s="1" t="str">
        <x:v>Ascent</x:v>
      </x:c>
      <x:c r="D302" s="1" t="str">
        <x:v>8th</x:v>
      </x:c>
      <x:c r="E302" s="1" t="str">
        <x:v>Astra</x:v>
      </x:c>
      <x:c r="F302" s="1" t="str">
        <x:v>Controller</x:v>
      </x:c>
      <x:c r="G302" s="1" t="n">
        <x:v>13</x:v>
      </x:c>
      <x:c r="H302" s="1" t="n">
        <x:f t="shared" si="32"/>
        <x:v>8</x:v>
      </x:c>
      <x:c r="I302" s="1" t="str">
        <x:f t="shared" si="33">IF(G302&gt;H302,"Win",IF(G302&lt;H302,"Loss","Draw"))</x:f>
        <x:v>Win</x:v>
      </x:c>
      <x:c r="J302" s="1" t="n">
        <x:f t="shared" si="34">IF(I302="Win",1,IF(I302="Loss",0,""))</x:f>
        <x:v>1</x:v>
      </x:c>
      <x:c r="K302" s="1" t="n">
        <x:f t="shared" si="35">G302-H302</x:f>
        <x:v>5</x:v>
      </x:c>
      <x:c r="L302" s="1" t="n">
        <x:f>G302+H302</x:f>
        <x:v>21</x:v>
      </x:c>
      <x:c r="M302" s="1" t="n">
        <x:v>12</x:v>
      </x:c>
      <x:c r="N302" s="1" t="n">
        <x:v>11</x:v>
      </x:c>
      <x:c r="O302" s="3" t="n">
        <x:f t="shared" si="36"/>
        <x:v>4</x:v>
      </x:c>
      <x:c r="P302" s="22" t="n">
        <x:f t="shared" si="37">IF(N302=0,"",M302/N302)</x:f>
        <x:v>1.0909090909090908</x:v>
      </x:c>
      <x:c r="Q302" s="22" t="n">
        <x:f t="shared" si="38">IF(L302=0,"",M302/L302)</x:f>
        <x:v>0.5714285714285714</x:v>
      </x:c>
      <x:c r="R302" s="22" t="n">
        <x:f t="shared" si="39">IF(L302=0,"",N302/L302)</x:f>
        <x:v>0.5238095238095238</x:v>
      </x:c>
      <x:c r="S302" s="22" t="n">
        <x:f>IF(L302=0,"",O302/L302)</x:f>
        <x:v>0.19047619047619047</x:v>
      </x:c>
      <x:c r="T302" s="24" t="n">
        <x:v>-2</x:v>
      </x:c>
      <x:c r="U302" s="26" t="n">
        <x:v>0.11</x:v>
      </x:c>
      <x:c r="V302" s="24" t="n">
        <x:v>148</x:v>
      </x:c>
      <x:c r="W302"/>
      <x:c r="X302"/>
    </x:row>
    <x:row r="303">
      <x:c r="A303" s="1" t="n">
        <x:v>301</x:v>
      </x:c>
      <x:c r="B303" s="28" t="n">
        <x:v>46291</x:v>
      </x:c>
      <x:c r="C303" s="1" t="str">
        <x:v>Split</x:v>
      </x:c>
      <x:c r="D303" s="1" t="str">
        <x:v>10th</x:v>
      </x:c>
      <x:c r="E303" s="1" t="str">
        <x:v>Sage</x:v>
      </x:c>
      <x:c r="F303" s="1" t="str">
        <x:v>Sentinel</x:v>
      </x:c>
      <x:c r="G303" s="1" t="n">
        <x:v>6</x:v>
      </x:c>
      <x:c r="H303" s="1" t="n">
        <x:f t="shared" si="32"/>
        <x:v>11</x:v>
      </x:c>
      <x:c r="I303" s="1" t="str">
        <x:f t="shared" si="33">IF(G303&gt;H303,"Win",IF(G303&lt;H303,"Loss","Draw"))</x:f>
        <x:v>Loss</x:v>
      </x:c>
      <x:c r="J303" s="1" t="n">
        <x:f t="shared" si="34">IF(I303="Win",1,IF(I303="Loss",0,""))</x:f>
        <x:v>0</x:v>
      </x:c>
      <x:c r="K303" s="1" t="n">
        <x:f t="shared" si="35">G303-H303</x:f>
        <x:v>-5</x:v>
      </x:c>
      <x:c r="L303" s="1" t="n">
        <x:f>G303+H303</x:f>
        <x:v>17</x:v>
      </x:c>
      <x:c r="M303" s="1" t="n">
        <x:v>6</x:v>
      </x:c>
      <x:c r="N303" s="1" t="n">
        <x:v>11</x:v>
      </x:c>
      <x:c r="O303" s="3" t="n">
        <x:f t="shared" si="36"/>
        <x:v>4</x:v>
      </x:c>
      <x:c r="P303" s="22" t="n">
        <x:f t="shared" si="37">IF(N303=0,"",M303/N303)</x:f>
        <x:v>0.5454545454545454</x:v>
      </x:c>
      <x:c r="Q303" s="22" t="n">
        <x:f t="shared" si="38">IF(L303=0,"",M303/L303)</x:f>
        <x:v>0.35294117647058826</x:v>
      </x:c>
      <x:c r="R303" s="22" t="n">
        <x:f t="shared" si="39">IF(L303=0,"",N303/L303)</x:f>
        <x:v>0.6470588235294118</x:v>
      </x:c>
      <x:c r="S303" s="22" t="n">
        <x:f>IF(L303=0,"",O303/L303)</x:f>
        <x:v>0.23529411764705882</x:v>
      </x:c>
      <x:c r="T303" s="24" t="n">
        <x:v>-43</x:v>
      </x:c>
      <x:c r="U303" s="26" t="n">
        <x:v>0.03</x:v>
      </x:c>
      <x:c r="V303" s="24" t="n">
        <x:v>98</x:v>
      </x:c>
      <x:c r="W303"/>
      <x:c r="X303"/>
    </x:row>
    <x:row r="304">
      <x:c r="A304" s="1" t="n">
        <x:v>302</x:v>
      </x:c>
      <x:c r="B304" s="28" t="n">
        <x:v>46291</x:v>
      </x:c>
      <x:c r="C304" s="1" t="str">
        <x:v>Abyss</x:v>
      </x:c>
      <x:c r="D304" t="str">
        <x:v>3rd</x:v>
      </x:c>
      <x:c r="E304" s="1" t="str">
        <x:v>Sage</x:v>
      </x:c>
      <x:c r="F304" s="1" t="str">
        <x:v>Sentinel</x:v>
      </x:c>
      <x:c r="G304" s="1" t="n">
        <x:v>13</x:v>
      </x:c>
      <x:c r="H304" s="1" t="n">
        <x:f t="shared" si="32"/>
        <x:v>9</x:v>
      </x:c>
      <x:c r="I304" s="1" t="str">
        <x:f t="shared" si="33">IF(G304&gt;H304,"Win",IF(G304&lt;H304,"Loss","Draw"))</x:f>
        <x:v>Win</x:v>
      </x:c>
      <x:c r="J304" s="1" t="n">
        <x:f t="shared" si="34">IF(I304="Win",1,IF(I304="Loss",0,""))</x:f>
        <x:v>1</x:v>
      </x:c>
      <x:c r="K304" s="1" t="n">
        <x:f t="shared" si="35">G304-H304</x:f>
        <x:v>4</x:v>
      </x:c>
      <x:c r="L304" s="1" t="n">
        <x:f>G304+H304</x:f>
        <x:v>22</x:v>
      </x:c>
      <x:c r="M304" s="1" t="n">
        <x:v>18</x:v>
      </x:c>
      <x:c r="N304" s="1" t="n">
        <x:v>16</x:v>
      </x:c>
      <x:c r="O304" s="3" t="n">
        <x:f t="shared" si="36"/>
        <x:v>10</x:v>
      </x:c>
      <x:c r="P304" s="22" t="n">
        <x:f t="shared" si="37">IF(N304=0,"",M304/N304)</x:f>
        <x:v>1.125</x:v>
      </x:c>
      <x:c r="Q304" s="22" t="n">
        <x:f t="shared" si="38">IF(L304=0,"",M304/L304)</x:f>
        <x:v>0.8181818181818182</x:v>
      </x:c>
      <x:c r="R304" s="22" t="n">
        <x:f t="shared" si="39">IF(L304=0,"",N304/L304)</x:f>
        <x:v>0.7272727272727273</x:v>
      </x:c>
      <x:c r="S304" s="22" t="n">
        <x:f>IF(L304=0,"",O304/L304)</x:f>
        <x:v>0.45454545454545453</x:v>
      </x:c>
      <x:c r="T304" s="24" t="n">
        <x:v>4</x:v>
      </x:c>
      <x:c r="U304" s="26" t="n">
        <x:v>0.06</x:v>
      </x:c>
      <x:c r="V304" s="24" t="n">
        <x:v>238</x:v>
      </x:c>
      <x:c r="W304"/>
      <x:c r="X304"/>
    </x:row>
    <x:row r="305">
      <x:c r="A305" s="1" t="n">
        <x:v>303</x:v>
      </x:c>
      <x:c r="B305" s="28" t="n">
        <x:v>46292</x:v>
      </x:c>
      <x:c r="C305" s="1" t="str">
        <x:v>Haven</x:v>
      </x:c>
      <x:c r="D305" s="1" t="str">
        <x:v>10th</x:v>
      </x:c>
      <x:c r="E305" s="1" t="str">
        <x:v>Sage</x:v>
      </x:c>
      <x:c r="F305" s="1" t="str">
        <x:v>Sentinel</x:v>
      </x:c>
      <x:c r="G305" s="1" t="n">
        <x:v>13</x:v>
      </x:c>
      <x:c r="H305" s="1" t="n">
        <x:f t="shared" si="32"/>
        <x:v>9</x:v>
      </x:c>
      <x:c r="I305" s="1" t="str">
        <x:f t="shared" si="33">IF(G305&gt;H305,"Win",IF(G305&lt;H305,"Loss","Draw"))</x:f>
        <x:v>Win</x:v>
      </x:c>
      <x:c r="J305" s="1" t="n">
        <x:f t="shared" si="34">IF(I305="Win",1,IF(I305="Loss",0,""))</x:f>
        <x:v>1</x:v>
      </x:c>
      <x:c r="K305" s="1" t="n">
        <x:f t="shared" si="35">G305-H305</x:f>
        <x:v>4</x:v>
      </x:c>
      <x:c r="L305" s="1" t="n">
        <x:f>G305+H305</x:f>
        <x:v>22</x:v>
      </x:c>
      <x:c r="M305" s="1" t="n">
        <x:v>7</x:v>
      </x:c>
      <x:c r="N305" s="1" t="n">
        <x:v>15</x:v>
      </x:c>
      <x:c r="O305" s="3" t="n">
        <x:f t="shared" si="36"/>
        <x:v>11</x:v>
      </x:c>
      <x:c r="P305" s="22" t="n">
        <x:f t="shared" si="37">IF(N305=0,"",M305/N305)</x:f>
        <x:v>0.4666666666666667</x:v>
      </x:c>
      <x:c r="Q305" s="22" t="n">
        <x:f t="shared" si="38">IF(L305=0,"",M305/L305)</x:f>
        <x:v>0.3181818181818182</x:v>
      </x:c>
      <x:c r="R305" s="22" t="n">
        <x:f t="shared" si="39">IF(L305=0,"",N305/L305)</x:f>
        <x:v>0.6818181818181818</x:v>
      </x:c>
      <x:c r="S305" s="22" t="n">
        <x:f>IF(L305=0,"",O305/L305)</x:f>
        <x:v>0.5</x:v>
      </x:c>
      <x:c r="T305" s="24" t="n">
        <x:v>-48</x:v>
      </x:c>
      <x:c r="U305" s="26" t="n">
        <x:v>0.07</x:v>
      </x:c>
      <x:c r="V305" s="24" t="n">
        <x:v>105</x:v>
      </x:c>
      <x:c r="W305"/>
      <x:c r="X305"/>
    </x:row>
    <x:row r="306">
      <x:c r="A306" s="1" t="n">
        <x:v>304</x:v>
      </x:c>
      <x:c r="B306" s="28" t="n">
        <x:v>46292</x:v>
      </x:c>
      <x:c r="C306" s="1" t="str">
        <x:v>Ascent</x:v>
      </x:c>
      <x:c r="D306" s="1" t="str">
        <x:v>10th</x:v>
      </x:c>
      <x:c r="E306" s="1" t="str">
        <x:v>Astra</x:v>
      </x:c>
      <x:c r="F306" s="1" t="str">
        <x:v>Controller</x:v>
      </x:c>
      <x:c r="G306" s="1" t="n">
        <x:v>11</x:v>
      </x:c>
      <x:c r="H306" s="1" t="n">
        <x:f t="shared" si="32"/>
        <x:v>13</x:v>
      </x:c>
      <x:c r="I306" s="1" t="str">
        <x:f t="shared" si="33">IF(G306&gt;H306,"Win",IF(G306&lt;H306,"Loss","Draw"))</x:f>
        <x:v>Loss</x:v>
      </x:c>
      <x:c r="J306" s="1" t="n">
        <x:f t="shared" si="34">IF(I306="Win",1,IF(I306="Loss",0,""))</x:f>
        <x:v>0</x:v>
      </x:c>
      <x:c r="K306" s="1" t="n">
        <x:f t="shared" si="35">G306-H306</x:f>
        <x:v>-2</x:v>
      </x:c>
      <x:c r="L306" s="1" t="n">
        <x:f>G306+H306</x:f>
        <x:v>24</x:v>
      </x:c>
      <x:c r="M306" s="1" t="n">
        <x:v>4</x:v>
      </x:c>
      <x:c r="N306" s="1" t="n">
        <x:v>21</x:v>
      </x:c>
      <x:c r="O306" s="3" t="n">
        <x:f t="shared" si="36"/>
        <x:v>11</x:v>
      </x:c>
      <x:c r="P306" s="22" t="n">
        <x:f t="shared" si="37">IF(N306=0,"",M306/N306)</x:f>
        <x:v>0.19047619047619047</x:v>
      </x:c>
      <x:c r="Q306" s="22" t="n">
        <x:f t="shared" si="38">IF(L306=0,"",M306/L306)</x:f>
        <x:v>0.16666666666666666</x:v>
      </x:c>
      <x:c r="R306" s="22" t="n">
        <x:f t="shared" si="39">IF(L306=0,"",N306/L306)</x:f>
        <x:v>0.875</x:v>
      </x:c>
      <x:c r="S306" s="22" t="n">
        <x:f>IF(L306=0,"",O306/L306)</x:f>
        <x:v>0.4583333333333333</x:v>
      </x:c>
      <x:c r="T306" s="24" t="n">
        <x:v>-75</x:v>
      </x:c>
      <x:c r="U306" s="26" t="n">
        <x:v>0.04</x:v>
      </x:c>
      <x:c r="V306" s="24" t="n">
        <x:v>90</x:v>
      </x:c>
      <x:c r="W306"/>
      <x:c r="X306"/>
    </x:row>
  </x:sheetData>
  <x:mergeCells>
    <x:mergeCell ref="A1:V1"/>
  </x:mergeCells>
  <x:conditionalFormatting sqref="H3:H306">
    <x:cfRule type="expression" dxfId="2" priority="1">
      <x:formula>H3="Win"</x:formula>
    </x:cfRule>
    <x:cfRule type="expression" dxfId="1" priority="2">
      <x:formula>H3="Loss"</x:formula>
    </x:cfRule>
    <x:cfRule type="expression" dxfId="0" priority="3">
      <x:formula>H3="Draw"</x:formula>
    </x:cfRule>
  </x:conditionalFormatting>
  <x:hyperlinks>
    <x:hyperlink xmlns:r="http://schemas.openxmlformats.org/officeDocument/2006/relationships" ref="X2" r:id="R6c4dd6e3632f4eae"/>
  </x:hyperlinks>
  <x:pageMargins left="0.7" right="0.7" top="0.75" bottom="0.75" header="0.3" footer="0.3"/>
</x:worksheet>
</file>