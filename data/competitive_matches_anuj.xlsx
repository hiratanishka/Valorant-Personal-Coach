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D6AA60B-7772-4703-AD37-FB5CCB22CAA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tches" sheetId="1" r:id="rId1"/>
    <sheet name="Summary" sheetId="2" r:id="rId2"/>
    <sheet name="Audit" sheetId="3" r:id="rId3"/>
    <sheet name="Agent Audi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B9" i="2"/>
  <c r="B8" i="2"/>
  <c r="B7" i="2"/>
  <c r="B6" i="2"/>
  <c r="O719" i="1"/>
  <c r="K719" i="1"/>
  <c r="R719" i="1" s="1"/>
  <c r="J719" i="1"/>
  <c r="I719" i="1"/>
  <c r="H719" i="1"/>
  <c r="R718" i="1"/>
  <c r="O718" i="1"/>
  <c r="K718" i="1"/>
  <c r="J718" i="1"/>
  <c r="H718" i="1"/>
  <c r="I718" i="1" s="1"/>
  <c r="O717" i="1"/>
  <c r="K717" i="1"/>
  <c r="J717" i="1"/>
  <c r="H717" i="1"/>
  <c r="I717" i="1" s="1"/>
  <c r="O716" i="1"/>
  <c r="K716" i="1"/>
  <c r="J716" i="1"/>
  <c r="H716" i="1"/>
  <c r="I716" i="1" s="1"/>
  <c r="O715" i="1"/>
  <c r="K715" i="1"/>
  <c r="J715" i="1"/>
  <c r="H715" i="1"/>
  <c r="I715" i="1" s="1"/>
  <c r="O714" i="1"/>
  <c r="K714" i="1"/>
  <c r="J714" i="1"/>
  <c r="I714" i="1"/>
  <c r="H714" i="1"/>
  <c r="Q713" i="1"/>
  <c r="O713" i="1"/>
  <c r="K713" i="1"/>
  <c r="J713" i="1"/>
  <c r="H713" i="1"/>
  <c r="I713" i="1" s="1"/>
  <c r="R712" i="1"/>
  <c r="O712" i="1"/>
  <c r="K712" i="1"/>
  <c r="J712" i="1"/>
  <c r="H712" i="1"/>
  <c r="I712" i="1" s="1"/>
  <c r="R711" i="1"/>
  <c r="O711" i="1"/>
  <c r="K711" i="1"/>
  <c r="Q711" i="1" s="1"/>
  <c r="J711" i="1"/>
  <c r="H711" i="1"/>
  <c r="I711" i="1" s="1"/>
  <c r="R710" i="1"/>
  <c r="O710" i="1"/>
  <c r="K710" i="1"/>
  <c r="J710" i="1"/>
  <c r="I710" i="1"/>
  <c r="H710" i="1"/>
  <c r="R709" i="1"/>
  <c r="Q709" i="1"/>
  <c r="P709" i="1"/>
  <c r="O709" i="1"/>
  <c r="K709" i="1"/>
  <c r="J709" i="1"/>
  <c r="H709" i="1"/>
  <c r="I709" i="1" s="1"/>
  <c r="O708" i="1"/>
  <c r="K708" i="1"/>
  <c r="J708" i="1"/>
  <c r="H708" i="1"/>
  <c r="I708" i="1" s="1"/>
  <c r="Q707" i="1"/>
  <c r="P707" i="1"/>
  <c r="O707" i="1"/>
  <c r="K707" i="1"/>
  <c r="R707" i="1" s="1"/>
  <c r="J707" i="1"/>
  <c r="H707" i="1"/>
  <c r="I707" i="1" s="1"/>
  <c r="O706" i="1"/>
  <c r="K706" i="1"/>
  <c r="J706" i="1"/>
  <c r="I706" i="1"/>
  <c r="H706" i="1"/>
  <c r="R705" i="1"/>
  <c r="O705" i="1"/>
  <c r="K705" i="1"/>
  <c r="Q705" i="1" s="1"/>
  <c r="J705" i="1"/>
  <c r="I705" i="1"/>
  <c r="H705" i="1"/>
  <c r="O704" i="1"/>
  <c r="K704" i="1"/>
  <c r="J704" i="1"/>
  <c r="H704" i="1"/>
  <c r="I704" i="1" s="1"/>
  <c r="R703" i="1"/>
  <c r="Q703" i="1"/>
  <c r="P703" i="1"/>
  <c r="O703" i="1"/>
  <c r="K703" i="1"/>
  <c r="J703" i="1"/>
  <c r="H703" i="1"/>
  <c r="I703" i="1" s="1"/>
  <c r="R702" i="1"/>
  <c r="O702" i="1"/>
  <c r="K702" i="1"/>
  <c r="J702" i="1"/>
  <c r="H702" i="1"/>
  <c r="I702" i="1" s="1"/>
  <c r="O701" i="1"/>
  <c r="K701" i="1"/>
  <c r="R701" i="1" s="1"/>
  <c r="J701" i="1"/>
  <c r="I701" i="1"/>
  <c r="H701" i="1"/>
  <c r="O700" i="1"/>
  <c r="K700" i="1"/>
  <c r="J700" i="1"/>
  <c r="H700" i="1"/>
  <c r="I700" i="1" s="1"/>
  <c r="Q699" i="1"/>
  <c r="P699" i="1"/>
  <c r="O699" i="1"/>
  <c r="K699" i="1"/>
  <c r="R699" i="1" s="1"/>
  <c r="J699" i="1"/>
  <c r="H699" i="1"/>
  <c r="I699" i="1" s="1"/>
  <c r="O698" i="1"/>
  <c r="K698" i="1"/>
  <c r="J698" i="1"/>
  <c r="I698" i="1"/>
  <c r="H698" i="1"/>
  <c r="O697" i="1"/>
  <c r="K697" i="1"/>
  <c r="J697" i="1"/>
  <c r="H697" i="1"/>
  <c r="I697" i="1" s="1"/>
  <c r="R696" i="1"/>
  <c r="O696" i="1"/>
  <c r="K696" i="1"/>
  <c r="J696" i="1"/>
  <c r="H696" i="1"/>
  <c r="I696" i="1" s="1"/>
  <c r="R695" i="1"/>
  <c r="O695" i="1"/>
  <c r="K695" i="1"/>
  <c r="Q695" i="1" s="1"/>
  <c r="J695" i="1"/>
  <c r="H695" i="1"/>
  <c r="I695" i="1" s="1"/>
  <c r="R694" i="1"/>
  <c r="O694" i="1"/>
  <c r="K694" i="1"/>
  <c r="J694" i="1"/>
  <c r="H694" i="1"/>
  <c r="I694" i="1" s="1"/>
  <c r="R693" i="1"/>
  <c r="Q693" i="1"/>
  <c r="P693" i="1"/>
  <c r="O693" i="1"/>
  <c r="K693" i="1"/>
  <c r="J693" i="1"/>
  <c r="H693" i="1"/>
  <c r="I693" i="1" s="1"/>
  <c r="O692" i="1"/>
  <c r="K692" i="1"/>
  <c r="J692" i="1"/>
  <c r="H692" i="1"/>
  <c r="I692" i="1" s="1"/>
  <c r="R691" i="1"/>
  <c r="Q691" i="1"/>
  <c r="P691" i="1"/>
  <c r="O691" i="1"/>
  <c r="K691" i="1"/>
  <c r="J691" i="1"/>
  <c r="H691" i="1"/>
  <c r="I691" i="1" s="1"/>
  <c r="O690" i="1"/>
  <c r="K690" i="1"/>
  <c r="J690" i="1"/>
  <c r="H690" i="1"/>
  <c r="I690" i="1" s="1"/>
  <c r="R689" i="1"/>
  <c r="Q689" i="1"/>
  <c r="O689" i="1"/>
  <c r="K689" i="1"/>
  <c r="P689" i="1" s="1"/>
  <c r="J689" i="1"/>
  <c r="I689" i="1"/>
  <c r="H689" i="1"/>
  <c r="O688" i="1"/>
  <c r="K688" i="1"/>
  <c r="J688" i="1"/>
  <c r="I688" i="1"/>
  <c r="H688" i="1"/>
  <c r="O687" i="1"/>
  <c r="K687" i="1"/>
  <c r="J687" i="1"/>
  <c r="H687" i="1"/>
  <c r="I687" i="1" s="1"/>
  <c r="R686" i="1"/>
  <c r="O686" i="1"/>
  <c r="K686" i="1"/>
  <c r="J686" i="1"/>
  <c r="H686" i="1"/>
  <c r="I686" i="1" s="1"/>
  <c r="R685" i="1"/>
  <c r="Q685" i="1"/>
  <c r="P685" i="1"/>
  <c r="O685" i="1"/>
  <c r="K685" i="1"/>
  <c r="J685" i="1"/>
  <c r="H685" i="1"/>
  <c r="I685" i="1" s="1"/>
  <c r="O684" i="1"/>
  <c r="K684" i="1"/>
  <c r="J684" i="1"/>
  <c r="H684" i="1"/>
  <c r="I684" i="1" s="1"/>
  <c r="Q683" i="1"/>
  <c r="P683" i="1"/>
  <c r="O683" i="1"/>
  <c r="K683" i="1"/>
  <c r="R683" i="1" s="1"/>
  <c r="J683" i="1"/>
  <c r="H683" i="1"/>
  <c r="I683" i="1" s="1"/>
  <c r="O682" i="1"/>
  <c r="K682" i="1"/>
  <c r="J682" i="1"/>
  <c r="I682" i="1"/>
  <c r="H682" i="1"/>
  <c r="O681" i="1"/>
  <c r="K681" i="1"/>
  <c r="J681" i="1"/>
  <c r="H681" i="1"/>
  <c r="I681" i="1" s="1"/>
  <c r="R680" i="1"/>
  <c r="O680" i="1"/>
  <c r="K680" i="1"/>
  <c r="J680" i="1"/>
  <c r="H680" i="1"/>
  <c r="I680" i="1" s="1"/>
  <c r="R679" i="1"/>
  <c r="O679" i="1"/>
  <c r="K679" i="1"/>
  <c r="Q679" i="1" s="1"/>
  <c r="J679" i="1"/>
  <c r="H679" i="1"/>
  <c r="I679" i="1" s="1"/>
  <c r="O678" i="1"/>
  <c r="K678" i="1"/>
  <c r="J678" i="1"/>
  <c r="H678" i="1"/>
  <c r="I678" i="1" s="1"/>
  <c r="R677" i="1"/>
  <c r="Q677" i="1"/>
  <c r="P677" i="1"/>
  <c r="O677" i="1"/>
  <c r="K677" i="1"/>
  <c r="J677" i="1"/>
  <c r="H677" i="1"/>
  <c r="I677" i="1" s="1"/>
  <c r="O676" i="1"/>
  <c r="K676" i="1"/>
  <c r="J676" i="1"/>
  <c r="H676" i="1"/>
  <c r="I676" i="1" s="1"/>
  <c r="R675" i="1"/>
  <c r="Q675" i="1"/>
  <c r="P675" i="1"/>
  <c r="O675" i="1"/>
  <c r="K675" i="1"/>
  <c r="J675" i="1"/>
  <c r="H675" i="1"/>
  <c r="I675" i="1" s="1"/>
  <c r="O674" i="1"/>
  <c r="K674" i="1"/>
  <c r="J674" i="1"/>
  <c r="H674" i="1"/>
  <c r="I674" i="1" s="1"/>
  <c r="O673" i="1"/>
  <c r="K673" i="1"/>
  <c r="J673" i="1"/>
  <c r="I673" i="1"/>
  <c r="H673" i="1"/>
  <c r="O672" i="1"/>
  <c r="K672" i="1"/>
  <c r="J672" i="1"/>
  <c r="H672" i="1"/>
  <c r="I672" i="1" s="1"/>
  <c r="P671" i="1"/>
  <c r="O671" i="1"/>
  <c r="K671" i="1"/>
  <c r="J671" i="1"/>
  <c r="H671" i="1"/>
  <c r="I671" i="1" s="1"/>
  <c r="R670" i="1"/>
  <c r="O670" i="1"/>
  <c r="K670" i="1"/>
  <c r="J670" i="1"/>
  <c r="H670" i="1"/>
  <c r="I670" i="1" s="1"/>
  <c r="O669" i="1"/>
  <c r="K669" i="1"/>
  <c r="R669" i="1" s="1"/>
  <c r="J669" i="1"/>
  <c r="I669" i="1"/>
  <c r="H669" i="1"/>
  <c r="R668" i="1"/>
  <c r="O668" i="1"/>
  <c r="K668" i="1"/>
  <c r="J668" i="1"/>
  <c r="H668" i="1"/>
  <c r="I668" i="1" s="1"/>
  <c r="P667" i="1"/>
  <c r="O667" i="1"/>
  <c r="K667" i="1"/>
  <c r="R667" i="1" s="1"/>
  <c r="J667" i="1"/>
  <c r="I667" i="1"/>
  <c r="H667" i="1"/>
  <c r="O666" i="1"/>
  <c r="K666" i="1"/>
  <c r="R666" i="1" s="1"/>
  <c r="J666" i="1"/>
  <c r="I666" i="1"/>
  <c r="H666" i="1"/>
  <c r="Q665" i="1"/>
  <c r="O665" i="1"/>
  <c r="K665" i="1"/>
  <c r="J665" i="1"/>
  <c r="I665" i="1"/>
  <c r="H665" i="1"/>
  <c r="O664" i="1"/>
  <c r="K664" i="1"/>
  <c r="J664" i="1"/>
  <c r="H664" i="1"/>
  <c r="I664" i="1" s="1"/>
  <c r="R663" i="1"/>
  <c r="O663" i="1"/>
  <c r="K663" i="1"/>
  <c r="Q663" i="1" s="1"/>
  <c r="J663" i="1"/>
  <c r="I663" i="1"/>
  <c r="H663" i="1"/>
  <c r="R662" i="1"/>
  <c r="O662" i="1"/>
  <c r="K662" i="1"/>
  <c r="J662" i="1"/>
  <c r="H662" i="1"/>
  <c r="I662" i="1" s="1"/>
  <c r="R661" i="1"/>
  <c r="Q661" i="1"/>
  <c r="P661" i="1"/>
  <c r="O661" i="1"/>
  <c r="K661" i="1"/>
  <c r="J661" i="1"/>
  <c r="H661" i="1"/>
  <c r="I661" i="1" s="1"/>
  <c r="R660" i="1"/>
  <c r="O660" i="1"/>
  <c r="K660" i="1"/>
  <c r="J660" i="1"/>
  <c r="H660" i="1"/>
  <c r="I660" i="1" s="1"/>
  <c r="O659" i="1"/>
  <c r="K659" i="1"/>
  <c r="J659" i="1"/>
  <c r="H659" i="1"/>
  <c r="I659" i="1" s="1"/>
  <c r="O658" i="1"/>
  <c r="K658" i="1"/>
  <c r="J658" i="1"/>
  <c r="H658" i="1"/>
  <c r="I658" i="1" s="1"/>
  <c r="R657" i="1"/>
  <c r="Q657" i="1"/>
  <c r="P657" i="1"/>
  <c r="O657" i="1"/>
  <c r="K657" i="1"/>
  <c r="J657" i="1"/>
  <c r="I657" i="1"/>
  <c r="H657" i="1"/>
  <c r="O656" i="1"/>
  <c r="K656" i="1"/>
  <c r="J656" i="1"/>
  <c r="H656" i="1"/>
  <c r="I656" i="1" s="1"/>
  <c r="O655" i="1"/>
  <c r="K655" i="1"/>
  <c r="J655" i="1"/>
  <c r="I655" i="1"/>
  <c r="H655" i="1"/>
  <c r="R654" i="1"/>
  <c r="O654" i="1"/>
  <c r="K654" i="1"/>
  <c r="J654" i="1"/>
  <c r="H654" i="1"/>
  <c r="I654" i="1" s="1"/>
  <c r="R653" i="1"/>
  <c r="P653" i="1"/>
  <c r="O653" i="1"/>
  <c r="K653" i="1"/>
  <c r="Q653" i="1" s="1"/>
  <c r="J653" i="1"/>
  <c r="H653" i="1"/>
  <c r="I653" i="1" s="1"/>
  <c r="R652" i="1"/>
  <c r="O652" i="1"/>
  <c r="K652" i="1"/>
  <c r="J652" i="1"/>
  <c r="H652" i="1"/>
  <c r="I652" i="1" s="1"/>
  <c r="Q651" i="1"/>
  <c r="P651" i="1"/>
  <c r="O651" i="1"/>
  <c r="K651" i="1"/>
  <c r="R651" i="1" s="1"/>
  <c r="J651" i="1"/>
  <c r="I651" i="1"/>
  <c r="H651" i="1"/>
  <c r="O650" i="1"/>
  <c r="K650" i="1"/>
  <c r="R650" i="1" s="1"/>
  <c r="J650" i="1"/>
  <c r="I650" i="1"/>
  <c r="H650" i="1"/>
  <c r="O649" i="1"/>
  <c r="K649" i="1"/>
  <c r="J649" i="1"/>
  <c r="H649" i="1"/>
  <c r="I649" i="1" s="1"/>
  <c r="R648" i="1"/>
  <c r="O648" i="1"/>
  <c r="K648" i="1"/>
  <c r="J648" i="1"/>
  <c r="H648" i="1"/>
  <c r="I648" i="1" s="1"/>
  <c r="R647" i="1"/>
  <c r="O647" i="1"/>
  <c r="K647" i="1"/>
  <c r="Q647" i="1" s="1"/>
  <c r="J647" i="1"/>
  <c r="H647" i="1"/>
  <c r="I647" i="1" s="1"/>
  <c r="O646" i="1"/>
  <c r="K646" i="1"/>
  <c r="J646" i="1"/>
  <c r="H646" i="1"/>
  <c r="I646" i="1" s="1"/>
  <c r="R645" i="1"/>
  <c r="Q645" i="1"/>
  <c r="P645" i="1"/>
  <c r="O645" i="1"/>
  <c r="K645" i="1"/>
  <c r="J645" i="1"/>
  <c r="H645" i="1"/>
  <c r="I645" i="1" s="1"/>
  <c r="R644" i="1"/>
  <c r="O644" i="1"/>
  <c r="K644" i="1"/>
  <c r="J644" i="1"/>
  <c r="H644" i="1"/>
  <c r="I644" i="1" s="1"/>
  <c r="R643" i="1"/>
  <c r="Q643" i="1"/>
  <c r="P643" i="1"/>
  <c r="O643" i="1"/>
  <c r="K643" i="1"/>
  <c r="J643" i="1"/>
  <c r="H643" i="1"/>
  <c r="I643" i="1" s="1"/>
  <c r="O642" i="1"/>
  <c r="K642" i="1"/>
  <c r="J642" i="1"/>
  <c r="I642" i="1"/>
  <c r="H642" i="1"/>
  <c r="O641" i="1"/>
  <c r="K641" i="1"/>
  <c r="J641" i="1"/>
  <c r="I641" i="1"/>
  <c r="H641" i="1"/>
  <c r="O640" i="1"/>
  <c r="K640" i="1"/>
  <c r="J640" i="1"/>
  <c r="H640" i="1"/>
  <c r="I640" i="1" s="1"/>
  <c r="O639" i="1"/>
  <c r="K639" i="1"/>
  <c r="J639" i="1"/>
  <c r="H639" i="1"/>
  <c r="I639" i="1" s="1"/>
  <c r="R638" i="1"/>
  <c r="O638" i="1"/>
  <c r="K638" i="1"/>
  <c r="J638" i="1"/>
  <c r="H638" i="1"/>
  <c r="I638" i="1" s="1"/>
  <c r="R637" i="1"/>
  <c r="P637" i="1"/>
  <c r="O637" i="1"/>
  <c r="K637" i="1"/>
  <c r="Q637" i="1" s="1"/>
  <c r="J637" i="1"/>
  <c r="H637" i="1"/>
  <c r="I637" i="1" s="1"/>
  <c r="R636" i="1"/>
  <c r="O636" i="1"/>
  <c r="K636" i="1"/>
  <c r="J636" i="1"/>
  <c r="H636" i="1"/>
  <c r="I636" i="1" s="1"/>
  <c r="O635" i="1"/>
  <c r="K635" i="1"/>
  <c r="J635" i="1"/>
  <c r="I635" i="1"/>
  <c r="H635" i="1"/>
  <c r="R634" i="1"/>
  <c r="O634" i="1"/>
  <c r="K634" i="1"/>
  <c r="J634" i="1"/>
  <c r="I634" i="1"/>
  <c r="H634" i="1"/>
  <c r="O633" i="1"/>
  <c r="K633" i="1"/>
  <c r="J633" i="1"/>
  <c r="H633" i="1"/>
  <c r="I633" i="1" s="1"/>
  <c r="R632" i="1"/>
  <c r="O632" i="1"/>
  <c r="K632" i="1"/>
  <c r="J632" i="1"/>
  <c r="I632" i="1"/>
  <c r="H632" i="1"/>
  <c r="R631" i="1"/>
  <c r="O631" i="1"/>
  <c r="K631" i="1"/>
  <c r="Q631" i="1" s="1"/>
  <c r="J631" i="1"/>
  <c r="H631" i="1"/>
  <c r="I631" i="1" s="1"/>
  <c r="O630" i="1"/>
  <c r="K630" i="1"/>
  <c r="R630" i="1" s="1"/>
  <c r="J630" i="1"/>
  <c r="H630" i="1"/>
  <c r="I630" i="1" s="1"/>
  <c r="R629" i="1"/>
  <c r="Q629" i="1"/>
  <c r="P629" i="1"/>
  <c r="O629" i="1"/>
  <c r="K629" i="1"/>
  <c r="J629" i="1"/>
  <c r="H629" i="1"/>
  <c r="I629" i="1" s="1"/>
  <c r="O628" i="1"/>
  <c r="K628" i="1"/>
  <c r="J628" i="1"/>
  <c r="H628" i="1"/>
  <c r="I628" i="1" s="1"/>
  <c r="R627" i="1"/>
  <c r="Q627" i="1"/>
  <c r="P627" i="1"/>
  <c r="O627" i="1"/>
  <c r="K627" i="1"/>
  <c r="J627" i="1"/>
  <c r="H627" i="1"/>
  <c r="I627" i="1" s="1"/>
  <c r="O626" i="1"/>
  <c r="K626" i="1"/>
  <c r="J626" i="1"/>
  <c r="H626" i="1"/>
  <c r="I626" i="1" s="1"/>
  <c r="O625" i="1"/>
  <c r="K625" i="1"/>
  <c r="J625" i="1"/>
  <c r="I625" i="1"/>
  <c r="H625" i="1"/>
  <c r="O624" i="1"/>
  <c r="K624" i="1"/>
  <c r="J624" i="1"/>
  <c r="H624" i="1"/>
  <c r="I624" i="1" s="1"/>
  <c r="P623" i="1"/>
  <c r="O623" i="1"/>
  <c r="K623" i="1"/>
  <c r="R623" i="1" s="1"/>
  <c r="J623" i="1"/>
  <c r="H623" i="1"/>
  <c r="I623" i="1" s="1"/>
  <c r="R622" i="1"/>
  <c r="O622" i="1"/>
  <c r="K622" i="1"/>
  <c r="J622" i="1"/>
  <c r="H622" i="1"/>
  <c r="I622" i="1" s="1"/>
  <c r="O621" i="1"/>
  <c r="K621" i="1"/>
  <c r="J621" i="1"/>
  <c r="I621" i="1"/>
  <c r="H621" i="1"/>
  <c r="R620" i="1"/>
  <c r="O620" i="1"/>
  <c r="K620" i="1"/>
  <c r="J620" i="1"/>
  <c r="H620" i="1"/>
  <c r="I620" i="1" s="1"/>
  <c r="Q619" i="1"/>
  <c r="P619" i="1"/>
  <c r="O619" i="1"/>
  <c r="K619" i="1"/>
  <c r="R619" i="1" s="1"/>
  <c r="J619" i="1"/>
  <c r="I619" i="1"/>
  <c r="H619" i="1"/>
  <c r="O618" i="1"/>
  <c r="K618" i="1"/>
  <c r="J618" i="1"/>
  <c r="I618" i="1"/>
  <c r="H618" i="1"/>
  <c r="O617" i="1"/>
  <c r="K617" i="1"/>
  <c r="J617" i="1"/>
  <c r="H617" i="1"/>
  <c r="I617" i="1" s="1"/>
  <c r="O616" i="1"/>
  <c r="K616" i="1"/>
  <c r="J616" i="1"/>
  <c r="H616" i="1"/>
  <c r="I616" i="1" s="1"/>
  <c r="R615" i="1"/>
  <c r="O615" i="1"/>
  <c r="K615" i="1"/>
  <c r="Q615" i="1" s="1"/>
  <c r="J615" i="1"/>
  <c r="I615" i="1"/>
  <c r="H615" i="1"/>
  <c r="R614" i="1"/>
  <c r="O614" i="1"/>
  <c r="K614" i="1"/>
  <c r="J614" i="1"/>
  <c r="H614" i="1"/>
  <c r="I614" i="1" s="1"/>
  <c r="R613" i="1"/>
  <c r="Q613" i="1"/>
  <c r="P613" i="1"/>
  <c r="O613" i="1"/>
  <c r="K613" i="1"/>
  <c r="J613" i="1"/>
  <c r="H613" i="1"/>
  <c r="I613" i="1" s="1"/>
  <c r="R612" i="1"/>
  <c r="O612" i="1"/>
  <c r="K612" i="1"/>
  <c r="J612" i="1"/>
  <c r="I612" i="1"/>
  <c r="H612" i="1"/>
  <c r="O611" i="1"/>
  <c r="K611" i="1"/>
  <c r="J611" i="1"/>
  <c r="H611" i="1"/>
  <c r="I611" i="1" s="1"/>
  <c r="O610" i="1"/>
  <c r="K610" i="1"/>
  <c r="J610" i="1"/>
  <c r="H610" i="1"/>
  <c r="I610" i="1" s="1"/>
  <c r="R609" i="1"/>
  <c r="Q609" i="1"/>
  <c r="P609" i="1"/>
  <c r="O609" i="1"/>
  <c r="K609" i="1"/>
  <c r="J609" i="1"/>
  <c r="I609" i="1"/>
  <c r="H609" i="1"/>
  <c r="O608" i="1"/>
  <c r="K608" i="1"/>
  <c r="J608" i="1"/>
  <c r="I608" i="1"/>
  <c r="H608" i="1"/>
  <c r="O607" i="1"/>
  <c r="K607" i="1"/>
  <c r="J607" i="1"/>
  <c r="H607" i="1"/>
  <c r="I607" i="1" s="1"/>
  <c r="R606" i="1"/>
  <c r="O606" i="1"/>
  <c r="K606" i="1"/>
  <c r="J606" i="1"/>
  <c r="H606" i="1"/>
  <c r="I606" i="1" s="1"/>
  <c r="R605" i="1"/>
  <c r="P605" i="1"/>
  <c r="O605" i="1"/>
  <c r="K605" i="1"/>
  <c r="Q605" i="1" s="1"/>
  <c r="J605" i="1"/>
  <c r="H605" i="1"/>
  <c r="I605" i="1" s="1"/>
  <c r="O604" i="1"/>
  <c r="K604" i="1"/>
  <c r="J604" i="1"/>
  <c r="H604" i="1"/>
  <c r="I604" i="1" s="1"/>
  <c r="Q603" i="1"/>
  <c r="P603" i="1"/>
  <c r="O603" i="1"/>
  <c r="K603" i="1"/>
  <c r="R603" i="1" s="1"/>
  <c r="J603" i="1"/>
  <c r="I603" i="1"/>
  <c r="H603" i="1"/>
  <c r="O602" i="1"/>
  <c r="K602" i="1"/>
  <c r="R602" i="1" s="1"/>
  <c r="J602" i="1"/>
  <c r="I602" i="1"/>
  <c r="H602" i="1"/>
  <c r="Q601" i="1"/>
  <c r="O601" i="1"/>
  <c r="K601" i="1"/>
  <c r="J601" i="1"/>
  <c r="H601" i="1"/>
  <c r="I601" i="1" s="1"/>
  <c r="R600" i="1"/>
  <c r="O600" i="1"/>
  <c r="K600" i="1"/>
  <c r="J600" i="1"/>
  <c r="H600" i="1"/>
  <c r="I600" i="1" s="1"/>
  <c r="R599" i="1"/>
  <c r="O599" i="1"/>
  <c r="K599" i="1"/>
  <c r="Q599" i="1" s="1"/>
  <c r="J599" i="1"/>
  <c r="I599" i="1"/>
  <c r="H599" i="1"/>
  <c r="O598" i="1"/>
  <c r="K598" i="1"/>
  <c r="J598" i="1"/>
  <c r="H598" i="1"/>
  <c r="I598" i="1" s="1"/>
  <c r="R597" i="1"/>
  <c r="Q597" i="1"/>
  <c r="P597" i="1"/>
  <c r="O597" i="1"/>
  <c r="K597" i="1"/>
  <c r="J597" i="1"/>
  <c r="H597" i="1"/>
  <c r="I597" i="1" s="1"/>
  <c r="R596" i="1"/>
  <c r="O596" i="1"/>
  <c r="K596" i="1"/>
  <c r="J596" i="1"/>
  <c r="I596" i="1"/>
  <c r="H596" i="1"/>
  <c r="R595" i="1"/>
  <c r="Q595" i="1"/>
  <c r="P595" i="1"/>
  <c r="O595" i="1"/>
  <c r="K595" i="1"/>
  <c r="J595" i="1"/>
  <c r="H595" i="1"/>
  <c r="I595" i="1" s="1"/>
  <c r="O594" i="1"/>
  <c r="K594" i="1"/>
  <c r="J594" i="1"/>
  <c r="H594" i="1"/>
  <c r="I594" i="1" s="1"/>
  <c r="O593" i="1"/>
  <c r="K593" i="1"/>
  <c r="J593" i="1"/>
  <c r="I593" i="1"/>
  <c r="H593" i="1"/>
  <c r="O592" i="1"/>
  <c r="K592" i="1"/>
  <c r="J592" i="1"/>
  <c r="I592" i="1"/>
  <c r="H592" i="1"/>
  <c r="R591" i="1"/>
  <c r="P591" i="1"/>
  <c r="O591" i="1"/>
  <c r="K591" i="1"/>
  <c r="Q591" i="1" s="1"/>
  <c r="J591" i="1"/>
  <c r="H591" i="1"/>
  <c r="I591" i="1" s="1"/>
  <c r="R590" i="1"/>
  <c r="O590" i="1"/>
  <c r="K590" i="1"/>
  <c r="J590" i="1"/>
  <c r="H590" i="1"/>
  <c r="I590" i="1" s="1"/>
  <c r="R589" i="1"/>
  <c r="Q589" i="1"/>
  <c r="P589" i="1"/>
  <c r="O589" i="1"/>
  <c r="K589" i="1"/>
  <c r="J589" i="1"/>
  <c r="H589" i="1"/>
  <c r="I589" i="1" s="1"/>
  <c r="O588" i="1"/>
  <c r="K588" i="1"/>
  <c r="R588" i="1" s="1"/>
  <c r="J588" i="1"/>
  <c r="H588" i="1"/>
  <c r="I588" i="1" s="1"/>
  <c r="O587" i="1"/>
  <c r="K587" i="1"/>
  <c r="R587" i="1" s="1"/>
  <c r="J587" i="1"/>
  <c r="H587" i="1"/>
  <c r="I587" i="1" s="1"/>
  <c r="R586" i="1"/>
  <c r="O586" i="1"/>
  <c r="K586" i="1"/>
  <c r="J586" i="1"/>
  <c r="I586" i="1"/>
  <c r="H586" i="1"/>
  <c r="O585" i="1"/>
  <c r="K585" i="1"/>
  <c r="J585" i="1"/>
  <c r="I585" i="1"/>
  <c r="H585" i="1"/>
  <c r="R584" i="1"/>
  <c r="O584" i="1"/>
  <c r="K584" i="1"/>
  <c r="J584" i="1"/>
  <c r="H584" i="1"/>
  <c r="I584" i="1" s="1"/>
  <c r="R583" i="1"/>
  <c r="O583" i="1"/>
  <c r="K583" i="1"/>
  <c r="Q583" i="1" s="1"/>
  <c r="J583" i="1"/>
  <c r="H583" i="1"/>
  <c r="I583" i="1" s="1"/>
  <c r="O582" i="1"/>
  <c r="K582" i="1"/>
  <c r="J582" i="1"/>
  <c r="H582" i="1"/>
  <c r="I582" i="1" s="1"/>
  <c r="R581" i="1"/>
  <c r="Q581" i="1"/>
  <c r="P581" i="1"/>
  <c r="O581" i="1"/>
  <c r="K581" i="1"/>
  <c r="J581" i="1"/>
  <c r="H581" i="1"/>
  <c r="I581" i="1" s="1"/>
  <c r="O580" i="1"/>
  <c r="K580" i="1"/>
  <c r="J580" i="1"/>
  <c r="H580" i="1"/>
  <c r="I580" i="1" s="1"/>
  <c r="R579" i="1"/>
  <c r="Q579" i="1"/>
  <c r="P579" i="1"/>
  <c r="O579" i="1"/>
  <c r="K579" i="1"/>
  <c r="J579" i="1"/>
  <c r="H579" i="1"/>
  <c r="I579" i="1" s="1"/>
  <c r="O578" i="1"/>
  <c r="K578" i="1"/>
  <c r="J578" i="1"/>
  <c r="H578" i="1"/>
  <c r="I578" i="1" s="1"/>
  <c r="O577" i="1"/>
  <c r="K577" i="1"/>
  <c r="P577" i="1" s="1"/>
  <c r="J577" i="1"/>
  <c r="I577" i="1"/>
  <c r="H577" i="1"/>
  <c r="O576" i="1"/>
  <c r="K576" i="1"/>
  <c r="J576" i="1"/>
  <c r="H576" i="1"/>
  <c r="I576" i="1" s="1"/>
  <c r="O575" i="1"/>
  <c r="K575" i="1"/>
  <c r="J575" i="1"/>
  <c r="H575" i="1"/>
  <c r="I575" i="1" s="1"/>
  <c r="R574" i="1"/>
  <c r="O574" i="1"/>
  <c r="K574" i="1"/>
  <c r="J574" i="1"/>
  <c r="H574" i="1"/>
  <c r="I574" i="1" s="1"/>
  <c r="R573" i="1"/>
  <c r="O573" i="1"/>
  <c r="K573" i="1"/>
  <c r="J573" i="1"/>
  <c r="H573" i="1"/>
  <c r="I573" i="1" s="1"/>
  <c r="O572" i="1"/>
  <c r="K572" i="1"/>
  <c r="J572" i="1"/>
  <c r="H572" i="1"/>
  <c r="I572" i="1" s="1"/>
  <c r="P571" i="1"/>
  <c r="O571" i="1"/>
  <c r="K571" i="1"/>
  <c r="J571" i="1"/>
  <c r="H571" i="1"/>
  <c r="I571" i="1" s="1"/>
  <c r="O570" i="1"/>
  <c r="K570" i="1"/>
  <c r="J570" i="1"/>
  <c r="I570" i="1"/>
  <c r="H570" i="1"/>
  <c r="O569" i="1"/>
  <c r="K569" i="1"/>
  <c r="J569" i="1"/>
  <c r="I569" i="1"/>
  <c r="H569" i="1"/>
  <c r="R568" i="1"/>
  <c r="O568" i="1"/>
  <c r="K568" i="1"/>
  <c r="J568" i="1"/>
  <c r="I568" i="1"/>
  <c r="H568" i="1"/>
  <c r="R567" i="1"/>
  <c r="O567" i="1"/>
  <c r="K567" i="1"/>
  <c r="Q567" i="1" s="1"/>
  <c r="J567" i="1"/>
  <c r="H567" i="1"/>
  <c r="I567" i="1" s="1"/>
  <c r="O566" i="1"/>
  <c r="K566" i="1"/>
  <c r="J566" i="1"/>
  <c r="I566" i="1"/>
  <c r="H566" i="1"/>
  <c r="R565" i="1"/>
  <c r="Q565" i="1"/>
  <c r="P565" i="1"/>
  <c r="O565" i="1"/>
  <c r="K565" i="1"/>
  <c r="J565" i="1"/>
  <c r="H565" i="1"/>
  <c r="I565" i="1" s="1"/>
  <c r="R564" i="1"/>
  <c r="O564" i="1"/>
  <c r="K564" i="1"/>
  <c r="J564" i="1"/>
  <c r="H564" i="1"/>
  <c r="I564" i="1" s="1"/>
  <c r="O563" i="1"/>
  <c r="K563" i="1"/>
  <c r="J563" i="1"/>
  <c r="H563" i="1"/>
  <c r="I563" i="1" s="1"/>
  <c r="O562" i="1"/>
  <c r="K562" i="1"/>
  <c r="J562" i="1"/>
  <c r="H562" i="1"/>
  <c r="I562" i="1" s="1"/>
  <c r="R561" i="1"/>
  <c r="Q561" i="1"/>
  <c r="P561" i="1"/>
  <c r="O561" i="1"/>
  <c r="K561" i="1"/>
  <c r="J561" i="1"/>
  <c r="I561" i="1"/>
  <c r="H561" i="1"/>
  <c r="O560" i="1"/>
  <c r="K560" i="1"/>
  <c r="J560" i="1"/>
  <c r="I560" i="1"/>
  <c r="H560" i="1"/>
  <c r="P559" i="1"/>
  <c r="O559" i="1"/>
  <c r="K559" i="1"/>
  <c r="J559" i="1"/>
  <c r="I559" i="1"/>
  <c r="H559" i="1"/>
  <c r="R558" i="1"/>
  <c r="O558" i="1"/>
  <c r="K558" i="1"/>
  <c r="J558" i="1"/>
  <c r="H558" i="1"/>
  <c r="I558" i="1" s="1"/>
  <c r="O557" i="1"/>
  <c r="K557" i="1"/>
  <c r="R557" i="1" s="1"/>
  <c r="J557" i="1"/>
  <c r="H557" i="1"/>
  <c r="I557" i="1" s="1"/>
  <c r="R556" i="1"/>
  <c r="O556" i="1"/>
  <c r="K556" i="1"/>
  <c r="J556" i="1"/>
  <c r="H556" i="1"/>
  <c r="I556" i="1" s="1"/>
  <c r="P555" i="1"/>
  <c r="O555" i="1"/>
  <c r="K555" i="1"/>
  <c r="J555" i="1"/>
  <c r="I555" i="1"/>
  <c r="H555" i="1"/>
  <c r="O554" i="1"/>
  <c r="K554" i="1"/>
  <c r="J554" i="1"/>
  <c r="I554" i="1"/>
  <c r="H554" i="1"/>
  <c r="Q553" i="1"/>
  <c r="O553" i="1"/>
  <c r="K553" i="1"/>
  <c r="J553" i="1"/>
  <c r="I553" i="1"/>
  <c r="H553" i="1"/>
  <c r="O552" i="1"/>
  <c r="K552" i="1"/>
  <c r="J552" i="1"/>
  <c r="H552" i="1"/>
  <c r="I552" i="1" s="1"/>
  <c r="R551" i="1"/>
  <c r="O551" i="1"/>
  <c r="K551" i="1"/>
  <c r="Q551" i="1" s="1"/>
  <c r="J551" i="1"/>
  <c r="H551" i="1"/>
  <c r="I551" i="1" s="1"/>
  <c r="O550" i="1"/>
  <c r="K550" i="1"/>
  <c r="J550" i="1"/>
  <c r="I550" i="1"/>
  <c r="H550" i="1"/>
  <c r="R549" i="1"/>
  <c r="Q549" i="1"/>
  <c r="P549" i="1"/>
  <c r="O549" i="1"/>
  <c r="K549" i="1"/>
  <c r="J549" i="1"/>
  <c r="H549" i="1"/>
  <c r="I549" i="1" s="1"/>
  <c r="R548" i="1"/>
  <c r="Q548" i="1"/>
  <c r="P548" i="1"/>
  <c r="O548" i="1"/>
  <c r="K548" i="1"/>
  <c r="J548" i="1"/>
  <c r="I548" i="1"/>
  <c r="H548" i="1"/>
  <c r="R547" i="1"/>
  <c r="Q547" i="1"/>
  <c r="P547" i="1"/>
  <c r="O547" i="1"/>
  <c r="K547" i="1"/>
  <c r="J547" i="1"/>
  <c r="H547" i="1"/>
  <c r="I547" i="1" s="1"/>
  <c r="R546" i="1"/>
  <c r="Q546" i="1"/>
  <c r="P546" i="1"/>
  <c r="O546" i="1"/>
  <c r="K546" i="1"/>
  <c r="J546" i="1"/>
  <c r="I546" i="1"/>
  <c r="H546" i="1"/>
  <c r="R545" i="1"/>
  <c r="Q545" i="1"/>
  <c r="P545" i="1"/>
  <c r="O545" i="1"/>
  <c r="K545" i="1"/>
  <c r="J545" i="1"/>
  <c r="H545" i="1"/>
  <c r="I545" i="1" s="1"/>
  <c r="O544" i="1"/>
  <c r="K544" i="1"/>
  <c r="J544" i="1"/>
  <c r="H544" i="1"/>
  <c r="I544" i="1" s="1"/>
  <c r="R543" i="1"/>
  <c r="Q543" i="1"/>
  <c r="P543" i="1"/>
  <c r="O543" i="1"/>
  <c r="K543" i="1"/>
  <c r="J543" i="1"/>
  <c r="H543" i="1"/>
  <c r="I543" i="1" s="1"/>
  <c r="R542" i="1"/>
  <c r="Q542" i="1"/>
  <c r="P542" i="1"/>
  <c r="O542" i="1"/>
  <c r="K542" i="1"/>
  <c r="J542" i="1"/>
  <c r="H542" i="1"/>
  <c r="I542" i="1" s="1"/>
  <c r="R541" i="1"/>
  <c r="Q541" i="1"/>
  <c r="P541" i="1"/>
  <c r="O541" i="1"/>
  <c r="K541" i="1"/>
  <c r="J541" i="1"/>
  <c r="H541" i="1"/>
  <c r="I541" i="1" s="1"/>
  <c r="O540" i="1"/>
  <c r="K540" i="1"/>
  <c r="R540" i="1" s="1"/>
  <c r="J540" i="1"/>
  <c r="I540" i="1"/>
  <c r="H540" i="1"/>
  <c r="R539" i="1"/>
  <c r="Q539" i="1"/>
  <c r="P539" i="1"/>
  <c r="O539" i="1"/>
  <c r="K539" i="1"/>
  <c r="J539" i="1"/>
  <c r="H539" i="1"/>
  <c r="I539" i="1" s="1"/>
  <c r="O538" i="1"/>
  <c r="K538" i="1"/>
  <c r="R538" i="1" s="1"/>
  <c r="J538" i="1"/>
  <c r="H538" i="1"/>
  <c r="I538" i="1" s="1"/>
  <c r="R537" i="1"/>
  <c r="Q537" i="1"/>
  <c r="P537" i="1"/>
  <c r="O537" i="1"/>
  <c r="K537" i="1"/>
  <c r="J537" i="1"/>
  <c r="H537" i="1"/>
  <c r="I537" i="1" s="1"/>
  <c r="R536" i="1"/>
  <c r="Q536" i="1"/>
  <c r="O536" i="1"/>
  <c r="K536" i="1"/>
  <c r="P536" i="1" s="1"/>
  <c r="J536" i="1"/>
  <c r="I536" i="1"/>
  <c r="H536" i="1"/>
  <c r="R535" i="1"/>
  <c r="Q535" i="1"/>
  <c r="P535" i="1"/>
  <c r="O535" i="1"/>
  <c r="K535" i="1"/>
  <c r="J535" i="1"/>
  <c r="H535" i="1"/>
  <c r="I535" i="1" s="1"/>
  <c r="R534" i="1"/>
  <c r="Q534" i="1"/>
  <c r="P534" i="1"/>
  <c r="O534" i="1"/>
  <c r="K534" i="1"/>
  <c r="J534" i="1"/>
  <c r="H534" i="1"/>
  <c r="I534" i="1" s="1"/>
  <c r="R533" i="1"/>
  <c r="Q533" i="1"/>
  <c r="P533" i="1"/>
  <c r="O533" i="1"/>
  <c r="K533" i="1"/>
  <c r="J533" i="1"/>
  <c r="H533" i="1"/>
  <c r="I533" i="1" s="1"/>
  <c r="R532" i="1"/>
  <c r="Q532" i="1"/>
  <c r="P532" i="1"/>
  <c r="O532" i="1"/>
  <c r="K532" i="1"/>
  <c r="J532" i="1"/>
  <c r="I532" i="1"/>
  <c r="H532" i="1"/>
  <c r="R531" i="1"/>
  <c r="Q531" i="1"/>
  <c r="P531" i="1"/>
  <c r="O531" i="1"/>
  <c r="K531" i="1"/>
  <c r="J531" i="1"/>
  <c r="H531" i="1"/>
  <c r="I531" i="1" s="1"/>
  <c r="O530" i="1"/>
  <c r="K530" i="1"/>
  <c r="R530" i="1" s="1"/>
  <c r="J530" i="1"/>
  <c r="I530" i="1"/>
  <c r="H530" i="1"/>
  <c r="R529" i="1"/>
  <c r="Q529" i="1"/>
  <c r="P529" i="1"/>
  <c r="O529" i="1"/>
  <c r="K529" i="1"/>
  <c r="J529" i="1"/>
  <c r="H529" i="1"/>
  <c r="I529" i="1" s="1"/>
  <c r="O528" i="1"/>
  <c r="K528" i="1"/>
  <c r="R528" i="1" s="1"/>
  <c r="J528" i="1"/>
  <c r="H528" i="1"/>
  <c r="I528" i="1" s="1"/>
  <c r="R527" i="1"/>
  <c r="Q527" i="1"/>
  <c r="P527" i="1"/>
  <c r="O527" i="1"/>
  <c r="K527" i="1"/>
  <c r="J527" i="1"/>
  <c r="H527" i="1"/>
  <c r="I527" i="1" s="1"/>
  <c r="O526" i="1"/>
  <c r="K526" i="1"/>
  <c r="R526" i="1" s="1"/>
  <c r="J526" i="1"/>
  <c r="I526" i="1"/>
  <c r="H526" i="1"/>
  <c r="R525" i="1"/>
  <c r="Q525" i="1"/>
  <c r="P525" i="1"/>
  <c r="O525" i="1"/>
  <c r="K525" i="1"/>
  <c r="J525" i="1"/>
  <c r="H525" i="1"/>
  <c r="I525" i="1" s="1"/>
  <c r="Q524" i="1"/>
  <c r="O524" i="1"/>
  <c r="K524" i="1"/>
  <c r="R524" i="1" s="1"/>
  <c r="J524" i="1"/>
  <c r="H524" i="1"/>
  <c r="I524" i="1" s="1"/>
  <c r="R523" i="1"/>
  <c r="Q523" i="1"/>
  <c r="P523" i="1"/>
  <c r="O523" i="1"/>
  <c r="K523" i="1"/>
  <c r="J523" i="1"/>
  <c r="H523" i="1"/>
  <c r="I523" i="1" s="1"/>
  <c r="P522" i="1"/>
  <c r="O522" i="1"/>
  <c r="K522" i="1"/>
  <c r="J522" i="1"/>
  <c r="I522" i="1"/>
  <c r="H522" i="1"/>
  <c r="R521" i="1"/>
  <c r="Q521" i="1"/>
  <c r="P521" i="1"/>
  <c r="O521" i="1"/>
  <c r="K521" i="1"/>
  <c r="J521" i="1"/>
  <c r="H521" i="1"/>
  <c r="I521" i="1" s="1"/>
  <c r="O520" i="1"/>
  <c r="K520" i="1"/>
  <c r="R520" i="1" s="1"/>
  <c r="J520" i="1"/>
  <c r="H520" i="1"/>
  <c r="I520" i="1" s="1"/>
  <c r="R519" i="1"/>
  <c r="Q519" i="1"/>
  <c r="P519" i="1"/>
  <c r="O519" i="1"/>
  <c r="K519" i="1"/>
  <c r="J519" i="1"/>
  <c r="H519" i="1"/>
  <c r="I519" i="1" s="1"/>
  <c r="O518" i="1"/>
  <c r="K518" i="1"/>
  <c r="J518" i="1"/>
  <c r="H518" i="1"/>
  <c r="I518" i="1" s="1"/>
  <c r="R517" i="1"/>
  <c r="Q517" i="1"/>
  <c r="P517" i="1"/>
  <c r="O517" i="1"/>
  <c r="K517" i="1"/>
  <c r="J517" i="1"/>
  <c r="H517" i="1"/>
  <c r="I517" i="1" s="1"/>
  <c r="R516" i="1"/>
  <c r="Q516" i="1"/>
  <c r="P516" i="1"/>
  <c r="O516" i="1"/>
  <c r="K516" i="1"/>
  <c r="J516" i="1"/>
  <c r="H516" i="1"/>
  <c r="I516" i="1" s="1"/>
  <c r="R515" i="1"/>
  <c r="Q515" i="1"/>
  <c r="P515" i="1"/>
  <c r="O515" i="1"/>
  <c r="K515" i="1"/>
  <c r="J515" i="1"/>
  <c r="H515" i="1"/>
  <c r="I515" i="1" s="1"/>
  <c r="R514" i="1"/>
  <c r="Q514" i="1"/>
  <c r="P514" i="1"/>
  <c r="O514" i="1"/>
  <c r="K514" i="1"/>
  <c r="J514" i="1"/>
  <c r="I514" i="1"/>
  <c r="H514" i="1"/>
  <c r="R513" i="1"/>
  <c r="Q513" i="1"/>
  <c r="P513" i="1"/>
  <c r="O513" i="1"/>
  <c r="K513" i="1"/>
  <c r="J513" i="1"/>
  <c r="H513" i="1"/>
  <c r="I513" i="1" s="1"/>
  <c r="R512" i="1"/>
  <c r="Q512" i="1"/>
  <c r="O512" i="1"/>
  <c r="K512" i="1"/>
  <c r="P512" i="1" s="1"/>
  <c r="J512" i="1"/>
  <c r="H512" i="1"/>
  <c r="I512" i="1" s="1"/>
  <c r="R511" i="1"/>
  <c r="Q511" i="1"/>
  <c r="P511" i="1"/>
  <c r="O511" i="1"/>
  <c r="K511" i="1"/>
  <c r="J511" i="1"/>
  <c r="H511" i="1"/>
  <c r="I511" i="1" s="1"/>
  <c r="R510" i="1"/>
  <c r="Q510" i="1"/>
  <c r="P510" i="1"/>
  <c r="O510" i="1"/>
  <c r="K510" i="1"/>
  <c r="J510" i="1"/>
  <c r="H510" i="1"/>
  <c r="I510" i="1" s="1"/>
  <c r="R509" i="1"/>
  <c r="Q509" i="1"/>
  <c r="P509" i="1"/>
  <c r="O509" i="1"/>
  <c r="K509" i="1"/>
  <c r="J509" i="1"/>
  <c r="H509" i="1"/>
  <c r="I509" i="1" s="1"/>
  <c r="Q508" i="1"/>
  <c r="O508" i="1"/>
  <c r="K508" i="1"/>
  <c r="R508" i="1" s="1"/>
  <c r="J508" i="1"/>
  <c r="I508" i="1"/>
  <c r="H508" i="1"/>
  <c r="R507" i="1"/>
  <c r="Q507" i="1"/>
  <c r="P507" i="1"/>
  <c r="O507" i="1"/>
  <c r="K507" i="1"/>
  <c r="J507" i="1"/>
  <c r="H507" i="1"/>
  <c r="I507" i="1" s="1"/>
  <c r="Q506" i="1"/>
  <c r="P506" i="1"/>
  <c r="O506" i="1"/>
  <c r="K506" i="1"/>
  <c r="R506" i="1" s="1"/>
  <c r="J506" i="1"/>
  <c r="H506" i="1"/>
  <c r="I506" i="1" s="1"/>
  <c r="R505" i="1"/>
  <c r="Q505" i="1"/>
  <c r="P505" i="1"/>
  <c r="O505" i="1"/>
  <c r="K505" i="1"/>
  <c r="J505" i="1"/>
  <c r="H505" i="1"/>
  <c r="I505" i="1" s="1"/>
  <c r="O504" i="1"/>
  <c r="K504" i="1"/>
  <c r="J504" i="1"/>
  <c r="I504" i="1"/>
  <c r="H504" i="1"/>
  <c r="R503" i="1"/>
  <c r="Q503" i="1"/>
  <c r="P503" i="1"/>
  <c r="O503" i="1"/>
  <c r="K503" i="1"/>
  <c r="J503" i="1"/>
  <c r="H503" i="1"/>
  <c r="I503" i="1" s="1"/>
  <c r="O502" i="1"/>
  <c r="K502" i="1"/>
  <c r="J502" i="1"/>
  <c r="H502" i="1"/>
  <c r="I502" i="1" s="1"/>
  <c r="R501" i="1"/>
  <c r="Q501" i="1"/>
  <c r="P501" i="1"/>
  <c r="O501" i="1"/>
  <c r="K501" i="1"/>
  <c r="J501" i="1"/>
  <c r="H501" i="1"/>
  <c r="I501" i="1" s="1"/>
  <c r="O500" i="1"/>
  <c r="K500" i="1"/>
  <c r="J500" i="1"/>
  <c r="H500" i="1"/>
  <c r="I500" i="1" s="1"/>
  <c r="R499" i="1"/>
  <c r="Q499" i="1"/>
  <c r="P499" i="1"/>
  <c r="O499" i="1"/>
  <c r="K499" i="1"/>
  <c r="J499" i="1"/>
  <c r="H499" i="1"/>
  <c r="I499" i="1" s="1"/>
  <c r="O498" i="1"/>
  <c r="K498" i="1"/>
  <c r="R498" i="1" s="1"/>
  <c r="J498" i="1"/>
  <c r="I498" i="1"/>
  <c r="H498" i="1"/>
  <c r="R497" i="1"/>
  <c r="Q497" i="1"/>
  <c r="P497" i="1"/>
  <c r="O497" i="1"/>
  <c r="K497" i="1"/>
  <c r="J497" i="1"/>
  <c r="H497" i="1"/>
  <c r="I497" i="1" s="1"/>
  <c r="O496" i="1"/>
  <c r="K496" i="1"/>
  <c r="R496" i="1" s="1"/>
  <c r="J496" i="1"/>
  <c r="I496" i="1"/>
  <c r="H496" i="1"/>
  <c r="R495" i="1"/>
  <c r="Q495" i="1"/>
  <c r="P495" i="1"/>
  <c r="O495" i="1"/>
  <c r="K495" i="1"/>
  <c r="J495" i="1"/>
  <c r="H495" i="1"/>
  <c r="I495" i="1" s="1"/>
  <c r="R494" i="1"/>
  <c r="P494" i="1"/>
  <c r="O494" i="1"/>
  <c r="K494" i="1"/>
  <c r="Q494" i="1" s="1"/>
  <c r="J494" i="1"/>
  <c r="H494" i="1"/>
  <c r="I494" i="1" s="1"/>
  <c r="R493" i="1"/>
  <c r="Q493" i="1"/>
  <c r="P493" i="1"/>
  <c r="O493" i="1"/>
  <c r="K493" i="1"/>
  <c r="J493" i="1"/>
  <c r="H493" i="1"/>
  <c r="I493" i="1" s="1"/>
  <c r="Q492" i="1"/>
  <c r="P492" i="1"/>
  <c r="O492" i="1"/>
  <c r="K492" i="1"/>
  <c r="R492" i="1" s="1"/>
  <c r="J492" i="1"/>
  <c r="H492" i="1"/>
  <c r="I492" i="1" s="1"/>
  <c r="R491" i="1"/>
  <c r="Q491" i="1"/>
  <c r="P491" i="1"/>
  <c r="O491" i="1"/>
  <c r="K491" i="1"/>
  <c r="J491" i="1"/>
  <c r="I491" i="1"/>
  <c r="H491" i="1"/>
  <c r="Q490" i="1"/>
  <c r="P490" i="1"/>
  <c r="O490" i="1"/>
  <c r="K490" i="1"/>
  <c r="R490" i="1" s="1"/>
  <c r="J490" i="1"/>
  <c r="I490" i="1"/>
  <c r="H490" i="1"/>
  <c r="R489" i="1"/>
  <c r="Q489" i="1"/>
  <c r="P489" i="1"/>
  <c r="O489" i="1"/>
  <c r="K489" i="1"/>
  <c r="J489" i="1"/>
  <c r="I489" i="1"/>
  <c r="H489" i="1"/>
  <c r="Q488" i="1"/>
  <c r="O488" i="1"/>
  <c r="K488" i="1"/>
  <c r="R488" i="1" s="1"/>
  <c r="J488" i="1"/>
  <c r="I488" i="1"/>
  <c r="H488" i="1"/>
  <c r="R487" i="1"/>
  <c r="Q487" i="1"/>
  <c r="P487" i="1"/>
  <c r="O487" i="1"/>
  <c r="K487" i="1"/>
  <c r="J487" i="1"/>
  <c r="I487" i="1"/>
  <c r="H487" i="1"/>
  <c r="Q486" i="1"/>
  <c r="P486" i="1"/>
  <c r="O486" i="1"/>
  <c r="K486" i="1"/>
  <c r="R486" i="1" s="1"/>
  <c r="J486" i="1"/>
  <c r="H486" i="1"/>
  <c r="I486" i="1" s="1"/>
  <c r="R485" i="1"/>
  <c r="Q485" i="1"/>
  <c r="P485" i="1"/>
  <c r="O485" i="1"/>
  <c r="K485" i="1"/>
  <c r="J485" i="1"/>
  <c r="I485" i="1"/>
  <c r="H485" i="1"/>
  <c r="Q484" i="1"/>
  <c r="O484" i="1"/>
  <c r="K484" i="1"/>
  <c r="R484" i="1" s="1"/>
  <c r="J484" i="1"/>
  <c r="I484" i="1"/>
  <c r="H484" i="1"/>
  <c r="R483" i="1"/>
  <c r="Q483" i="1"/>
  <c r="P483" i="1"/>
  <c r="O483" i="1"/>
  <c r="K483" i="1"/>
  <c r="J483" i="1"/>
  <c r="I483" i="1"/>
  <c r="H483" i="1"/>
  <c r="Q482" i="1"/>
  <c r="P482" i="1"/>
  <c r="O482" i="1"/>
  <c r="K482" i="1"/>
  <c r="R482" i="1" s="1"/>
  <c r="J482" i="1"/>
  <c r="I482" i="1"/>
  <c r="H482" i="1"/>
  <c r="R481" i="1"/>
  <c r="Q481" i="1"/>
  <c r="P481" i="1"/>
  <c r="O481" i="1"/>
  <c r="K481" i="1"/>
  <c r="J481" i="1"/>
  <c r="I481" i="1"/>
  <c r="H481" i="1"/>
  <c r="Q480" i="1"/>
  <c r="P480" i="1"/>
  <c r="O480" i="1"/>
  <c r="K480" i="1"/>
  <c r="R480" i="1" s="1"/>
  <c r="J480" i="1"/>
  <c r="I480" i="1"/>
  <c r="H480" i="1"/>
  <c r="R479" i="1"/>
  <c r="Q479" i="1"/>
  <c r="P479" i="1"/>
  <c r="O479" i="1"/>
  <c r="K479" i="1"/>
  <c r="J479" i="1"/>
  <c r="I479" i="1"/>
  <c r="H479" i="1"/>
  <c r="O478" i="1"/>
  <c r="K478" i="1"/>
  <c r="R478" i="1" s="1"/>
  <c r="J478" i="1"/>
  <c r="H478" i="1"/>
  <c r="I478" i="1" s="1"/>
  <c r="R477" i="1"/>
  <c r="Q477" i="1"/>
  <c r="P477" i="1"/>
  <c r="O477" i="1"/>
  <c r="K477" i="1"/>
  <c r="J477" i="1"/>
  <c r="I477" i="1"/>
  <c r="H477" i="1"/>
  <c r="O476" i="1"/>
  <c r="K476" i="1"/>
  <c r="P476" i="1" s="1"/>
  <c r="J476" i="1"/>
  <c r="I476" i="1"/>
  <c r="H476" i="1"/>
  <c r="R475" i="1"/>
  <c r="Q475" i="1"/>
  <c r="P475" i="1"/>
  <c r="O475" i="1"/>
  <c r="K475" i="1"/>
  <c r="J475" i="1"/>
  <c r="I475" i="1"/>
  <c r="H475" i="1"/>
  <c r="O474" i="1"/>
  <c r="K474" i="1"/>
  <c r="J474" i="1"/>
  <c r="H474" i="1"/>
  <c r="I474" i="1" s="1"/>
  <c r="R473" i="1"/>
  <c r="Q473" i="1"/>
  <c r="P473" i="1"/>
  <c r="O473" i="1"/>
  <c r="K473" i="1"/>
  <c r="J473" i="1"/>
  <c r="I473" i="1"/>
  <c r="H473" i="1"/>
  <c r="O472" i="1"/>
  <c r="K472" i="1"/>
  <c r="J472" i="1"/>
  <c r="H472" i="1"/>
  <c r="I472" i="1" s="1"/>
  <c r="R471" i="1"/>
  <c r="Q471" i="1"/>
  <c r="P471" i="1"/>
  <c r="O471" i="1"/>
  <c r="K471" i="1"/>
  <c r="J471" i="1"/>
  <c r="I471" i="1"/>
  <c r="H471" i="1"/>
  <c r="O470" i="1"/>
  <c r="K470" i="1"/>
  <c r="J470" i="1"/>
  <c r="H470" i="1"/>
  <c r="I470" i="1" s="1"/>
  <c r="R469" i="1"/>
  <c r="Q469" i="1"/>
  <c r="P469" i="1"/>
  <c r="O469" i="1"/>
  <c r="K469" i="1"/>
  <c r="J469" i="1"/>
  <c r="I469" i="1"/>
  <c r="H469" i="1"/>
  <c r="O468" i="1"/>
  <c r="K468" i="1"/>
  <c r="R468" i="1" s="1"/>
  <c r="J468" i="1"/>
  <c r="I468" i="1"/>
  <c r="H468" i="1"/>
  <c r="R467" i="1"/>
  <c r="Q467" i="1"/>
  <c r="P467" i="1"/>
  <c r="O467" i="1"/>
  <c r="K467" i="1"/>
  <c r="J467" i="1"/>
  <c r="I467" i="1"/>
  <c r="H467" i="1"/>
  <c r="O466" i="1"/>
  <c r="K466" i="1"/>
  <c r="R466" i="1" s="1"/>
  <c r="J466" i="1"/>
  <c r="I466" i="1"/>
  <c r="H466" i="1"/>
  <c r="R465" i="1"/>
  <c r="Q465" i="1"/>
  <c r="P465" i="1"/>
  <c r="O465" i="1"/>
  <c r="K465" i="1"/>
  <c r="J465" i="1"/>
  <c r="I465" i="1"/>
  <c r="H465" i="1"/>
  <c r="P464" i="1"/>
  <c r="O464" i="1"/>
  <c r="K464" i="1"/>
  <c r="R464" i="1" s="1"/>
  <c r="J464" i="1"/>
  <c r="H464" i="1"/>
  <c r="I464" i="1" s="1"/>
  <c r="R463" i="1"/>
  <c r="Q463" i="1"/>
  <c r="P463" i="1"/>
  <c r="O463" i="1"/>
  <c r="K463" i="1"/>
  <c r="J463" i="1"/>
  <c r="I463" i="1"/>
  <c r="H463" i="1"/>
  <c r="Q462" i="1"/>
  <c r="O462" i="1"/>
  <c r="K462" i="1"/>
  <c r="R462" i="1" s="1"/>
  <c r="J462" i="1"/>
  <c r="H462" i="1"/>
  <c r="I462" i="1" s="1"/>
  <c r="R461" i="1"/>
  <c r="Q461" i="1"/>
  <c r="P461" i="1"/>
  <c r="O461" i="1"/>
  <c r="K461" i="1"/>
  <c r="J461" i="1"/>
  <c r="I461" i="1"/>
  <c r="H461" i="1"/>
  <c r="Q460" i="1"/>
  <c r="P460" i="1"/>
  <c r="O460" i="1"/>
  <c r="K460" i="1"/>
  <c r="R460" i="1" s="1"/>
  <c r="J460" i="1"/>
  <c r="H460" i="1"/>
  <c r="I460" i="1" s="1"/>
  <c r="R459" i="1"/>
  <c r="Q459" i="1"/>
  <c r="P459" i="1"/>
  <c r="O459" i="1"/>
  <c r="K459" i="1"/>
  <c r="J459" i="1"/>
  <c r="I459" i="1"/>
  <c r="H459" i="1"/>
  <c r="Q458" i="1"/>
  <c r="P458" i="1"/>
  <c r="O458" i="1"/>
  <c r="K458" i="1"/>
  <c r="R458" i="1" s="1"/>
  <c r="J458" i="1"/>
  <c r="I458" i="1"/>
  <c r="H458" i="1"/>
  <c r="R457" i="1"/>
  <c r="Q457" i="1"/>
  <c r="P457" i="1"/>
  <c r="O457" i="1"/>
  <c r="K457" i="1"/>
  <c r="J457" i="1"/>
  <c r="I457" i="1"/>
  <c r="H457" i="1"/>
  <c r="Q456" i="1"/>
  <c r="P456" i="1"/>
  <c r="O456" i="1"/>
  <c r="K456" i="1"/>
  <c r="R456" i="1" s="1"/>
  <c r="J456" i="1"/>
  <c r="I456" i="1"/>
  <c r="H456" i="1"/>
  <c r="R455" i="1"/>
  <c r="Q455" i="1"/>
  <c r="P455" i="1"/>
  <c r="O455" i="1"/>
  <c r="K455" i="1"/>
  <c r="J455" i="1"/>
  <c r="I455" i="1"/>
  <c r="H455" i="1"/>
  <c r="Q454" i="1"/>
  <c r="O454" i="1"/>
  <c r="K454" i="1"/>
  <c r="R454" i="1" s="1"/>
  <c r="J454" i="1"/>
  <c r="H454" i="1"/>
  <c r="I454" i="1" s="1"/>
  <c r="R453" i="1"/>
  <c r="Q453" i="1"/>
  <c r="P453" i="1"/>
  <c r="O453" i="1"/>
  <c r="K453" i="1"/>
  <c r="J453" i="1"/>
  <c r="I453" i="1"/>
  <c r="H453" i="1"/>
  <c r="Q452" i="1"/>
  <c r="P452" i="1"/>
  <c r="O452" i="1"/>
  <c r="K452" i="1"/>
  <c r="R452" i="1" s="1"/>
  <c r="J452" i="1"/>
  <c r="I452" i="1"/>
  <c r="H452" i="1"/>
  <c r="R451" i="1"/>
  <c r="Q451" i="1"/>
  <c r="P451" i="1"/>
  <c r="O451" i="1"/>
  <c r="K451" i="1"/>
  <c r="J451" i="1"/>
  <c r="I451" i="1"/>
  <c r="H451" i="1"/>
  <c r="O450" i="1"/>
  <c r="K450" i="1"/>
  <c r="R450" i="1" s="1"/>
  <c r="J450" i="1"/>
  <c r="H450" i="1"/>
  <c r="I450" i="1" s="1"/>
  <c r="R449" i="1"/>
  <c r="Q449" i="1"/>
  <c r="P449" i="1"/>
  <c r="O449" i="1"/>
  <c r="K449" i="1"/>
  <c r="J449" i="1"/>
  <c r="I449" i="1"/>
  <c r="H449" i="1"/>
  <c r="O448" i="1"/>
  <c r="K448" i="1"/>
  <c r="R448" i="1" s="1"/>
  <c r="J448" i="1"/>
  <c r="I448" i="1"/>
  <c r="H448" i="1"/>
  <c r="R447" i="1"/>
  <c r="Q447" i="1"/>
  <c r="P447" i="1"/>
  <c r="O447" i="1"/>
  <c r="K447" i="1"/>
  <c r="J447" i="1"/>
  <c r="I447" i="1"/>
  <c r="H447" i="1"/>
  <c r="O446" i="1"/>
  <c r="K446" i="1"/>
  <c r="R446" i="1" s="1"/>
  <c r="J446" i="1"/>
  <c r="I446" i="1"/>
  <c r="H446" i="1"/>
  <c r="R445" i="1"/>
  <c r="Q445" i="1"/>
  <c r="P445" i="1"/>
  <c r="O445" i="1"/>
  <c r="K445" i="1"/>
  <c r="J445" i="1"/>
  <c r="I445" i="1"/>
  <c r="H445" i="1"/>
  <c r="O444" i="1"/>
  <c r="K444" i="1"/>
  <c r="R444" i="1" s="1"/>
  <c r="J444" i="1"/>
  <c r="H444" i="1"/>
  <c r="I444" i="1" s="1"/>
  <c r="R443" i="1"/>
  <c r="Q443" i="1"/>
  <c r="P443" i="1"/>
  <c r="O443" i="1"/>
  <c r="K443" i="1"/>
  <c r="J443" i="1"/>
  <c r="I443" i="1"/>
  <c r="H443" i="1"/>
  <c r="O442" i="1"/>
  <c r="K442" i="1"/>
  <c r="J442" i="1"/>
  <c r="H442" i="1"/>
  <c r="I442" i="1" s="1"/>
  <c r="R441" i="1"/>
  <c r="Q441" i="1"/>
  <c r="P441" i="1"/>
  <c r="O441" i="1"/>
  <c r="K441" i="1"/>
  <c r="J441" i="1"/>
  <c r="I441" i="1"/>
  <c r="H441" i="1"/>
  <c r="O440" i="1"/>
  <c r="K440" i="1"/>
  <c r="J440" i="1"/>
  <c r="H440" i="1"/>
  <c r="I440" i="1" s="1"/>
  <c r="R439" i="1"/>
  <c r="Q439" i="1"/>
  <c r="P439" i="1"/>
  <c r="O439" i="1"/>
  <c r="K439" i="1"/>
  <c r="J439" i="1"/>
  <c r="I439" i="1"/>
  <c r="H439" i="1"/>
  <c r="O438" i="1"/>
  <c r="K438" i="1"/>
  <c r="J438" i="1"/>
  <c r="H438" i="1"/>
  <c r="I438" i="1" s="1"/>
  <c r="R437" i="1"/>
  <c r="Q437" i="1"/>
  <c r="P437" i="1"/>
  <c r="O437" i="1"/>
  <c r="K437" i="1"/>
  <c r="J437" i="1"/>
  <c r="I437" i="1"/>
  <c r="H437" i="1"/>
  <c r="O436" i="1"/>
  <c r="K436" i="1"/>
  <c r="R436" i="1" s="1"/>
  <c r="J436" i="1"/>
  <c r="H436" i="1"/>
  <c r="I436" i="1" s="1"/>
  <c r="R435" i="1"/>
  <c r="Q435" i="1"/>
  <c r="P435" i="1"/>
  <c r="O435" i="1"/>
  <c r="K435" i="1"/>
  <c r="J435" i="1"/>
  <c r="I435" i="1"/>
  <c r="H435" i="1"/>
  <c r="O434" i="1"/>
  <c r="K434" i="1"/>
  <c r="R434" i="1" s="1"/>
  <c r="J434" i="1"/>
  <c r="I434" i="1"/>
  <c r="H434" i="1"/>
  <c r="R433" i="1"/>
  <c r="Q433" i="1"/>
  <c r="P433" i="1"/>
  <c r="O433" i="1"/>
  <c r="K433" i="1"/>
  <c r="J433" i="1"/>
  <c r="I433" i="1"/>
  <c r="H433" i="1"/>
  <c r="P432" i="1"/>
  <c r="O432" i="1"/>
  <c r="K432" i="1"/>
  <c r="R432" i="1" s="1"/>
  <c r="J432" i="1"/>
  <c r="H432" i="1"/>
  <c r="I432" i="1" s="1"/>
  <c r="R431" i="1"/>
  <c r="Q431" i="1"/>
  <c r="P431" i="1"/>
  <c r="O431" i="1"/>
  <c r="K431" i="1"/>
  <c r="J431" i="1"/>
  <c r="I431" i="1"/>
  <c r="H431" i="1"/>
  <c r="Q430" i="1"/>
  <c r="O430" i="1"/>
  <c r="K430" i="1"/>
  <c r="R430" i="1" s="1"/>
  <c r="J430" i="1"/>
  <c r="H430" i="1"/>
  <c r="I430" i="1" s="1"/>
  <c r="R429" i="1"/>
  <c r="Q429" i="1"/>
  <c r="P429" i="1"/>
  <c r="O429" i="1"/>
  <c r="K429" i="1"/>
  <c r="J429" i="1"/>
  <c r="I429" i="1"/>
  <c r="H429" i="1"/>
  <c r="Q428" i="1"/>
  <c r="P428" i="1"/>
  <c r="O428" i="1"/>
  <c r="K428" i="1"/>
  <c r="R428" i="1" s="1"/>
  <c r="J428" i="1"/>
  <c r="H428" i="1"/>
  <c r="I428" i="1" s="1"/>
  <c r="R427" i="1"/>
  <c r="Q427" i="1"/>
  <c r="P427" i="1"/>
  <c r="O427" i="1"/>
  <c r="K427" i="1"/>
  <c r="J427" i="1"/>
  <c r="I427" i="1"/>
  <c r="H427" i="1"/>
  <c r="Q426" i="1"/>
  <c r="P426" i="1"/>
  <c r="O426" i="1"/>
  <c r="K426" i="1"/>
  <c r="R426" i="1" s="1"/>
  <c r="J426" i="1"/>
  <c r="I426" i="1"/>
  <c r="H426" i="1"/>
  <c r="R425" i="1"/>
  <c r="Q425" i="1"/>
  <c r="P425" i="1"/>
  <c r="O425" i="1"/>
  <c r="K425" i="1"/>
  <c r="J425" i="1"/>
  <c r="I425" i="1"/>
  <c r="H425" i="1"/>
  <c r="P424" i="1"/>
  <c r="O424" i="1"/>
  <c r="K424" i="1"/>
  <c r="R424" i="1" s="1"/>
  <c r="J424" i="1"/>
  <c r="I424" i="1"/>
  <c r="H424" i="1"/>
  <c r="R423" i="1"/>
  <c r="Q423" i="1"/>
  <c r="P423" i="1"/>
  <c r="O423" i="1"/>
  <c r="K423" i="1"/>
  <c r="J423" i="1"/>
  <c r="I423" i="1"/>
  <c r="H423" i="1"/>
  <c r="Q422" i="1"/>
  <c r="P422" i="1"/>
  <c r="O422" i="1"/>
  <c r="K422" i="1"/>
  <c r="R422" i="1" s="1"/>
  <c r="J422" i="1"/>
  <c r="H422" i="1"/>
  <c r="I422" i="1" s="1"/>
  <c r="R421" i="1"/>
  <c r="Q421" i="1"/>
  <c r="P421" i="1"/>
  <c r="O421" i="1"/>
  <c r="K421" i="1"/>
  <c r="J421" i="1"/>
  <c r="I421" i="1"/>
  <c r="H421" i="1"/>
  <c r="Q420" i="1"/>
  <c r="P420" i="1"/>
  <c r="O420" i="1"/>
  <c r="K420" i="1"/>
  <c r="R420" i="1" s="1"/>
  <c r="J420" i="1"/>
  <c r="I420" i="1"/>
  <c r="H420" i="1"/>
  <c r="R419" i="1"/>
  <c r="Q419" i="1"/>
  <c r="P419" i="1"/>
  <c r="O419" i="1"/>
  <c r="K419" i="1"/>
  <c r="J419" i="1"/>
  <c r="I419" i="1"/>
  <c r="H419" i="1"/>
  <c r="Q418" i="1"/>
  <c r="P418" i="1"/>
  <c r="O418" i="1"/>
  <c r="K418" i="1"/>
  <c r="R418" i="1" s="1"/>
  <c r="J418" i="1"/>
  <c r="I418" i="1"/>
  <c r="H418" i="1"/>
  <c r="R417" i="1"/>
  <c r="Q417" i="1"/>
  <c r="P417" i="1"/>
  <c r="O417" i="1"/>
  <c r="K417" i="1"/>
  <c r="J417" i="1"/>
  <c r="I417" i="1"/>
  <c r="H417" i="1"/>
  <c r="O416" i="1"/>
  <c r="K416" i="1"/>
  <c r="R416" i="1" s="1"/>
  <c r="J416" i="1"/>
  <c r="H416" i="1"/>
  <c r="I416" i="1" s="1"/>
  <c r="R415" i="1"/>
  <c r="Q415" i="1"/>
  <c r="P415" i="1"/>
  <c r="O415" i="1"/>
  <c r="K415" i="1"/>
  <c r="J415" i="1"/>
  <c r="I415" i="1"/>
  <c r="H415" i="1"/>
  <c r="Q414" i="1"/>
  <c r="O414" i="1"/>
  <c r="K414" i="1"/>
  <c r="R414" i="1" s="1"/>
  <c r="J414" i="1"/>
  <c r="I414" i="1"/>
  <c r="H414" i="1"/>
  <c r="R413" i="1"/>
  <c r="Q413" i="1"/>
  <c r="P413" i="1"/>
  <c r="O413" i="1"/>
  <c r="K413" i="1"/>
  <c r="J413" i="1"/>
  <c r="I413" i="1"/>
  <c r="H413" i="1"/>
  <c r="Q412" i="1"/>
  <c r="P412" i="1"/>
  <c r="O412" i="1"/>
  <c r="K412" i="1"/>
  <c r="R412" i="1" s="1"/>
  <c r="J412" i="1"/>
  <c r="I412" i="1"/>
  <c r="H412" i="1"/>
  <c r="R411" i="1"/>
  <c r="Q411" i="1"/>
  <c r="P411" i="1"/>
  <c r="O411" i="1"/>
  <c r="K411" i="1"/>
  <c r="J411" i="1"/>
  <c r="I411" i="1"/>
  <c r="H411" i="1"/>
  <c r="O410" i="1"/>
  <c r="K410" i="1"/>
  <c r="J410" i="1"/>
  <c r="H410" i="1"/>
  <c r="I410" i="1" s="1"/>
  <c r="R409" i="1"/>
  <c r="Q409" i="1"/>
  <c r="P409" i="1"/>
  <c r="O409" i="1"/>
  <c r="K409" i="1"/>
  <c r="J409" i="1"/>
  <c r="I409" i="1"/>
  <c r="H409" i="1"/>
  <c r="O408" i="1"/>
  <c r="K408" i="1"/>
  <c r="J408" i="1"/>
  <c r="H408" i="1"/>
  <c r="I408" i="1" s="1"/>
  <c r="R407" i="1"/>
  <c r="Q407" i="1"/>
  <c r="P407" i="1"/>
  <c r="O407" i="1"/>
  <c r="K407" i="1"/>
  <c r="J407" i="1"/>
  <c r="I407" i="1"/>
  <c r="H407" i="1"/>
  <c r="O406" i="1"/>
  <c r="K406" i="1"/>
  <c r="J406" i="1"/>
  <c r="H406" i="1"/>
  <c r="I406" i="1" s="1"/>
  <c r="R405" i="1"/>
  <c r="Q405" i="1"/>
  <c r="P405" i="1"/>
  <c r="O405" i="1"/>
  <c r="K405" i="1"/>
  <c r="J405" i="1"/>
  <c r="I405" i="1"/>
  <c r="H405" i="1"/>
  <c r="O404" i="1"/>
  <c r="K404" i="1"/>
  <c r="R404" i="1" s="1"/>
  <c r="J404" i="1"/>
  <c r="H404" i="1"/>
  <c r="I404" i="1" s="1"/>
  <c r="R403" i="1"/>
  <c r="Q403" i="1"/>
  <c r="P403" i="1"/>
  <c r="O403" i="1"/>
  <c r="K403" i="1"/>
  <c r="J403" i="1"/>
  <c r="I403" i="1"/>
  <c r="H403" i="1"/>
  <c r="O402" i="1"/>
  <c r="K402" i="1"/>
  <c r="R402" i="1" s="1"/>
  <c r="J402" i="1"/>
  <c r="H402" i="1"/>
  <c r="I402" i="1" s="1"/>
  <c r="R401" i="1"/>
  <c r="Q401" i="1"/>
  <c r="P401" i="1"/>
  <c r="O401" i="1"/>
  <c r="K401" i="1"/>
  <c r="J401" i="1"/>
  <c r="I401" i="1"/>
  <c r="H401" i="1"/>
  <c r="P400" i="1"/>
  <c r="O400" i="1"/>
  <c r="K400" i="1"/>
  <c r="R400" i="1" s="1"/>
  <c r="J400" i="1"/>
  <c r="H400" i="1"/>
  <c r="I400" i="1" s="1"/>
  <c r="R399" i="1"/>
  <c r="Q399" i="1"/>
  <c r="P399" i="1"/>
  <c r="O399" i="1"/>
  <c r="K399" i="1"/>
  <c r="J399" i="1"/>
  <c r="I399" i="1"/>
  <c r="H399" i="1"/>
  <c r="Q398" i="1"/>
  <c r="O398" i="1"/>
  <c r="K398" i="1"/>
  <c r="R398" i="1" s="1"/>
  <c r="J398" i="1"/>
  <c r="H398" i="1"/>
  <c r="I398" i="1" s="1"/>
  <c r="R397" i="1"/>
  <c r="Q397" i="1"/>
  <c r="P397" i="1"/>
  <c r="O397" i="1"/>
  <c r="K397" i="1"/>
  <c r="J397" i="1"/>
  <c r="I397" i="1"/>
  <c r="H397" i="1"/>
  <c r="Q396" i="1"/>
  <c r="P396" i="1"/>
  <c r="O396" i="1"/>
  <c r="K396" i="1"/>
  <c r="R396" i="1" s="1"/>
  <c r="J396" i="1"/>
  <c r="H396" i="1"/>
  <c r="I396" i="1" s="1"/>
  <c r="R395" i="1"/>
  <c r="Q395" i="1"/>
  <c r="P395" i="1"/>
  <c r="O395" i="1"/>
  <c r="K395" i="1"/>
  <c r="J395" i="1"/>
  <c r="I395" i="1"/>
  <c r="H395" i="1"/>
  <c r="Q394" i="1"/>
  <c r="P394" i="1"/>
  <c r="O394" i="1"/>
  <c r="K394" i="1"/>
  <c r="R394" i="1" s="1"/>
  <c r="J394" i="1"/>
  <c r="I394" i="1"/>
  <c r="H394" i="1"/>
  <c r="R393" i="1"/>
  <c r="Q393" i="1"/>
  <c r="P393" i="1"/>
  <c r="O393" i="1"/>
  <c r="K393" i="1"/>
  <c r="J393" i="1"/>
  <c r="I393" i="1"/>
  <c r="H393" i="1"/>
  <c r="O392" i="1"/>
  <c r="K392" i="1"/>
  <c r="R392" i="1" s="1"/>
  <c r="J392" i="1"/>
  <c r="I392" i="1"/>
  <c r="H392" i="1"/>
  <c r="R391" i="1"/>
  <c r="Q391" i="1"/>
  <c r="P391" i="1"/>
  <c r="O391" i="1"/>
  <c r="K391" i="1"/>
  <c r="J391" i="1"/>
  <c r="I391" i="1"/>
  <c r="H391" i="1"/>
  <c r="P390" i="1"/>
  <c r="O390" i="1"/>
  <c r="K390" i="1"/>
  <c r="R390" i="1" s="1"/>
  <c r="J390" i="1"/>
  <c r="H390" i="1"/>
  <c r="I390" i="1" s="1"/>
  <c r="R389" i="1"/>
  <c r="Q389" i="1"/>
  <c r="P389" i="1"/>
  <c r="O389" i="1"/>
  <c r="K389" i="1"/>
  <c r="J389" i="1"/>
  <c r="I389" i="1"/>
  <c r="H389" i="1"/>
  <c r="Q388" i="1"/>
  <c r="P388" i="1"/>
  <c r="O388" i="1"/>
  <c r="K388" i="1"/>
  <c r="R388" i="1" s="1"/>
  <c r="J388" i="1"/>
  <c r="I388" i="1"/>
  <c r="H388" i="1"/>
  <c r="R387" i="1"/>
  <c r="Q387" i="1"/>
  <c r="P387" i="1"/>
  <c r="O387" i="1"/>
  <c r="K387" i="1"/>
  <c r="J387" i="1"/>
  <c r="I387" i="1"/>
  <c r="H387" i="1"/>
  <c r="Q386" i="1"/>
  <c r="P386" i="1"/>
  <c r="O386" i="1"/>
  <c r="K386" i="1"/>
  <c r="R386" i="1" s="1"/>
  <c r="J386" i="1"/>
  <c r="H386" i="1"/>
  <c r="I386" i="1" s="1"/>
  <c r="R385" i="1"/>
  <c r="Q385" i="1"/>
  <c r="P385" i="1"/>
  <c r="O385" i="1"/>
  <c r="K385" i="1"/>
  <c r="J385" i="1"/>
  <c r="I385" i="1"/>
  <c r="H385" i="1"/>
  <c r="Q384" i="1"/>
  <c r="P384" i="1"/>
  <c r="O384" i="1"/>
  <c r="K384" i="1"/>
  <c r="R384" i="1" s="1"/>
  <c r="J384" i="1"/>
  <c r="I384" i="1"/>
  <c r="H384" i="1"/>
  <c r="R383" i="1"/>
  <c r="Q383" i="1"/>
  <c r="P383" i="1"/>
  <c r="O383" i="1"/>
  <c r="K383" i="1"/>
  <c r="J383" i="1"/>
  <c r="H383" i="1"/>
  <c r="I383" i="1" s="1"/>
  <c r="O382" i="1"/>
  <c r="K382" i="1"/>
  <c r="R382" i="1" s="1"/>
  <c r="J382" i="1"/>
  <c r="I382" i="1"/>
  <c r="H382" i="1"/>
  <c r="R381" i="1"/>
  <c r="Q381" i="1"/>
  <c r="P381" i="1"/>
  <c r="O381" i="1"/>
  <c r="K381" i="1"/>
  <c r="J381" i="1"/>
  <c r="H381" i="1"/>
  <c r="I381" i="1" s="1"/>
  <c r="O380" i="1"/>
  <c r="K380" i="1"/>
  <c r="R380" i="1" s="1"/>
  <c r="J380" i="1"/>
  <c r="I380" i="1"/>
  <c r="H380" i="1"/>
  <c r="R379" i="1"/>
  <c r="Q379" i="1"/>
  <c r="P379" i="1"/>
  <c r="O379" i="1"/>
  <c r="K379" i="1"/>
  <c r="J379" i="1"/>
  <c r="H379" i="1"/>
  <c r="I379" i="1" s="1"/>
  <c r="O378" i="1"/>
  <c r="K378" i="1"/>
  <c r="J378" i="1"/>
  <c r="H378" i="1"/>
  <c r="I378" i="1" s="1"/>
  <c r="R377" i="1"/>
  <c r="Q377" i="1"/>
  <c r="P377" i="1"/>
  <c r="O377" i="1"/>
  <c r="K377" i="1"/>
  <c r="J377" i="1"/>
  <c r="I377" i="1"/>
  <c r="H377" i="1"/>
  <c r="O376" i="1"/>
  <c r="K376" i="1"/>
  <c r="J376" i="1"/>
  <c r="H376" i="1"/>
  <c r="I376" i="1" s="1"/>
  <c r="R375" i="1"/>
  <c r="Q375" i="1"/>
  <c r="P375" i="1"/>
  <c r="O375" i="1"/>
  <c r="K375" i="1"/>
  <c r="J375" i="1"/>
  <c r="I375" i="1"/>
  <c r="H375" i="1"/>
  <c r="O374" i="1"/>
  <c r="K374" i="1"/>
  <c r="J374" i="1"/>
  <c r="H374" i="1"/>
  <c r="I374" i="1" s="1"/>
  <c r="R373" i="1"/>
  <c r="Q373" i="1"/>
  <c r="P373" i="1"/>
  <c r="O373" i="1"/>
  <c r="K373" i="1"/>
  <c r="J373" i="1"/>
  <c r="H373" i="1"/>
  <c r="I373" i="1" s="1"/>
  <c r="O372" i="1"/>
  <c r="K372" i="1"/>
  <c r="R372" i="1" s="1"/>
  <c r="J372" i="1"/>
  <c r="H372" i="1"/>
  <c r="I372" i="1" s="1"/>
  <c r="R371" i="1"/>
  <c r="Q371" i="1"/>
  <c r="P371" i="1"/>
  <c r="O371" i="1"/>
  <c r="K371" i="1"/>
  <c r="J371" i="1"/>
  <c r="I371" i="1"/>
  <c r="H371" i="1"/>
  <c r="O370" i="1"/>
  <c r="K370" i="1"/>
  <c r="R370" i="1" s="1"/>
  <c r="J370" i="1"/>
  <c r="H370" i="1"/>
  <c r="I370" i="1" s="1"/>
  <c r="R369" i="1"/>
  <c r="Q369" i="1"/>
  <c r="P369" i="1"/>
  <c r="O369" i="1"/>
  <c r="K369" i="1"/>
  <c r="J369" i="1"/>
  <c r="H369" i="1"/>
  <c r="I369" i="1" s="1"/>
  <c r="P368" i="1"/>
  <c r="O368" i="1"/>
  <c r="K368" i="1"/>
  <c r="R368" i="1" s="1"/>
  <c r="J368" i="1"/>
  <c r="H368" i="1"/>
  <c r="I368" i="1" s="1"/>
  <c r="R367" i="1"/>
  <c r="Q367" i="1"/>
  <c r="P367" i="1"/>
  <c r="O367" i="1"/>
  <c r="K367" i="1"/>
  <c r="J367" i="1"/>
  <c r="H367" i="1"/>
  <c r="I367" i="1" s="1"/>
  <c r="Q366" i="1"/>
  <c r="O366" i="1"/>
  <c r="K366" i="1"/>
  <c r="R366" i="1" s="1"/>
  <c r="J366" i="1"/>
  <c r="H366" i="1"/>
  <c r="I366" i="1" s="1"/>
  <c r="R365" i="1"/>
  <c r="Q365" i="1"/>
  <c r="P365" i="1"/>
  <c r="O365" i="1"/>
  <c r="K365" i="1"/>
  <c r="J365" i="1"/>
  <c r="I365" i="1"/>
  <c r="H365" i="1"/>
  <c r="Q364" i="1"/>
  <c r="P364" i="1"/>
  <c r="O364" i="1"/>
  <c r="K364" i="1"/>
  <c r="R364" i="1" s="1"/>
  <c r="J364" i="1"/>
  <c r="H364" i="1"/>
  <c r="I364" i="1" s="1"/>
  <c r="R363" i="1"/>
  <c r="Q363" i="1"/>
  <c r="P363" i="1"/>
  <c r="O363" i="1"/>
  <c r="K363" i="1"/>
  <c r="J363" i="1"/>
  <c r="H363" i="1"/>
  <c r="I363" i="1" s="1"/>
  <c r="Q362" i="1"/>
  <c r="P362" i="1"/>
  <c r="O362" i="1"/>
  <c r="K362" i="1"/>
  <c r="R362" i="1" s="1"/>
  <c r="J362" i="1"/>
  <c r="I362" i="1"/>
  <c r="H362" i="1"/>
  <c r="R361" i="1"/>
  <c r="Q361" i="1"/>
  <c r="P361" i="1"/>
  <c r="O361" i="1"/>
  <c r="K361" i="1"/>
  <c r="J361" i="1"/>
  <c r="H361" i="1"/>
  <c r="I361" i="1" s="1"/>
  <c r="Q360" i="1"/>
  <c r="P360" i="1"/>
  <c r="O360" i="1"/>
  <c r="K360" i="1"/>
  <c r="R360" i="1" s="1"/>
  <c r="J360" i="1"/>
  <c r="I360" i="1"/>
  <c r="H360" i="1"/>
  <c r="R359" i="1"/>
  <c r="Q359" i="1"/>
  <c r="P359" i="1"/>
  <c r="O359" i="1"/>
  <c r="K359" i="1"/>
  <c r="J359" i="1"/>
  <c r="H359" i="1"/>
  <c r="I359" i="1" s="1"/>
  <c r="Q358" i="1"/>
  <c r="P358" i="1"/>
  <c r="O358" i="1"/>
  <c r="K358" i="1"/>
  <c r="R358" i="1" s="1"/>
  <c r="J358" i="1"/>
  <c r="H358" i="1"/>
  <c r="I358" i="1" s="1"/>
  <c r="R357" i="1"/>
  <c r="Q357" i="1"/>
  <c r="P357" i="1"/>
  <c r="O357" i="1"/>
  <c r="K357" i="1"/>
  <c r="J357" i="1"/>
  <c r="H357" i="1"/>
  <c r="I357" i="1" s="1"/>
  <c r="O356" i="1"/>
  <c r="K356" i="1"/>
  <c r="R356" i="1" s="1"/>
  <c r="J356" i="1"/>
  <c r="I356" i="1"/>
  <c r="H356" i="1"/>
  <c r="R355" i="1"/>
  <c r="Q355" i="1"/>
  <c r="P355" i="1"/>
  <c r="O355" i="1"/>
  <c r="K355" i="1"/>
  <c r="J355" i="1"/>
  <c r="H355" i="1"/>
  <c r="I355" i="1" s="1"/>
  <c r="O354" i="1"/>
  <c r="K354" i="1"/>
  <c r="R354" i="1" s="1"/>
  <c r="J354" i="1"/>
  <c r="I354" i="1"/>
  <c r="H354" i="1"/>
  <c r="R353" i="1"/>
  <c r="Q353" i="1"/>
  <c r="P353" i="1"/>
  <c r="O353" i="1"/>
  <c r="K353" i="1"/>
  <c r="J353" i="1"/>
  <c r="H353" i="1"/>
  <c r="I353" i="1" s="1"/>
  <c r="O352" i="1"/>
  <c r="K352" i="1"/>
  <c r="R352" i="1" s="1"/>
  <c r="J352" i="1"/>
  <c r="I352" i="1"/>
  <c r="H352" i="1"/>
  <c r="R351" i="1"/>
  <c r="Q351" i="1"/>
  <c r="P351" i="1"/>
  <c r="O351" i="1"/>
  <c r="K351" i="1"/>
  <c r="J351" i="1"/>
  <c r="H351" i="1"/>
  <c r="I351" i="1" s="1"/>
  <c r="P350" i="1"/>
  <c r="O350" i="1"/>
  <c r="K350" i="1"/>
  <c r="J350" i="1"/>
  <c r="H350" i="1"/>
  <c r="I350" i="1" s="1"/>
  <c r="R349" i="1"/>
  <c r="Q349" i="1"/>
  <c r="P349" i="1"/>
  <c r="O349" i="1"/>
  <c r="K349" i="1"/>
  <c r="J349" i="1"/>
  <c r="H349" i="1"/>
  <c r="I349" i="1" s="1"/>
  <c r="O348" i="1"/>
  <c r="K348" i="1"/>
  <c r="J348" i="1"/>
  <c r="H348" i="1"/>
  <c r="I348" i="1" s="1"/>
  <c r="R347" i="1"/>
  <c r="Q347" i="1"/>
  <c r="P347" i="1"/>
  <c r="O347" i="1"/>
  <c r="K347" i="1"/>
  <c r="J347" i="1"/>
  <c r="H347" i="1"/>
  <c r="I347" i="1" s="1"/>
  <c r="O346" i="1"/>
  <c r="K346" i="1"/>
  <c r="J346" i="1"/>
  <c r="H346" i="1"/>
  <c r="I346" i="1" s="1"/>
  <c r="R345" i="1"/>
  <c r="Q345" i="1"/>
  <c r="P345" i="1"/>
  <c r="O345" i="1"/>
  <c r="K345" i="1"/>
  <c r="J345" i="1"/>
  <c r="I345" i="1"/>
  <c r="H345" i="1"/>
  <c r="O344" i="1"/>
  <c r="K344" i="1"/>
  <c r="J344" i="1"/>
  <c r="H344" i="1"/>
  <c r="I344" i="1" s="1"/>
  <c r="R343" i="1"/>
  <c r="Q343" i="1"/>
  <c r="P343" i="1"/>
  <c r="O343" i="1"/>
  <c r="K343" i="1"/>
  <c r="J343" i="1"/>
  <c r="I343" i="1"/>
  <c r="H343" i="1"/>
  <c r="O342" i="1"/>
  <c r="K342" i="1"/>
  <c r="J342" i="1"/>
  <c r="I342" i="1"/>
  <c r="H342" i="1"/>
  <c r="R341" i="1"/>
  <c r="Q341" i="1"/>
  <c r="P341" i="1"/>
  <c r="O341" i="1"/>
  <c r="K341" i="1"/>
  <c r="J341" i="1"/>
  <c r="H341" i="1"/>
  <c r="I341" i="1" s="1"/>
  <c r="O340" i="1"/>
  <c r="K340" i="1"/>
  <c r="R340" i="1" s="1"/>
  <c r="J340" i="1"/>
  <c r="H340" i="1"/>
  <c r="I340" i="1" s="1"/>
  <c r="R339" i="1"/>
  <c r="Q339" i="1"/>
  <c r="P339" i="1"/>
  <c r="O339" i="1"/>
  <c r="K339" i="1"/>
  <c r="J339" i="1"/>
  <c r="I339" i="1"/>
  <c r="H339" i="1"/>
  <c r="O338" i="1"/>
  <c r="K338" i="1"/>
  <c r="R338" i="1" s="1"/>
  <c r="J338" i="1"/>
  <c r="I338" i="1"/>
  <c r="H338" i="1"/>
  <c r="R337" i="1"/>
  <c r="Q337" i="1"/>
  <c r="P337" i="1"/>
  <c r="O337" i="1"/>
  <c r="K337" i="1"/>
  <c r="J337" i="1"/>
  <c r="H337" i="1"/>
  <c r="I337" i="1" s="1"/>
  <c r="P336" i="1"/>
  <c r="O336" i="1"/>
  <c r="K336" i="1"/>
  <c r="R336" i="1" s="1"/>
  <c r="J336" i="1"/>
  <c r="H336" i="1"/>
  <c r="I336" i="1" s="1"/>
  <c r="R335" i="1"/>
  <c r="Q335" i="1"/>
  <c r="P335" i="1"/>
  <c r="O335" i="1"/>
  <c r="K335" i="1"/>
  <c r="J335" i="1"/>
  <c r="I335" i="1"/>
  <c r="H335" i="1"/>
  <c r="Q334" i="1"/>
  <c r="O334" i="1"/>
  <c r="K334" i="1"/>
  <c r="R334" i="1" s="1"/>
  <c r="J334" i="1"/>
  <c r="H334" i="1"/>
  <c r="I334" i="1" s="1"/>
  <c r="R333" i="1"/>
  <c r="Q333" i="1"/>
  <c r="P333" i="1"/>
  <c r="O333" i="1"/>
  <c r="K333" i="1"/>
  <c r="J333" i="1"/>
  <c r="I333" i="1"/>
  <c r="H333" i="1"/>
  <c r="Q332" i="1"/>
  <c r="P332" i="1"/>
  <c r="O332" i="1"/>
  <c r="K332" i="1"/>
  <c r="R332" i="1" s="1"/>
  <c r="J332" i="1"/>
  <c r="H332" i="1"/>
  <c r="I332" i="1" s="1"/>
  <c r="R331" i="1"/>
  <c r="Q331" i="1"/>
  <c r="P331" i="1"/>
  <c r="O331" i="1"/>
  <c r="K331" i="1"/>
  <c r="J331" i="1"/>
  <c r="H331" i="1"/>
  <c r="I331" i="1" s="1"/>
  <c r="Q330" i="1"/>
  <c r="P330" i="1"/>
  <c r="O330" i="1"/>
  <c r="K330" i="1"/>
  <c r="R330" i="1" s="1"/>
  <c r="J330" i="1"/>
  <c r="I330" i="1"/>
  <c r="H330" i="1"/>
  <c r="R329" i="1"/>
  <c r="Q329" i="1"/>
  <c r="P329" i="1"/>
  <c r="O329" i="1"/>
  <c r="K329" i="1"/>
  <c r="J329" i="1"/>
  <c r="H329" i="1"/>
  <c r="I329" i="1" s="1"/>
  <c r="Q328" i="1"/>
  <c r="O328" i="1"/>
  <c r="K328" i="1"/>
  <c r="R328" i="1" s="1"/>
  <c r="J328" i="1"/>
  <c r="I328" i="1"/>
  <c r="H328" i="1"/>
  <c r="R327" i="1"/>
  <c r="Q327" i="1"/>
  <c r="P327" i="1"/>
  <c r="O327" i="1"/>
  <c r="K327" i="1"/>
  <c r="J327" i="1"/>
  <c r="H327" i="1"/>
  <c r="I327" i="1" s="1"/>
  <c r="Q326" i="1"/>
  <c r="P326" i="1"/>
  <c r="O326" i="1"/>
  <c r="K326" i="1"/>
  <c r="R326" i="1" s="1"/>
  <c r="J326" i="1"/>
  <c r="H326" i="1"/>
  <c r="I326" i="1" s="1"/>
  <c r="R325" i="1"/>
  <c r="Q325" i="1"/>
  <c r="P325" i="1"/>
  <c r="O325" i="1"/>
  <c r="K325" i="1"/>
  <c r="J325" i="1"/>
  <c r="H325" i="1"/>
  <c r="I325" i="1" s="1"/>
  <c r="O324" i="1"/>
  <c r="K324" i="1"/>
  <c r="R324" i="1" s="1"/>
  <c r="J324" i="1"/>
  <c r="I324" i="1"/>
  <c r="H324" i="1"/>
  <c r="R323" i="1"/>
  <c r="Q323" i="1"/>
  <c r="P323" i="1"/>
  <c r="O323" i="1"/>
  <c r="K323" i="1"/>
  <c r="J323" i="1"/>
  <c r="H323" i="1"/>
  <c r="I323" i="1" s="1"/>
  <c r="O322" i="1"/>
  <c r="K322" i="1"/>
  <c r="J322" i="1"/>
  <c r="H322" i="1"/>
  <c r="I322" i="1" s="1"/>
  <c r="R321" i="1"/>
  <c r="Q321" i="1"/>
  <c r="P321" i="1"/>
  <c r="O321" i="1"/>
  <c r="K321" i="1"/>
  <c r="J321" i="1"/>
  <c r="H321" i="1"/>
  <c r="I321" i="1" s="1"/>
  <c r="O320" i="1"/>
  <c r="K320" i="1"/>
  <c r="J320" i="1"/>
  <c r="H320" i="1"/>
  <c r="I320" i="1" s="1"/>
  <c r="R319" i="1"/>
  <c r="Q319" i="1"/>
  <c r="P319" i="1"/>
  <c r="O319" i="1"/>
  <c r="K319" i="1"/>
  <c r="J319" i="1"/>
  <c r="H319" i="1"/>
  <c r="I319" i="1" s="1"/>
  <c r="O318" i="1"/>
  <c r="K318" i="1"/>
  <c r="R318" i="1" s="1"/>
  <c r="J318" i="1"/>
  <c r="H318" i="1"/>
  <c r="I318" i="1" s="1"/>
  <c r="R317" i="1"/>
  <c r="Q317" i="1"/>
  <c r="P317" i="1"/>
  <c r="O317" i="1"/>
  <c r="K317" i="1"/>
  <c r="J317" i="1"/>
  <c r="H317" i="1"/>
  <c r="I317" i="1" s="1"/>
  <c r="O316" i="1"/>
  <c r="K316" i="1"/>
  <c r="R316" i="1" s="1"/>
  <c r="J316" i="1"/>
  <c r="H316" i="1"/>
  <c r="I316" i="1" s="1"/>
  <c r="R315" i="1"/>
  <c r="Q315" i="1"/>
  <c r="P315" i="1"/>
  <c r="O315" i="1"/>
  <c r="K315" i="1"/>
  <c r="J315" i="1"/>
  <c r="H315" i="1"/>
  <c r="I315" i="1" s="1"/>
  <c r="P314" i="1"/>
  <c r="O314" i="1"/>
  <c r="K314" i="1"/>
  <c r="J314" i="1"/>
  <c r="H314" i="1"/>
  <c r="I314" i="1" s="1"/>
  <c r="R313" i="1"/>
  <c r="Q313" i="1"/>
  <c r="P313" i="1"/>
  <c r="O313" i="1"/>
  <c r="K313" i="1"/>
  <c r="J313" i="1"/>
  <c r="I313" i="1"/>
  <c r="H313" i="1"/>
  <c r="O312" i="1"/>
  <c r="K312" i="1"/>
  <c r="J312" i="1"/>
  <c r="I312" i="1"/>
  <c r="H312" i="1"/>
  <c r="R311" i="1"/>
  <c r="Q311" i="1"/>
  <c r="P311" i="1"/>
  <c r="O311" i="1"/>
  <c r="K311" i="1"/>
  <c r="J311" i="1"/>
  <c r="I311" i="1"/>
  <c r="H311" i="1"/>
  <c r="O310" i="1"/>
  <c r="K310" i="1"/>
  <c r="J310" i="1"/>
  <c r="I310" i="1"/>
  <c r="H310" i="1"/>
  <c r="R309" i="1"/>
  <c r="Q309" i="1"/>
  <c r="P309" i="1"/>
  <c r="O309" i="1"/>
  <c r="K309" i="1"/>
  <c r="J309" i="1"/>
  <c r="H309" i="1"/>
  <c r="I309" i="1" s="1"/>
  <c r="O308" i="1"/>
  <c r="K308" i="1"/>
  <c r="R308" i="1" s="1"/>
  <c r="J308" i="1"/>
  <c r="H308" i="1"/>
  <c r="I308" i="1" s="1"/>
  <c r="R307" i="1"/>
  <c r="Q307" i="1"/>
  <c r="P307" i="1"/>
  <c r="O307" i="1"/>
  <c r="K307" i="1"/>
  <c r="J307" i="1"/>
  <c r="I307" i="1"/>
  <c r="H307" i="1"/>
  <c r="O306" i="1"/>
  <c r="K306" i="1"/>
  <c r="R306" i="1" s="1"/>
  <c r="J306" i="1"/>
  <c r="H306" i="1"/>
  <c r="I306" i="1" s="1"/>
  <c r="R305" i="1"/>
  <c r="Q305" i="1"/>
  <c r="P305" i="1"/>
  <c r="O305" i="1"/>
  <c r="K305" i="1"/>
  <c r="J305" i="1"/>
  <c r="I305" i="1"/>
  <c r="H305" i="1"/>
  <c r="Q304" i="1"/>
  <c r="P304" i="1"/>
  <c r="O304" i="1"/>
  <c r="K304" i="1"/>
  <c r="R304" i="1" s="1"/>
  <c r="J304" i="1"/>
  <c r="H304" i="1"/>
  <c r="I304" i="1" s="1"/>
  <c r="R303" i="1"/>
  <c r="Q303" i="1"/>
  <c r="P303" i="1"/>
  <c r="O303" i="1"/>
  <c r="K303" i="1"/>
  <c r="J303" i="1"/>
  <c r="H303" i="1"/>
  <c r="I303" i="1" s="1"/>
  <c r="Q302" i="1"/>
  <c r="O302" i="1"/>
  <c r="K302" i="1"/>
  <c r="R302" i="1" s="1"/>
  <c r="J302" i="1"/>
  <c r="H302" i="1"/>
  <c r="I302" i="1" s="1"/>
  <c r="R301" i="1"/>
  <c r="Q301" i="1"/>
  <c r="P301" i="1"/>
  <c r="O301" i="1"/>
  <c r="K301" i="1"/>
  <c r="J301" i="1"/>
  <c r="H301" i="1"/>
  <c r="I301" i="1" s="1"/>
  <c r="Q300" i="1"/>
  <c r="P300" i="1"/>
  <c r="O300" i="1"/>
  <c r="K300" i="1"/>
  <c r="R300" i="1" s="1"/>
  <c r="J300" i="1"/>
  <c r="H300" i="1"/>
  <c r="I300" i="1" s="1"/>
  <c r="R299" i="1"/>
  <c r="Q299" i="1"/>
  <c r="P299" i="1"/>
  <c r="O299" i="1"/>
  <c r="K299" i="1"/>
  <c r="J299" i="1"/>
  <c r="I299" i="1"/>
  <c r="H299" i="1"/>
  <c r="Q298" i="1"/>
  <c r="P298" i="1"/>
  <c r="O298" i="1"/>
  <c r="K298" i="1"/>
  <c r="R298" i="1" s="1"/>
  <c r="J298" i="1"/>
  <c r="I298" i="1"/>
  <c r="H298" i="1"/>
  <c r="R297" i="1"/>
  <c r="Q297" i="1"/>
  <c r="P297" i="1"/>
  <c r="O297" i="1"/>
  <c r="K297" i="1"/>
  <c r="J297" i="1"/>
  <c r="H297" i="1"/>
  <c r="I297" i="1" s="1"/>
  <c r="Q296" i="1"/>
  <c r="O296" i="1"/>
  <c r="K296" i="1"/>
  <c r="R296" i="1" s="1"/>
  <c r="J296" i="1"/>
  <c r="I296" i="1"/>
  <c r="H296" i="1"/>
  <c r="R295" i="1"/>
  <c r="Q295" i="1"/>
  <c r="P295" i="1"/>
  <c r="O295" i="1"/>
  <c r="K295" i="1"/>
  <c r="J295" i="1"/>
  <c r="H295" i="1"/>
  <c r="I295" i="1" s="1"/>
  <c r="Q294" i="1"/>
  <c r="P294" i="1"/>
  <c r="O294" i="1"/>
  <c r="K294" i="1"/>
  <c r="R294" i="1" s="1"/>
  <c r="J294" i="1"/>
  <c r="H294" i="1"/>
  <c r="I294" i="1" s="1"/>
  <c r="R293" i="1"/>
  <c r="Q293" i="1"/>
  <c r="P293" i="1"/>
  <c r="O293" i="1"/>
  <c r="K293" i="1"/>
  <c r="J293" i="1"/>
  <c r="H293" i="1"/>
  <c r="I293" i="1" s="1"/>
  <c r="O292" i="1"/>
  <c r="K292" i="1"/>
  <c r="J292" i="1"/>
  <c r="I292" i="1"/>
  <c r="H292" i="1"/>
  <c r="R291" i="1"/>
  <c r="Q291" i="1"/>
  <c r="P291" i="1"/>
  <c r="O291" i="1"/>
  <c r="K291" i="1"/>
  <c r="J291" i="1"/>
  <c r="H291" i="1"/>
  <c r="I291" i="1" s="1"/>
  <c r="O290" i="1"/>
  <c r="K290" i="1"/>
  <c r="J290" i="1"/>
  <c r="H290" i="1"/>
  <c r="I290" i="1" s="1"/>
  <c r="R289" i="1"/>
  <c r="Q289" i="1"/>
  <c r="P289" i="1"/>
  <c r="O289" i="1"/>
  <c r="K289" i="1"/>
  <c r="J289" i="1"/>
  <c r="H289" i="1"/>
  <c r="I289" i="1" s="1"/>
  <c r="O288" i="1"/>
  <c r="K288" i="1"/>
  <c r="R288" i="1" s="1"/>
  <c r="J288" i="1"/>
  <c r="H288" i="1"/>
  <c r="I288" i="1" s="1"/>
  <c r="R287" i="1"/>
  <c r="Q287" i="1"/>
  <c r="P287" i="1"/>
  <c r="O287" i="1"/>
  <c r="K287" i="1"/>
  <c r="J287" i="1"/>
  <c r="H287" i="1"/>
  <c r="I287" i="1" s="1"/>
  <c r="O286" i="1"/>
  <c r="K286" i="1"/>
  <c r="R286" i="1" s="1"/>
  <c r="J286" i="1"/>
  <c r="H286" i="1"/>
  <c r="I286" i="1" s="1"/>
  <c r="R285" i="1"/>
  <c r="Q285" i="1"/>
  <c r="P285" i="1"/>
  <c r="O285" i="1"/>
  <c r="K285" i="1"/>
  <c r="J285" i="1"/>
  <c r="H285" i="1"/>
  <c r="I285" i="1" s="1"/>
  <c r="P284" i="1"/>
  <c r="O284" i="1"/>
  <c r="K284" i="1"/>
  <c r="R284" i="1" s="1"/>
  <c r="J284" i="1"/>
  <c r="H284" i="1"/>
  <c r="I284" i="1" s="1"/>
  <c r="R283" i="1"/>
  <c r="Q283" i="1"/>
  <c r="P283" i="1"/>
  <c r="O283" i="1"/>
  <c r="K283" i="1"/>
  <c r="J283" i="1"/>
  <c r="H283" i="1"/>
  <c r="I283" i="1" s="1"/>
  <c r="P282" i="1"/>
  <c r="O282" i="1"/>
  <c r="K282" i="1"/>
  <c r="J282" i="1"/>
  <c r="H282" i="1"/>
  <c r="I282" i="1" s="1"/>
  <c r="R281" i="1"/>
  <c r="Q281" i="1"/>
  <c r="P281" i="1"/>
  <c r="O281" i="1"/>
  <c r="K281" i="1"/>
  <c r="J281" i="1"/>
  <c r="I281" i="1"/>
  <c r="H281" i="1"/>
  <c r="O280" i="1"/>
  <c r="K280" i="1"/>
  <c r="J280" i="1"/>
  <c r="I280" i="1"/>
  <c r="H280" i="1"/>
  <c r="R279" i="1"/>
  <c r="Q279" i="1"/>
  <c r="P279" i="1"/>
  <c r="O279" i="1"/>
  <c r="K279" i="1"/>
  <c r="J279" i="1"/>
  <c r="I279" i="1"/>
  <c r="H279" i="1"/>
  <c r="O278" i="1"/>
  <c r="K278" i="1"/>
  <c r="J278" i="1"/>
  <c r="H278" i="1"/>
  <c r="I278" i="1" s="1"/>
  <c r="R277" i="1"/>
  <c r="Q277" i="1"/>
  <c r="P277" i="1"/>
  <c r="O277" i="1"/>
  <c r="K277" i="1"/>
  <c r="J277" i="1"/>
  <c r="H277" i="1"/>
  <c r="I277" i="1" s="1"/>
  <c r="O276" i="1"/>
  <c r="K276" i="1"/>
  <c r="R276" i="1" s="1"/>
  <c r="J276" i="1"/>
  <c r="H276" i="1"/>
  <c r="I276" i="1" s="1"/>
  <c r="R275" i="1"/>
  <c r="Q275" i="1"/>
  <c r="P275" i="1"/>
  <c r="O275" i="1"/>
  <c r="K275" i="1"/>
  <c r="J275" i="1"/>
  <c r="I275" i="1"/>
  <c r="H275" i="1"/>
  <c r="O274" i="1"/>
  <c r="K274" i="1"/>
  <c r="R274" i="1" s="1"/>
  <c r="J274" i="1"/>
  <c r="H274" i="1"/>
  <c r="I274" i="1" s="1"/>
  <c r="R273" i="1"/>
  <c r="Q273" i="1"/>
  <c r="P273" i="1"/>
  <c r="O273" i="1"/>
  <c r="K273" i="1"/>
  <c r="J273" i="1"/>
  <c r="H273" i="1"/>
  <c r="I273" i="1" s="1"/>
  <c r="Q272" i="1"/>
  <c r="P272" i="1"/>
  <c r="O272" i="1"/>
  <c r="K272" i="1"/>
  <c r="R272" i="1" s="1"/>
  <c r="J272" i="1"/>
  <c r="H272" i="1"/>
  <c r="I272" i="1" s="1"/>
  <c r="R271" i="1"/>
  <c r="Q271" i="1"/>
  <c r="P271" i="1"/>
  <c r="O271" i="1"/>
  <c r="K271" i="1"/>
  <c r="J271" i="1"/>
  <c r="I271" i="1"/>
  <c r="H271" i="1"/>
  <c r="Q270" i="1"/>
  <c r="O270" i="1"/>
  <c r="K270" i="1"/>
  <c r="R270" i="1" s="1"/>
  <c r="J270" i="1"/>
  <c r="H270" i="1"/>
  <c r="I270" i="1" s="1"/>
  <c r="R269" i="1"/>
  <c r="Q269" i="1"/>
  <c r="P269" i="1"/>
  <c r="O269" i="1"/>
  <c r="K269" i="1"/>
  <c r="J269" i="1"/>
  <c r="H269" i="1"/>
  <c r="I269" i="1" s="1"/>
  <c r="Q268" i="1"/>
  <c r="P268" i="1"/>
  <c r="O268" i="1"/>
  <c r="K268" i="1"/>
  <c r="R268" i="1" s="1"/>
  <c r="J268" i="1"/>
  <c r="H268" i="1"/>
  <c r="I268" i="1" s="1"/>
  <c r="R267" i="1"/>
  <c r="Q267" i="1"/>
  <c r="P267" i="1"/>
  <c r="O267" i="1"/>
  <c r="K267" i="1"/>
  <c r="J267" i="1"/>
  <c r="H267" i="1"/>
  <c r="I267" i="1" s="1"/>
  <c r="Q266" i="1"/>
  <c r="P266" i="1"/>
  <c r="O266" i="1"/>
  <c r="K266" i="1"/>
  <c r="R266" i="1" s="1"/>
  <c r="J266" i="1"/>
  <c r="I266" i="1"/>
  <c r="H266" i="1"/>
  <c r="R265" i="1"/>
  <c r="Q265" i="1"/>
  <c r="P265" i="1"/>
  <c r="O265" i="1"/>
  <c r="K265" i="1"/>
  <c r="J265" i="1"/>
  <c r="H265" i="1"/>
  <c r="I265" i="1" s="1"/>
  <c r="O264" i="1"/>
  <c r="K264" i="1"/>
  <c r="J264" i="1"/>
  <c r="I264" i="1"/>
  <c r="H264" i="1"/>
  <c r="R263" i="1"/>
  <c r="Q263" i="1"/>
  <c r="P263" i="1"/>
  <c r="O263" i="1"/>
  <c r="K263" i="1"/>
  <c r="J263" i="1"/>
  <c r="H263" i="1"/>
  <c r="I263" i="1" s="1"/>
  <c r="O262" i="1"/>
  <c r="K262" i="1"/>
  <c r="J262" i="1"/>
  <c r="H262" i="1"/>
  <c r="I262" i="1" s="1"/>
  <c r="R261" i="1"/>
  <c r="Q261" i="1"/>
  <c r="P261" i="1"/>
  <c r="O261" i="1"/>
  <c r="K261" i="1"/>
  <c r="J261" i="1"/>
  <c r="H261" i="1"/>
  <c r="I261" i="1" s="1"/>
  <c r="O260" i="1"/>
  <c r="K260" i="1"/>
  <c r="R260" i="1" s="1"/>
  <c r="J260" i="1"/>
  <c r="I260" i="1"/>
  <c r="H260" i="1"/>
  <c r="R259" i="1"/>
  <c r="Q259" i="1"/>
  <c r="P259" i="1"/>
  <c r="O259" i="1"/>
  <c r="K259" i="1"/>
  <c r="J259" i="1"/>
  <c r="I259" i="1"/>
  <c r="H259" i="1"/>
  <c r="O258" i="1"/>
  <c r="K258" i="1"/>
  <c r="R258" i="1" s="1"/>
  <c r="J258" i="1"/>
  <c r="H258" i="1"/>
  <c r="I258" i="1" s="1"/>
  <c r="R257" i="1"/>
  <c r="Q257" i="1"/>
  <c r="P257" i="1"/>
  <c r="O257" i="1"/>
  <c r="K257" i="1"/>
  <c r="J257" i="1"/>
  <c r="H257" i="1"/>
  <c r="I257" i="1" s="1"/>
  <c r="O256" i="1"/>
  <c r="K256" i="1"/>
  <c r="R256" i="1" s="1"/>
  <c r="J256" i="1"/>
  <c r="H256" i="1"/>
  <c r="I256" i="1" s="1"/>
  <c r="R255" i="1"/>
  <c r="Q255" i="1"/>
  <c r="P255" i="1"/>
  <c r="O255" i="1"/>
  <c r="K255" i="1"/>
  <c r="J255" i="1"/>
  <c r="H255" i="1"/>
  <c r="I255" i="1" s="1"/>
  <c r="P254" i="1"/>
  <c r="O254" i="1"/>
  <c r="K254" i="1"/>
  <c r="R254" i="1" s="1"/>
  <c r="J254" i="1"/>
  <c r="H254" i="1"/>
  <c r="I254" i="1" s="1"/>
  <c r="R253" i="1"/>
  <c r="Q253" i="1"/>
  <c r="P253" i="1"/>
  <c r="O253" i="1"/>
  <c r="K253" i="1"/>
  <c r="J253" i="1"/>
  <c r="H253" i="1"/>
  <c r="I253" i="1" s="1"/>
  <c r="Q252" i="1"/>
  <c r="P252" i="1"/>
  <c r="O252" i="1"/>
  <c r="K252" i="1"/>
  <c r="R252" i="1" s="1"/>
  <c r="J252" i="1"/>
  <c r="H252" i="1"/>
  <c r="I252" i="1" s="1"/>
  <c r="R251" i="1"/>
  <c r="Q251" i="1"/>
  <c r="P251" i="1"/>
  <c r="O251" i="1"/>
  <c r="K251" i="1"/>
  <c r="J251" i="1"/>
  <c r="H251" i="1"/>
  <c r="I251" i="1" s="1"/>
  <c r="P250" i="1"/>
  <c r="O250" i="1"/>
  <c r="K250" i="1"/>
  <c r="J250" i="1"/>
  <c r="H250" i="1"/>
  <c r="I250" i="1" s="1"/>
  <c r="R249" i="1"/>
  <c r="Q249" i="1"/>
  <c r="P249" i="1"/>
  <c r="O249" i="1"/>
  <c r="K249" i="1"/>
  <c r="J249" i="1"/>
  <c r="I249" i="1"/>
  <c r="H249" i="1"/>
  <c r="O248" i="1"/>
  <c r="K248" i="1"/>
  <c r="J248" i="1"/>
  <c r="I248" i="1"/>
  <c r="H248" i="1"/>
  <c r="R247" i="1"/>
  <c r="Q247" i="1"/>
  <c r="P247" i="1"/>
  <c r="O247" i="1"/>
  <c r="K247" i="1"/>
  <c r="J247" i="1"/>
  <c r="I247" i="1"/>
  <c r="H247" i="1"/>
  <c r="O246" i="1"/>
  <c r="K246" i="1"/>
  <c r="J246" i="1"/>
  <c r="H246" i="1"/>
  <c r="I246" i="1" s="1"/>
  <c r="R245" i="1"/>
  <c r="Q245" i="1"/>
  <c r="P245" i="1"/>
  <c r="O245" i="1"/>
  <c r="K245" i="1"/>
  <c r="J245" i="1"/>
  <c r="H245" i="1"/>
  <c r="I245" i="1" s="1"/>
  <c r="O244" i="1"/>
  <c r="K244" i="1"/>
  <c r="R244" i="1" s="1"/>
  <c r="J244" i="1"/>
  <c r="H244" i="1"/>
  <c r="I244" i="1" s="1"/>
  <c r="O243" i="1"/>
  <c r="K243" i="1"/>
  <c r="R243" i="1" s="1"/>
  <c r="J243" i="1"/>
  <c r="I243" i="1"/>
  <c r="H243" i="1"/>
  <c r="O242" i="1"/>
  <c r="K242" i="1"/>
  <c r="R242" i="1" s="1"/>
  <c r="J242" i="1"/>
  <c r="H242" i="1"/>
  <c r="I242" i="1" s="1"/>
  <c r="O241" i="1"/>
  <c r="K241" i="1"/>
  <c r="J241" i="1"/>
  <c r="H241" i="1"/>
  <c r="I241" i="1" s="1"/>
  <c r="Q240" i="1"/>
  <c r="P240" i="1"/>
  <c r="O240" i="1"/>
  <c r="K240" i="1"/>
  <c r="R240" i="1" s="1"/>
  <c r="J240" i="1"/>
  <c r="H240" i="1"/>
  <c r="I240" i="1" s="1"/>
  <c r="O239" i="1"/>
  <c r="K239" i="1"/>
  <c r="R239" i="1" s="1"/>
  <c r="J239" i="1"/>
  <c r="I239" i="1"/>
  <c r="H239" i="1"/>
  <c r="Q238" i="1"/>
  <c r="O238" i="1"/>
  <c r="K238" i="1"/>
  <c r="R238" i="1" s="1"/>
  <c r="J238" i="1"/>
  <c r="H238" i="1"/>
  <c r="I238" i="1" s="1"/>
  <c r="O237" i="1"/>
  <c r="K237" i="1"/>
  <c r="R237" i="1" s="1"/>
  <c r="J237" i="1"/>
  <c r="H237" i="1"/>
  <c r="I237" i="1" s="1"/>
  <c r="Q236" i="1"/>
  <c r="P236" i="1"/>
  <c r="O236" i="1"/>
  <c r="K236" i="1"/>
  <c r="R236" i="1" s="1"/>
  <c r="J236" i="1"/>
  <c r="H236" i="1"/>
  <c r="I236" i="1" s="1"/>
  <c r="Q235" i="1"/>
  <c r="P235" i="1"/>
  <c r="O235" i="1"/>
  <c r="K235" i="1"/>
  <c r="R235" i="1" s="1"/>
  <c r="J235" i="1"/>
  <c r="H235" i="1"/>
  <c r="I235" i="1" s="1"/>
  <c r="Q234" i="1"/>
  <c r="P234" i="1"/>
  <c r="O234" i="1"/>
  <c r="K234" i="1"/>
  <c r="R234" i="1" s="1"/>
  <c r="J234" i="1"/>
  <c r="I234" i="1"/>
  <c r="H234" i="1"/>
  <c r="O233" i="1"/>
  <c r="K233" i="1"/>
  <c r="P233" i="1" s="1"/>
  <c r="J233" i="1"/>
  <c r="H233" i="1"/>
  <c r="I233" i="1" s="1"/>
  <c r="O232" i="1"/>
  <c r="K232" i="1"/>
  <c r="R232" i="1" s="1"/>
  <c r="J232" i="1"/>
  <c r="I232" i="1"/>
  <c r="H232" i="1"/>
  <c r="O231" i="1"/>
  <c r="K231" i="1"/>
  <c r="J231" i="1"/>
  <c r="H231" i="1"/>
  <c r="I231" i="1" s="1"/>
  <c r="Q230" i="1"/>
  <c r="P230" i="1"/>
  <c r="O230" i="1"/>
  <c r="K230" i="1"/>
  <c r="R230" i="1" s="1"/>
  <c r="J230" i="1"/>
  <c r="H230" i="1"/>
  <c r="I230" i="1" s="1"/>
  <c r="O229" i="1"/>
  <c r="K229" i="1"/>
  <c r="J229" i="1"/>
  <c r="H229" i="1"/>
  <c r="I229" i="1" s="1"/>
  <c r="O228" i="1"/>
  <c r="K228" i="1"/>
  <c r="R228" i="1" s="1"/>
  <c r="J228" i="1"/>
  <c r="I228" i="1"/>
  <c r="H228" i="1"/>
  <c r="O227" i="1"/>
  <c r="K227" i="1"/>
  <c r="R227" i="1" s="1"/>
  <c r="J227" i="1"/>
  <c r="H227" i="1"/>
  <c r="I227" i="1" s="1"/>
  <c r="O226" i="1"/>
  <c r="K226" i="1"/>
  <c r="J226" i="1"/>
  <c r="H226" i="1"/>
  <c r="I226" i="1" s="1"/>
  <c r="O225" i="1"/>
  <c r="K225" i="1"/>
  <c r="R225" i="1" s="1"/>
  <c r="J225" i="1"/>
  <c r="I225" i="1"/>
  <c r="H225" i="1"/>
  <c r="O224" i="1"/>
  <c r="K224" i="1"/>
  <c r="R224" i="1" s="1"/>
  <c r="J224" i="1"/>
  <c r="H224" i="1"/>
  <c r="I224" i="1" s="1"/>
  <c r="R223" i="1"/>
  <c r="Q223" i="1"/>
  <c r="P223" i="1"/>
  <c r="O223" i="1"/>
  <c r="K223" i="1"/>
  <c r="J223" i="1"/>
  <c r="H223" i="1"/>
  <c r="I223" i="1" s="1"/>
  <c r="Q222" i="1"/>
  <c r="P222" i="1"/>
  <c r="O222" i="1"/>
  <c r="K222" i="1"/>
  <c r="R222" i="1" s="1"/>
  <c r="J222" i="1"/>
  <c r="H222" i="1"/>
  <c r="I222" i="1" s="1"/>
  <c r="R221" i="1"/>
  <c r="Q221" i="1"/>
  <c r="O221" i="1"/>
  <c r="K221" i="1"/>
  <c r="P221" i="1" s="1"/>
  <c r="J221" i="1"/>
  <c r="H221" i="1"/>
  <c r="I221" i="1" s="1"/>
  <c r="Q220" i="1"/>
  <c r="P220" i="1"/>
  <c r="O220" i="1"/>
  <c r="K220" i="1"/>
  <c r="R220" i="1" s="1"/>
  <c r="J220" i="1"/>
  <c r="I220" i="1"/>
  <c r="H220" i="1"/>
  <c r="R219" i="1"/>
  <c r="Q219" i="1"/>
  <c r="P219" i="1"/>
  <c r="O219" i="1"/>
  <c r="K219" i="1"/>
  <c r="J219" i="1"/>
  <c r="H219" i="1"/>
  <c r="I219" i="1" s="1"/>
  <c r="O218" i="1"/>
  <c r="K218" i="1"/>
  <c r="J218" i="1"/>
  <c r="I218" i="1"/>
  <c r="H218" i="1"/>
  <c r="R217" i="1"/>
  <c r="Q217" i="1"/>
  <c r="P217" i="1"/>
  <c r="O217" i="1"/>
  <c r="K217" i="1"/>
  <c r="J217" i="1"/>
  <c r="I217" i="1"/>
  <c r="H217" i="1"/>
  <c r="O216" i="1"/>
  <c r="K216" i="1"/>
  <c r="J216" i="1"/>
  <c r="H216" i="1"/>
  <c r="I216" i="1" s="1"/>
  <c r="R215" i="1"/>
  <c r="Q215" i="1"/>
  <c r="P215" i="1"/>
  <c r="O215" i="1"/>
  <c r="K215" i="1"/>
  <c r="J215" i="1"/>
  <c r="I215" i="1"/>
  <c r="H215" i="1"/>
  <c r="O214" i="1"/>
  <c r="K214" i="1"/>
  <c r="J214" i="1"/>
  <c r="H214" i="1"/>
  <c r="I214" i="1" s="1"/>
  <c r="O213" i="1"/>
  <c r="K213" i="1"/>
  <c r="R213" i="1" s="1"/>
  <c r="J213" i="1"/>
  <c r="H213" i="1"/>
  <c r="I213" i="1" s="1"/>
  <c r="O212" i="1"/>
  <c r="K212" i="1"/>
  <c r="R212" i="1" s="1"/>
  <c r="J212" i="1"/>
  <c r="H212" i="1"/>
  <c r="I212" i="1" s="1"/>
  <c r="P211" i="1"/>
  <c r="O211" i="1"/>
  <c r="K211" i="1"/>
  <c r="J211" i="1"/>
  <c r="I211" i="1"/>
  <c r="H211" i="1"/>
  <c r="O210" i="1"/>
  <c r="K210" i="1"/>
  <c r="R210" i="1" s="1"/>
  <c r="J210" i="1"/>
  <c r="I210" i="1"/>
  <c r="H210" i="1"/>
  <c r="O209" i="1"/>
  <c r="K209" i="1"/>
  <c r="R209" i="1" s="1"/>
  <c r="J209" i="1"/>
  <c r="H209" i="1"/>
  <c r="I209" i="1" s="1"/>
  <c r="Q208" i="1"/>
  <c r="P208" i="1"/>
  <c r="O208" i="1"/>
  <c r="K208" i="1"/>
  <c r="R208" i="1" s="1"/>
  <c r="J208" i="1"/>
  <c r="H208" i="1"/>
  <c r="I208" i="1" s="1"/>
  <c r="O207" i="1"/>
  <c r="K207" i="1"/>
  <c r="R207" i="1" s="1"/>
  <c r="J207" i="1"/>
  <c r="H207" i="1"/>
  <c r="I207" i="1" s="1"/>
  <c r="Q206" i="1"/>
  <c r="O206" i="1"/>
  <c r="K206" i="1"/>
  <c r="R206" i="1" s="1"/>
  <c r="J206" i="1"/>
  <c r="H206" i="1"/>
  <c r="I206" i="1" s="1"/>
  <c r="R205" i="1"/>
  <c r="Q205" i="1"/>
  <c r="P205" i="1"/>
  <c r="O205" i="1"/>
  <c r="K205" i="1"/>
  <c r="J205" i="1"/>
  <c r="H205" i="1"/>
  <c r="I205" i="1" s="1"/>
  <c r="Q204" i="1"/>
  <c r="P204" i="1"/>
  <c r="O204" i="1"/>
  <c r="K204" i="1"/>
  <c r="R204" i="1" s="1"/>
  <c r="J204" i="1"/>
  <c r="H204" i="1"/>
  <c r="I204" i="1" s="1"/>
  <c r="Q203" i="1"/>
  <c r="P203" i="1"/>
  <c r="O203" i="1"/>
  <c r="K203" i="1"/>
  <c r="R203" i="1" s="1"/>
  <c r="J203" i="1"/>
  <c r="I203" i="1"/>
  <c r="H203" i="1"/>
  <c r="R202" i="1"/>
  <c r="Q202" i="1"/>
  <c r="P202" i="1"/>
  <c r="O202" i="1"/>
  <c r="K202" i="1"/>
  <c r="J202" i="1"/>
  <c r="H202" i="1"/>
  <c r="I202" i="1" s="1"/>
  <c r="O201" i="1"/>
  <c r="K201" i="1"/>
  <c r="R201" i="1" s="1"/>
  <c r="J201" i="1"/>
  <c r="I201" i="1"/>
  <c r="H201" i="1"/>
  <c r="R200" i="1"/>
  <c r="Q200" i="1"/>
  <c r="P200" i="1"/>
  <c r="O200" i="1"/>
  <c r="K200" i="1"/>
  <c r="J200" i="1"/>
  <c r="H200" i="1"/>
  <c r="I200" i="1" s="1"/>
  <c r="O199" i="1"/>
  <c r="K199" i="1"/>
  <c r="R199" i="1" s="1"/>
  <c r="J199" i="1"/>
  <c r="H199" i="1"/>
  <c r="I199" i="1" s="1"/>
  <c r="R198" i="1"/>
  <c r="Q198" i="1"/>
  <c r="P198" i="1"/>
  <c r="O198" i="1"/>
  <c r="K198" i="1"/>
  <c r="J198" i="1"/>
  <c r="H198" i="1"/>
  <c r="I198" i="1" s="1"/>
  <c r="O197" i="1"/>
  <c r="K197" i="1"/>
  <c r="J197" i="1"/>
  <c r="H197" i="1"/>
  <c r="I197" i="1" s="1"/>
  <c r="R196" i="1"/>
  <c r="Q196" i="1"/>
  <c r="P196" i="1"/>
  <c r="O196" i="1"/>
  <c r="K196" i="1"/>
  <c r="J196" i="1"/>
  <c r="H196" i="1"/>
  <c r="I196" i="1" s="1"/>
  <c r="O195" i="1"/>
  <c r="K195" i="1"/>
  <c r="R195" i="1" s="1"/>
  <c r="J195" i="1"/>
  <c r="H195" i="1"/>
  <c r="I195" i="1" s="1"/>
  <c r="R194" i="1"/>
  <c r="Q194" i="1"/>
  <c r="P194" i="1"/>
  <c r="O194" i="1"/>
  <c r="K194" i="1"/>
  <c r="J194" i="1"/>
  <c r="H194" i="1"/>
  <c r="I194" i="1" s="1"/>
  <c r="O193" i="1"/>
  <c r="K193" i="1"/>
  <c r="R193" i="1" s="1"/>
  <c r="J193" i="1"/>
  <c r="H193" i="1"/>
  <c r="I193" i="1" s="1"/>
  <c r="R192" i="1"/>
  <c r="Q192" i="1"/>
  <c r="P192" i="1"/>
  <c r="O192" i="1"/>
  <c r="K192" i="1"/>
  <c r="J192" i="1"/>
  <c r="H192" i="1"/>
  <c r="I192" i="1" s="1"/>
  <c r="P191" i="1"/>
  <c r="O191" i="1"/>
  <c r="K191" i="1"/>
  <c r="R191" i="1" s="1"/>
  <c r="J191" i="1"/>
  <c r="H191" i="1"/>
  <c r="I191" i="1" s="1"/>
  <c r="R190" i="1"/>
  <c r="Q190" i="1"/>
  <c r="P190" i="1"/>
  <c r="O190" i="1"/>
  <c r="K190" i="1"/>
  <c r="J190" i="1"/>
  <c r="H190" i="1"/>
  <c r="I190" i="1" s="1"/>
  <c r="Q189" i="1"/>
  <c r="P189" i="1"/>
  <c r="O189" i="1"/>
  <c r="K189" i="1"/>
  <c r="R189" i="1" s="1"/>
  <c r="J189" i="1"/>
  <c r="H189" i="1"/>
  <c r="I189" i="1" s="1"/>
  <c r="R188" i="1"/>
  <c r="Q188" i="1"/>
  <c r="P188" i="1"/>
  <c r="O188" i="1"/>
  <c r="K188" i="1"/>
  <c r="J188" i="1"/>
  <c r="H188" i="1"/>
  <c r="I188" i="1" s="1"/>
  <c r="Q187" i="1"/>
  <c r="P187" i="1"/>
  <c r="O187" i="1"/>
  <c r="K187" i="1"/>
  <c r="R187" i="1" s="1"/>
  <c r="J187" i="1"/>
  <c r="I187" i="1"/>
  <c r="H187" i="1"/>
  <c r="R186" i="1"/>
  <c r="Q186" i="1"/>
  <c r="P186" i="1"/>
  <c r="O186" i="1"/>
  <c r="K186" i="1"/>
  <c r="J186" i="1"/>
  <c r="H186" i="1"/>
  <c r="I186" i="1" s="1"/>
  <c r="Q185" i="1"/>
  <c r="O185" i="1"/>
  <c r="K185" i="1"/>
  <c r="R185" i="1" s="1"/>
  <c r="J185" i="1"/>
  <c r="I185" i="1"/>
  <c r="H185" i="1"/>
  <c r="R184" i="1"/>
  <c r="Q184" i="1"/>
  <c r="P184" i="1"/>
  <c r="O184" i="1"/>
  <c r="K184" i="1"/>
  <c r="J184" i="1"/>
  <c r="H184" i="1"/>
  <c r="I184" i="1" s="1"/>
  <c r="Q183" i="1"/>
  <c r="P183" i="1"/>
  <c r="O183" i="1"/>
  <c r="K183" i="1"/>
  <c r="R183" i="1" s="1"/>
  <c r="J183" i="1"/>
  <c r="H183" i="1"/>
  <c r="I183" i="1" s="1"/>
  <c r="R182" i="1"/>
  <c r="Q182" i="1"/>
  <c r="P182" i="1"/>
  <c r="O182" i="1"/>
  <c r="K182" i="1"/>
  <c r="J182" i="1"/>
  <c r="H182" i="1"/>
  <c r="I182" i="1" s="1"/>
  <c r="O181" i="1"/>
  <c r="K181" i="1"/>
  <c r="J181" i="1"/>
  <c r="H181" i="1"/>
  <c r="I181" i="1" s="1"/>
  <c r="R180" i="1"/>
  <c r="Q180" i="1"/>
  <c r="P180" i="1"/>
  <c r="O180" i="1"/>
  <c r="K180" i="1"/>
  <c r="J180" i="1"/>
  <c r="H180" i="1"/>
  <c r="I180" i="1" s="1"/>
  <c r="O179" i="1"/>
  <c r="K179" i="1"/>
  <c r="R179" i="1" s="1"/>
  <c r="J179" i="1"/>
  <c r="H179" i="1"/>
  <c r="I179" i="1" s="1"/>
  <c r="R178" i="1"/>
  <c r="Q178" i="1"/>
  <c r="P178" i="1"/>
  <c r="O178" i="1"/>
  <c r="K178" i="1"/>
  <c r="J178" i="1"/>
  <c r="H178" i="1"/>
  <c r="I178" i="1" s="1"/>
  <c r="O177" i="1"/>
  <c r="K177" i="1"/>
  <c r="R177" i="1" s="1"/>
  <c r="J177" i="1"/>
  <c r="H177" i="1"/>
  <c r="I177" i="1" s="1"/>
  <c r="R176" i="1"/>
  <c r="Q176" i="1"/>
  <c r="P176" i="1"/>
  <c r="O176" i="1"/>
  <c r="K176" i="1"/>
  <c r="J176" i="1"/>
  <c r="H176" i="1"/>
  <c r="I176" i="1" s="1"/>
  <c r="P175" i="1"/>
  <c r="O175" i="1"/>
  <c r="K175" i="1"/>
  <c r="R175" i="1" s="1"/>
  <c r="J175" i="1"/>
  <c r="H175" i="1"/>
  <c r="I175" i="1" s="1"/>
  <c r="R174" i="1"/>
  <c r="Q174" i="1"/>
  <c r="P174" i="1"/>
  <c r="O174" i="1"/>
  <c r="K174" i="1"/>
  <c r="J174" i="1"/>
  <c r="H174" i="1"/>
  <c r="I174" i="1" s="1"/>
  <c r="Q173" i="1"/>
  <c r="P173" i="1"/>
  <c r="O173" i="1"/>
  <c r="K173" i="1"/>
  <c r="R173" i="1" s="1"/>
  <c r="J173" i="1"/>
  <c r="H173" i="1"/>
  <c r="I173" i="1" s="1"/>
  <c r="R172" i="1"/>
  <c r="Q172" i="1"/>
  <c r="P172" i="1"/>
  <c r="O172" i="1"/>
  <c r="K172" i="1"/>
  <c r="J172" i="1"/>
  <c r="H172" i="1"/>
  <c r="I172" i="1" s="1"/>
  <c r="Q171" i="1"/>
  <c r="P171" i="1"/>
  <c r="O171" i="1"/>
  <c r="K171" i="1"/>
  <c r="R171" i="1" s="1"/>
  <c r="J171" i="1"/>
  <c r="I171" i="1"/>
  <c r="H171" i="1"/>
  <c r="R170" i="1"/>
  <c r="Q170" i="1"/>
  <c r="P170" i="1"/>
  <c r="O170" i="1"/>
  <c r="K170" i="1"/>
  <c r="J170" i="1"/>
  <c r="H170" i="1"/>
  <c r="I170" i="1" s="1"/>
  <c r="O169" i="1"/>
  <c r="K169" i="1"/>
  <c r="R169" i="1" s="1"/>
  <c r="J169" i="1"/>
  <c r="I169" i="1"/>
  <c r="H169" i="1"/>
  <c r="R168" i="1"/>
  <c r="Q168" i="1"/>
  <c r="P168" i="1"/>
  <c r="O168" i="1"/>
  <c r="K168" i="1"/>
  <c r="J168" i="1"/>
  <c r="H168" i="1"/>
  <c r="I168" i="1" s="1"/>
  <c r="Q167" i="1"/>
  <c r="O167" i="1"/>
  <c r="K167" i="1"/>
  <c r="R167" i="1" s="1"/>
  <c r="J167" i="1"/>
  <c r="H167" i="1"/>
  <c r="I167" i="1" s="1"/>
  <c r="R166" i="1"/>
  <c r="Q166" i="1"/>
  <c r="P166" i="1"/>
  <c r="O166" i="1"/>
  <c r="K166" i="1"/>
  <c r="J166" i="1"/>
  <c r="H166" i="1"/>
  <c r="I166" i="1" s="1"/>
  <c r="O165" i="1"/>
  <c r="K165" i="1"/>
  <c r="J165" i="1"/>
  <c r="H165" i="1"/>
  <c r="I165" i="1" s="1"/>
  <c r="R164" i="1"/>
  <c r="Q164" i="1"/>
  <c r="P164" i="1"/>
  <c r="O164" i="1"/>
  <c r="K164" i="1"/>
  <c r="J164" i="1"/>
  <c r="H164" i="1"/>
  <c r="I164" i="1" s="1"/>
  <c r="O163" i="1"/>
  <c r="K163" i="1"/>
  <c r="R163" i="1" s="1"/>
  <c r="J163" i="1"/>
  <c r="I163" i="1"/>
  <c r="H163" i="1"/>
  <c r="R162" i="1"/>
  <c r="Q162" i="1"/>
  <c r="P162" i="1"/>
  <c r="O162" i="1"/>
  <c r="K162" i="1"/>
  <c r="J162" i="1"/>
  <c r="H162" i="1"/>
  <c r="I162" i="1" s="1"/>
  <c r="O161" i="1"/>
  <c r="K161" i="1"/>
  <c r="R161" i="1" s="1"/>
  <c r="J161" i="1"/>
  <c r="H161" i="1"/>
  <c r="I161" i="1" s="1"/>
  <c r="R160" i="1"/>
  <c r="Q160" i="1"/>
  <c r="P160" i="1"/>
  <c r="O160" i="1"/>
  <c r="K160" i="1"/>
  <c r="J160" i="1"/>
  <c r="H160" i="1"/>
  <c r="I160" i="1" s="1"/>
  <c r="P159" i="1"/>
  <c r="O159" i="1"/>
  <c r="K159" i="1"/>
  <c r="R159" i="1" s="1"/>
  <c r="J159" i="1"/>
  <c r="H159" i="1"/>
  <c r="I159" i="1" s="1"/>
  <c r="R158" i="1"/>
  <c r="Q158" i="1"/>
  <c r="P158" i="1"/>
  <c r="O158" i="1"/>
  <c r="K158" i="1"/>
  <c r="J158" i="1"/>
  <c r="H158" i="1"/>
  <c r="I158" i="1" s="1"/>
  <c r="Q157" i="1"/>
  <c r="P157" i="1"/>
  <c r="O157" i="1"/>
  <c r="K157" i="1"/>
  <c r="R157" i="1" s="1"/>
  <c r="J157" i="1"/>
  <c r="H157" i="1"/>
  <c r="I157" i="1" s="1"/>
  <c r="R156" i="1"/>
  <c r="Q156" i="1"/>
  <c r="P156" i="1"/>
  <c r="O156" i="1"/>
  <c r="K156" i="1"/>
  <c r="J156" i="1"/>
  <c r="H156" i="1"/>
  <c r="I156" i="1" s="1"/>
  <c r="Q155" i="1"/>
  <c r="P155" i="1"/>
  <c r="O155" i="1"/>
  <c r="K155" i="1"/>
  <c r="R155" i="1" s="1"/>
  <c r="J155" i="1"/>
  <c r="I155" i="1"/>
  <c r="H155" i="1"/>
  <c r="R154" i="1"/>
  <c r="Q154" i="1"/>
  <c r="P154" i="1"/>
  <c r="O154" i="1"/>
  <c r="K154" i="1"/>
  <c r="J154" i="1"/>
  <c r="H154" i="1"/>
  <c r="I154" i="1" s="1"/>
  <c r="O153" i="1"/>
  <c r="K153" i="1"/>
  <c r="R153" i="1" s="1"/>
  <c r="J153" i="1"/>
  <c r="I153" i="1"/>
  <c r="H153" i="1"/>
  <c r="R152" i="1"/>
  <c r="Q152" i="1"/>
  <c r="P152" i="1"/>
  <c r="O152" i="1"/>
  <c r="K152" i="1"/>
  <c r="J152" i="1"/>
  <c r="H152" i="1"/>
  <c r="I152" i="1" s="1"/>
  <c r="O151" i="1"/>
  <c r="K151" i="1"/>
  <c r="R151" i="1" s="1"/>
  <c r="J151" i="1"/>
  <c r="H151" i="1"/>
  <c r="I151" i="1" s="1"/>
  <c r="R150" i="1"/>
  <c r="Q150" i="1"/>
  <c r="P150" i="1"/>
  <c r="O150" i="1"/>
  <c r="K150" i="1"/>
  <c r="J150" i="1"/>
  <c r="H150" i="1"/>
  <c r="I150" i="1" s="1"/>
  <c r="O149" i="1"/>
  <c r="K149" i="1"/>
  <c r="J149" i="1"/>
  <c r="H149" i="1"/>
  <c r="I149" i="1" s="1"/>
  <c r="R148" i="1"/>
  <c r="Q148" i="1"/>
  <c r="P148" i="1"/>
  <c r="O148" i="1"/>
  <c r="K148" i="1"/>
  <c r="J148" i="1"/>
  <c r="H148" i="1"/>
  <c r="I148" i="1" s="1"/>
  <c r="O147" i="1"/>
  <c r="K147" i="1"/>
  <c r="R147" i="1" s="1"/>
  <c r="J147" i="1"/>
  <c r="H147" i="1"/>
  <c r="I147" i="1" s="1"/>
  <c r="R146" i="1"/>
  <c r="Q146" i="1"/>
  <c r="P146" i="1"/>
  <c r="O146" i="1"/>
  <c r="K146" i="1"/>
  <c r="J146" i="1"/>
  <c r="H146" i="1"/>
  <c r="I146" i="1" s="1"/>
  <c r="O145" i="1"/>
  <c r="K145" i="1"/>
  <c r="R145" i="1" s="1"/>
  <c r="J145" i="1"/>
  <c r="H145" i="1"/>
  <c r="I145" i="1" s="1"/>
  <c r="R144" i="1"/>
  <c r="Q144" i="1"/>
  <c r="P144" i="1"/>
  <c r="O144" i="1"/>
  <c r="K144" i="1"/>
  <c r="J144" i="1"/>
  <c r="H144" i="1"/>
  <c r="I144" i="1" s="1"/>
  <c r="P143" i="1"/>
  <c r="O143" i="1"/>
  <c r="K143" i="1"/>
  <c r="R143" i="1" s="1"/>
  <c r="J143" i="1"/>
  <c r="H143" i="1"/>
  <c r="I143" i="1" s="1"/>
  <c r="R142" i="1"/>
  <c r="Q142" i="1"/>
  <c r="P142" i="1"/>
  <c r="O142" i="1"/>
  <c r="K142" i="1"/>
  <c r="J142" i="1"/>
  <c r="H142" i="1"/>
  <c r="I142" i="1" s="1"/>
  <c r="R141" i="1"/>
  <c r="Q141" i="1"/>
  <c r="P141" i="1"/>
  <c r="O141" i="1"/>
  <c r="K141" i="1"/>
  <c r="J141" i="1"/>
  <c r="H141" i="1"/>
  <c r="I141" i="1" s="1"/>
  <c r="R140" i="1"/>
  <c r="Q140" i="1"/>
  <c r="P140" i="1"/>
  <c r="O140" i="1"/>
  <c r="K140" i="1"/>
  <c r="J140" i="1"/>
  <c r="H140" i="1"/>
  <c r="I140" i="1" s="1"/>
  <c r="R139" i="1"/>
  <c r="Q139" i="1"/>
  <c r="P139" i="1"/>
  <c r="O139" i="1"/>
  <c r="K139" i="1"/>
  <c r="J139" i="1"/>
  <c r="H139" i="1"/>
  <c r="I139" i="1" s="1"/>
  <c r="R138" i="1"/>
  <c r="Q138" i="1"/>
  <c r="P138" i="1"/>
  <c r="O138" i="1"/>
  <c r="K138" i="1"/>
  <c r="J138" i="1"/>
  <c r="H138" i="1"/>
  <c r="I138" i="1" s="1"/>
  <c r="R137" i="1"/>
  <c r="Q137" i="1"/>
  <c r="P137" i="1"/>
  <c r="O137" i="1"/>
  <c r="K137" i="1"/>
  <c r="J137" i="1"/>
  <c r="H137" i="1"/>
  <c r="I137" i="1" s="1"/>
  <c r="R136" i="1"/>
  <c r="Q136" i="1"/>
  <c r="P136" i="1"/>
  <c r="O136" i="1"/>
  <c r="K136" i="1"/>
  <c r="J136" i="1"/>
  <c r="H136" i="1"/>
  <c r="I136" i="1" s="1"/>
  <c r="R135" i="1"/>
  <c r="Q135" i="1"/>
  <c r="P135" i="1"/>
  <c r="O135" i="1"/>
  <c r="K135" i="1"/>
  <c r="J135" i="1"/>
  <c r="I135" i="1"/>
  <c r="H135" i="1"/>
  <c r="R134" i="1"/>
  <c r="Q134" i="1"/>
  <c r="P134" i="1"/>
  <c r="O134" i="1"/>
  <c r="K134" i="1"/>
  <c r="J134" i="1"/>
  <c r="H134" i="1"/>
  <c r="I134" i="1" s="1"/>
  <c r="R133" i="1"/>
  <c r="O133" i="1"/>
  <c r="K133" i="1"/>
  <c r="Q133" i="1" s="1"/>
  <c r="J133" i="1"/>
  <c r="H133" i="1"/>
  <c r="I133" i="1" s="1"/>
  <c r="R132" i="1"/>
  <c r="Q132" i="1"/>
  <c r="P132" i="1"/>
  <c r="O132" i="1"/>
  <c r="K132" i="1"/>
  <c r="J132" i="1"/>
  <c r="H132" i="1"/>
  <c r="I132" i="1" s="1"/>
  <c r="R131" i="1"/>
  <c r="Q131" i="1"/>
  <c r="P131" i="1"/>
  <c r="O131" i="1"/>
  <c r="K131" i="1"/>
  <c r="J131" i="1"/>
  <c r="I131" i="1"/>
  <c r="H131" i="1"/>
  <c r="R130" i="1"/>
  <c r="Q130" i="1"/>
  <c r="P130" i="1"/>
  <c r="O130" i="1"/>
  <c r="K130" i="1"/>
  <c r="J130" i="1"/>
  <c r="H130" i="1"/>
  <c r="I130" i="1" s="1"/>
  <c r="R129" i="1"/>
  <c r="Q129" i="1"/>
  <c r="P129" i="1"/>
  <c r="O129" i="1"/>
  <c r="K129" i="1"/>
  <c r="J129" i="1"/>
  <c r="I129" i="1"/>
  <c r="H129" i="1"/>
  <c r="R128" i="1"/>
  <c r="Q128" i="1"/>
  <c r="P128" i="1"/>
  <c r="O128" i="1"/>
  <c r="K128" i="1"/>
  <c r="J128" i="1"/>
  <c r="H128" i="1"/>
  <c r="I128" i="1" s="1"/>
  <c r="O127" i="1"/>
  <c r="K127" i="1"/>
  <c r="R127" i="1" s="1"/>
  <c r="J127" i="1"/>
  <c r="I127" i="1"/>
  <c r="H127" i="1"/>
  <c r="R126" i="1"/>
  <c r="Q126" i="1"/>
  <c r="P126" i="1"/>
  <c r="O126" i="1"/>
  <c r="K126" i="1"/>
  <c r="J126" i="1"/>
  <c r="H126" i="1"/>
  <c r="I126" i="1" s="1"/>
  <c r="O125" i="1"/>
  <c r="K125" i="1"/>
  <c r="J125" i="1"/>
  <c r="H125" i="1"/>
  <c r="I125" i="1" s="1"/>
  <c r="R124" i="1"/>
  <c r="Q124" i="1"/>
  <c r="P124" i="1"/>
  <c r="O124" i="1"/>
  <c r="K124" i="1"/>
  <c r="J124" i="1"/>
  <c r="H124" i="1"/>
  <c r="I124" i="1" s="1"/>
  <c r="O123" i="1"/>
  <c r="K123" i="1"/>
  <c r="J123" i="1"/>
  <c r="H123" i="1"/>
  <c r="I123" i="1" s="1"/>
  <c r="R122" i="1"/>
  <c r="Q122" i="1"/>
  <c r="P122" i="1"/>
  <c r="O122" i="1"/>
  <c r="K122" i="1"/>
  <c r="J122" i="1"/>
  <c r="H122" i="1"/>
  <c r="I122" i="1" s="1"/>
  <c r="O121" i="1"/>
  <c r="K121" i="1"/>
  <c r="J121" i="1"/>
  <c r="H121" i="1"/>
  <c r="I121" i="1" s="1"/>
  <c r="R120" i="1"/>
  <c r="Q120" i="1"/>
  <c r="P120" i="1"/>
  <c r="O120" i="1"/>
  <c r="K120" i="1"/>
  <c r="J120" i="1"/>
  <c r="H120" i="1"/>
  <c r="I120" i="1" s="1"/>
  <c r="O119" i="1"/>
  <c r="K119" i="1"/>
  <c r="R119" i="1" s="1"/>
  <c r="J119" i="1"/>
  <c r="H119" i="1"/>
  <c r="I119" i="1" s="1"/>
  <c r="R118" i="1"/>
  <c r="Q118" i="1"/>
  <c r="P118" i="1"/>
  <c r="O118" i="1"/>
  <c r="K118" i="1"/>
  <c r="J118" i="1"/>
  <c r="H118" i="1"/>
  <c r="I118" i="1" s="1"/>
  <c r="O117" i="1"/>
  <c r="K117" i="1"/>
  <c r="R117" i="1" s="1"/>
  <c r="J117" i="1"/>
  <c r="H117" i="1"/>
  <c r="I117" i="1" s="1"/>
  <c r="R116" i="1"/>
  <c r="Q116" i="1"/>
  <c r="P116" i="1"/>
  <c r="O116" i="1"/>
  <c r="K116" i="1"/>
  <c r="J116" i="1"/>
  <c r="H116" i="1"/>
  <c r="I116" i="1" s="1"/>
  <c r="O115" i="1"/>
  <c r="K115" i="1"/>
  <c r="R115" i="1" s="1"/>
  <c r="J115" i="1"/>
  <c r="H115" i="1"/>
  <c r="I115" i="1" s="1"/>
  <c r="R114" i="1"/>
  <c r="Q114" i="1"/>
  <c r="P114" i="1"/>
  <c r="O114" i="1"/>
  <c r="K114" i="1"/>
  <c r="J114" i="1"/>
  <c r="H114" i="1"/>
  <c r="I114" i="1" s="1"/>
  <c r="O113" i="1"/>
  <c r="K113" i="1"/>
  <c r="R113" i="1" s="1"/>
  <c r="J113" i="1"/>
  <c r="H113" i="1"/>
  <c r="I113" i="1" s="1"/>
  <c r="R112" i="1"/>
  <c r="Q112" i="1"/>
  <c r="P112" i="1"/>
  <c r="O112" i="1"/>
  <c r="K112" i="1"/>
  <c r="J112" i="1"/>
  <c r="H112" i="1"/>
  <c r="I112" i="1" s="1"/>
  <c r="R111" i="1"/>
  <c r="P111" i="1"/>
  <c r="O111" i="1"/>
  <c r="K111" i="1"/>
  <c r="Q111" i="1" s="1"/>
  <c r="J111" i="1"/>
  <c r="H111" i="1"/>
  <c r="I111" i="1" s="1"/>
  <c r="R110" i="1"/>
  <c r="Q110" i="1"/>
  <c r="P110" i="1"/>
  <c r="O110" i="1"/>
  <c r="K110" i="1"/>
  <c r="J110" i="1"/>
  <c r="H110" i="1"/>
  <c r="I110" i="1" s="1"/>
  <c r="R109" i="1"/>
  <c r="Q109" i="1"/>
  <c r="P109" i="1"/>
  <c r="O109" i="1"/>
  <c r="K109" i="1"/>
  <c r="J109" i="1"/>
  <c r="H109" i="1"/>
  <c r="I109" i="1" s="1"/>
  <c r="R108" i="1"/>
  <c r="Q108" i="1"/>
  <c r="P108" i="1"/>
  <c r="O108" i="1"/>
  <c r="K108" i="1"/>
  <c r="J108" i="1"/>
  <c r="H108" i="1"/>
  <c r="I108" i="1" s="1"/>
  <c r="R107" i="1"/>
  <c r="Q107" i="1"/>
  <c r="P107" i="1"/>
  <c r="O107" i="1"/>
  <c r="K107" i="1"/>
  <c r="J107" i="1"/>
  <c r="H107" i="1"/>
  <c r="I107" i="1" s="1"/>
  <c r="R106" i="1"/>
  <c r="Q106" i="1"/>
  <c r="P106" i="1"/>
  <c r="O106" i="1"/>
  <c r="K106" i="1"/>
  <c r="J106" i="1"/>
  <c r="H106" i="1"/>
  <c r="I106" i="1" s="1"/>
  <c r="R105" i="1"/>
  <c r="Q105" i="1"/>
  <c r="P105" i="1"/>
  <c r="O105" i="1"/>
  <c r="K105" i="1"/>
  <c r="J105" i="1"/>
  <c r="H105" i="1"/>
  <c r="I105" i="1" s="1"/>
  <c r="R104" i="1"/>
  <c r="Q104" i="1"/>
  <c r="P104" i="1"/>
  <c r="O104" i="1"/>
  <c r="K104" i="1"/>
  <c r="J104" i="1"/>
  <c r="H104" i="1"/>
  <c r="I104" i="1" s="1"/>
  <c r="R103" i="1"/>
  <c r="Q103" i="1"/>
  <c r="P103" i="1"/>
  <c r="O103" i="1"/>
  <c r="K103" i="1"/>
  <c r="J103" i="1"/>
  <c r="I103" i="1"/>
  <c r="H103" i="1"/>
  <c r="R102" i="1"/>
  <c r="Q102" i="1"/>
  <c r="P102" i="1"/>
  <c r="O102" i="1"/>
  <c r="K102" i="1"/>
  <c r="J102" i="1"/>
  <c r="H102" i="1"/>
  <c r="I102" i="1" s="1"/>
  <c r="Q101" i="1"/>
  <c r="O101" i="1"/>
  <c r="K101" i="1"/>
  <c r="R101" i="1" s="1"/>
  <c r="J101" i="1"/>
  <c r="H101" i="1"/>
  <c r="I101" i="1" s="1"/>
  <c r="R100" i="1"/>
  <c r="Q100" i="1"/>
  <c r="P100" i="1"/>
  <c r="O100" i="1"/>
  <c r="K100" i="1"/>
  <c r="J100" i="1"/>
  <c r="H100" i="1"/>
  <c r="I100" i="1" s="1"/>
  <c r="R99" i="1"/>
  <c r="Q99" i="1"/>
  <c r="P99" i="1"/>
  <c r="O99" i="1"/>
  <c r="K99" i="1"/>
  <c r="J99" i="1"/>
  <c r="I99" i="1"/>
  <c r="H99" i="1"/>
  <c r="R98" i="1"/>
  <c r="Q98" i="1"/>
  <c r="P98" i="1"/>
  <c r="O98" i="1"/>
  <c r="K98" i="1"/>
  <c r="J98" i="1"/>
  <c r="H98" i="1"/>
  <c r="I98" i="1" s="1"/>
  <c r="R97" i="1"/>
  <c r="O97" i="1"/>
  <c r="K97" i="1"/>
  <c r="Q97" i="1" s="1"/>
  <c r="J97" i="1"/>
  <c r="I97" i="1"/>
  <c r="H97" i="1"/>
  <c r="R96" i="1"/>
  <c r="Q96" i="1"/>
  <c r="P96" i="1"/>
  <c r="O96" i="1"/>
  <c r="K96" i="1"/>
  <c r="J96" i="1"/>
  <c r="H96" i="1"/>
  <c r="I96" i="1" s="1"/>
  <c r="R95" i="1"/>
  <c r="Q95" i="1"/>
  <c r="O95" i="1"/>
  <c r="K95" i="1"/>
  <c r="P95" i="1" s="1"/>
  <c r="J95" i="1"/>
  <c r="H95" i="1"/>
  <c r="I95" i="1" s="1"/>
  <c r="R94" i="1"/>
  <c r="Q94" i="1"/>
  <c r="P94" i="1"/>
  <c r="O94" i="1"/>
  <c r="K94" i="1"/>
  <c r="J94" i="1"/>
  <c r="H94" i="1"/>
  <c r="I94" i="1" s="1"/>
  <c r="Q93" i="1"/>
  <c r="P93" i="1"/>
  <c r="O93" i="1"/>
  <c r="K93" i="1"/>
  <c r="R93" i="1" s="1"/>
  <c r="J93" i="1"/>
  <c r="H93" i="1"/>
  <c r="I93" i="1" s="1"/>
  <c r="R92" i="1"/>
  <c r="Q92" i="1"/>
  <c r="P92" i="1"/>
  <c r="O92" i="1"/>
  <c r="K92" i="1"/>
  <c r="J92" i="1"/>
  <c r="H92" i="1"/>
  <c r="I92" i="1" s="1"/>
  <c r="O91" i="1"/>
  <c r="K91" i="1"/>
  <c r="J91" i="1"/>
  <c r="I91" i="1"/>
  <c r="H91" i="1"/>
  <c r="R90" i="1"/>
  <c r="Q90" i="1"/>
  <c r="P90" i="1"/>
  <c r="O90" i="1"/>
  <c r="K90" i="1"/>
  <c r="J90" i="1"/>
  <c r="H90" i="1"/>
  <c r="I90" i="1" s="1"/>
  <c r="O89" i="1"/>
  <c r="K89" i="1"/>
  <c r="J89" i="1"/>
  <c r="H89" i="1"/>
  <c r="I89" i="1" s="1"/>
  <c r="R88" i="1"/>
  <c r="Q88" i="1"/>
  <c r="P88" i="1"/>
  <c r="O88" i="1"/>
  <c r="K88" i="1"/>
  <c r="J88" i="1"/>
  <c r="H88" i="1"/>
  <c r="I88" i="1" s="1"/>
  <c r="O87" i="1"/>
  <c r="K87" i="1"/>
  <c r="J87" i="1"/>
  <c r="H87" i="1"/>
  <c r="I87" i="1" s="1"/>
  <c r="R86" i="1"/>
  <c r="Q86" i="1"/>
  <c r="P86" i="1"/>
  <c r="O86" i="1"/>
  <c r="K86" i="1"/>
  <c r="J86" i="1"/>
  <c r="H86" i="1"/>
  <c r="I86" i="1" s="1"/>
  <c r="O85" i="1"/>
  <c r="K85" i="1"/>
  <c r="R85" i="1" s="1"/>
  <c r="J85" i="1"/>
  <c r="I85" i="1"/>
  <c r="H85" i="1"/>
  <c r="R84" i="1"/>
  <c r="Q84" i="1"/>
  <c r="P84" i="1"/>
  <c r="O84" i="1"/>
  <c r="K84" i="1"/>
  <c r="J84" i="1"/>
  <c r="H84" i="1"/>
  <c r="I84" i="1" s="1"/>
  <c r="O83" i="1"/>
  <c r="K83" i="1"/>
  <c r="R83" i="1" s="1"/>
  <c r="J83" i="1"/>
  <c r="I83" i="1"/>
  <c r="H83" i="1"/>
  <c r="R82" i="1"/>
  <c r="Q82" i="1"/>
  <c r="P82" i="1"/>
  <c r="O82" i="1"/>
  <c r="K82" i="1"/>
  <c r="J82" i="1"/>
  <c r="H82" i="1"/>
  <c r="I82" i="1" s="1"/>
  <c r="O81" i="1"/>
  <c r="K81" i="1"/>
  <c r="R81" i="1" s="1"/>
  <c r="J81" i="1"/>
  <c r="H81" i="1"/>
  <c r="I81" i="1" s="1"/>
  <c r="R80" i="1"/>
  <c r="Q80" i="1"/>
  <c r="P80" i="1"/>
  <c r="O80" i="1"/>
  <c r="K80" i="1"/>
  <c r="J80" i="1"/>
  <c r="H80" i="1"/>
  <c r="I80" i="1" s="1"/>
  <c r="R79" i="1"/>
  <c r="P79" i="1"/>
  <c r="O79" i="1"/>
  <c r="K79" i="1"/>
  <c r="Q79" i="1" s="1"/>
  <c r="J79" i="1"/>
  <c r="H79" i="1"/>
  <c r="I79" i="1" s="1"/>
  <c r="R78" i="1"/>
  <c r="Q78" i="1"/>
  <c r="P78" i="1"/>
  <c r="O78" i="1"/>
  <c r="K78" i="1"/>
  <c r="J78" i="1"/>
  <c r="H78" i="1"/>
  <c r="I78" i="1" s="1"/>
  <c r="R77" i="1"/>
  <c r="Q77" i="1"/>
  <c r="P77" i="1"/>
  <c r="O77" i="1"/>
  <c r="K77" i="1"/>
  <c r="J77" i="1"/>
  <c r="H77" i="1"/>
  <c r="I77" i="1" s="1"/>
  <c r="R76" i="1"/>
  <c r="Q76" i="1"/>
  <c r="P76" i="1"/>
  <c r="O76" i="1"/>
  <c r="K76" i="1"/>
  <c r="J76" i="1"/>
  <c r="H76" i="1"/>
  <c r="I76" i="1" s="1"/>
  <c r="R75" i="1"/>
  <c r="Q75" i="1"/>
  <c r="P75" i="1"/>
  <c r="O75" i="1"/>
  <c r="K75" i="1"/>
  <c r="J75" i="1"/>
  <c r="H75" i="1"/>
  <c r="I75" i="1" s="1"/>
  <c r="R74" i="1"/>
  <c r="Q74" i="1"/>
  <c r="P74" i="1"/>
  <c r="O74" i="1"/>
  <c r="K74" i="1"/>
  <c r="J74" i="1"/>
  <c r="H74" i="1"/>
  <c r="I74" i="1" s="1"/>
  <c r="R73" i="1"/>
  <c r="Q73" i="1"/>
  <c r="P73" i="1"/>
  <c r="O73" i="1"/>
  <c r="K73" i="1"/>
  <c r="J73" i="1"/>
  <c r="H73" i="1"/>
  <c r="I73" i="1" s="1"/>
  <c r="R72" i="1"/>
  <c r="Q72" i="1"/>
  <c r="P72" i="1"/>
  <c r="O72" i="1"/>
  <c r="K72" i="1"/>
  <c r="J72" i="1"/>
  <c r="H72" i="1"/>
  <c r="I72" i="1" s="1"/>
  <c r="R71" i="1"/>
  <c r="Q71" i="1"/>
  <c r="P71" i="1"/>
  <c r="O71" i="1"/>
  <c r="K71" i="1"/>
  <c r="J71" i="1"/>
  <c r="I71" i="1"/>
  <c r="H71" i="1"/>
  <c r="R70" i="1"/>
  <c r="Q70" i="1"/>
  <c r="P70" i="1"/>
  <c r="O70" i="1"/>
  <c r="K70" i="1"/>
  <c r="J70" i="1"/>
  <c r="H70" i="1"/>
  <c r="I70" i="1" s="1"/>
  <c r="O69" i="1"/>
  <c r="K69" i="1"/>
  <c r="R69" i="1" s="1"/>
  <c r="J69" i="1"/>
  <c r="H69" i="1"/>
  <c r="I69" i="1" s="1"/>
  <c r="R68" i="1"/>
  <c r="Q68" i="1"/>
  <c r="P68" i="1"/>
  <c r="O68" i="1"/>
  <c r="K68" i="1"/>
  <c r="J68" i="1"/>
  <c r="H68" i="1"/>
  <c r="I68" i="1" s="1"/>
  <c r="O67" i="1"/>
  <c r="K67" i="1"/>
  <c r="P67" i="1" s="1"/>
  <c r="J67" i="1"/>
  <c r="I67" i="1"/>
  <c r="H67" i="1"/>
  <c r="R66" i="1"/>
  <c r="Q66" i="1"/>
  <c r="P66" i="1"/>
  <c r="O66" i="1"/>
  <c r="K66" i="1"/>
  <c r="J66" i="1"/>
  <c r="H66" i="1"/>
  <c r="I66" i="1" s="1"/>
  <c r="O65" i="1"/>
  <c r="K65" i="1"/>
  <c r="R65" i="1" s="1"/>
  <c r="J65" i="1"/>
  <c r="I65" i="1"/>
  <c r="H65" i="1"/>
  <c r="R64" i="1"/>
  <c r="Q64" i="1"/>
  <c r="P64" i="1"/>
  <c r="O64" i="1"/>
  <c r="K64" i="1"/>
  <c r="J64" i="1"/>
  <c r="H64" i="1"/>
  <c r="I64" i="1" s="1"/>
  <c r="O63" i="1"/>
  <c r="K63" i="1"/>
  <c r="R63" i="1" s="1"/>
  <c r="J63" i="1"/>
  <c r="H63" i="1"/>
  <c r="I63" i="1" s="1"/>
  <c r="R62" i="1"/>
  <c r="Q62" i="1"/>
  <c r="P62" i="1"/>
  <c r="O62" i="1"/>
  <c r="K62" i="1"/>
  <c r="J62" i="1"/>
  <c r="H62" i="1"/>
  <c r="I62" i="1" s="1"/>
  <c r="O61" i="1"/>
  <c r="K61" i="1"/>
  <c r="R61" i="1" s="1"/>
  <c r="J61" i="1"/>
  <c r="H61" i="1"/>
  <c r="I61" i="1" s="1"/>
  <c r="R60" i="1"/>
  <c r="Q60" i="1"/>
  <c r="P60" i="1"/>
  <c r="O60" i="1"/>
  <c r="K60" i="1"/>
  <c r="J60" i="1"/>
  <c r="H60" i="1"/>
  <c r="I60" i="1" s="1"/>
  <c r="P59" i="1"/>
  <c r="O59" i="1"/>
  <c r="K59" i="1"/>
  <c r="J59" i="1"/>
  <c r="H59" i="1"/>
  <c r="I59" i="1" s="1"/>
  <c r="R58" i="1"/>
  <c r="Q58" i="1"/>
  <c r="P58" i="1"/>
  <c r="O58" i="1"/>
  <c r="K58" i="1"/>
  <c r="J58" i="1"/>
  <c r="H58" i="1"/>
  <c r="I58" i="1" s="1"/>
  <c r="O57" i="1"/>
  <c r="K57" i="1"/>
  <c r="J57" i="1"/>
  <c r="H57" i="1"/>
  <c r="I57" i="1" s="1"/>
  <c r="R56" i="1"/>
  <c r="Q56" i="1"/>
  <c r="P56" i="1"/>
  <c r="O56" i="1"/>
  <c r="K56" i="1"/>
  <c r="J56" i="1"/>
  <c r="H56" i="1"/>
  <c r="I56" i="1" s="1"/>
  <c r="O55" i="1"/>
  <c r="K55" i="1"/>
  <c r="J55" i="1"/>
  <c r="H55" i="1"/>
  <c r="I55" i="1" s="1"/>
  <c r="R54" i="1"/>
  <c r="Q54" i="1"/>
  <c r="P54" i="1"/>
  <c r="O54" i="1"/>
  <c r="K54" i="1"/>
  <c r="J54" i="1"/>
  <c r="H54" i="1"/>
  <c r="I54" i="1" s="1"/>
  <c r="O53" i="1"/>
  <c r="K53" i="1"/>
  <c r="R53" i="1" s="1"/>
  <c r="J53" i="1"/>
  <c r="H53" i="1"/>
  <c r="I53" i="1" s="1"/>
  <c r="R52" i="1"/>
  <c r="Q52" i="1"/>
  <c r="P52" i="1"/>
  <c r="O52" i="1"/>
  <c r="K52" i="1"/>
  <c r="J52" i="1"/>
  <c r="H52" i="1"/>
  <c r="I52" i="1" s="1"/>
  <c r="O51" i="1"/>
  <c r="K51" i="1"/>
  <c r="R51" i="1" s="1"/>
  <c r="J51" i="1"/>
  <c r="H51" i="1"/>
  <c r="I51" i="1" s="1"/>
  <c r="R50" i="1"/>
  <c r="Q50" i="1"/>
  <c r="P50" i="1"/>
  <c r="O50" i="1"/>
  <c r="K50" i="1"/>
  <c r="J50" i="1"/>
  <c r="H50" i="1"/>
  <c r="I50" i="1" s="1"/>
  <c r="O49" i="1"/>
  <c r="K49" i="1"/>
  <c r="R49" i="1" s="1"/>
  <c r="J49" i="1"/>
  <c r="H49" i="1"/>
  <c r="I49" i="1" s="1"/>
  <c r="R48" i="1"/>
  <c r="Q48" i="1"/>
  <c r="P48" i="1"/>
  <c r="O48" i="1"/>
  <c r="K48" i="1"/>
  <c r="J48" i="1"/>
  <c r="H48" i="1"/>
  <c r="I48" i="1" s="1"/>
  <c r="R47" i="1"/>
  <c r="P47" i="1"/>
  <c r="O47" i="1"/>
  <c r="K47" i="1"/>
  <c r="Q47" i="1" s="1"/>
  <c r="J47" i="1"/>
  <c r="H47" i="1"/>
  <c r="I47" i="1" s="1"/>
  <c r="R46" i="1"/>
  <c r="Q46" i="1"/>
  <c r="P46" i="1"/>
  <c r="O46" i="1"/>
  <c r="K46" i="1"/>
  <c r="J46" i="1"/>
  <c r="H46" i="1"/>
  <c r="I46" i="1" s="1"/>
  <c r="R45" i="1"/>
  <c r="Q45" i="1"/>
  <c r="P45" i="1"/>
  <c r="O45" i="1"/>
  <c r="K45" i="1"/>
  <c r="J45" i="1"/>
  <c r="H45" i="1"/>
  <c r="I45" i="1" s="1"/>
  <c r="R44" i="1"/>
  <c r="Q44" i="1"/>
  <c r="P44" i="1"/>
  <c r="O44" i="1"/>
  <c r="K44" i="1"/>
  <c r="J44" i="1"/>
  <c r="H44" i="1"/>
  <c r="I44" i="1" s="1"/>
  <c r="R43" i="1"/>
  <c r="Q43" i="1"/>
  <c r="P43" i="1"/>
  <c r="O43" i="1"/>
  <c r="K43" i="1"/>
  <c r="J43" i="1"/>
  <c r="H43" i="1"/>
  <c r="I43" i="1" s="1"/>
  <c r="R42" i="1"/>
  <c r="Q42" i="1"/>
  <c r="P42" i="1"/>
  <c r="O42" i="1"/>
  <c r="K42" i="1"/>
  <c r="J42" i="1"/>
  <c r="H42" i="1"/>
  <c r="I42" i="1" s="1"/>
  <c r="R41" i="1"/>
  <c r="Q41" i="1"/>
  <c r="P41" i="1"/>
  <c r="O41" i="1"/>
  <c r="K41" i="1"/>
  <c r="J41" i="1"/>
  <c r="H41" i="1"/>
  <c r="I41" i="1" s="1"/>
  <c r="R40" i="1"/>
  <c r="Q40" i="1"/>
  <c r="P40" i="1"/>
  <c r="O40" i="1"/>
  <c r="K40" i="1"/>
  <c r="J40" i="1"/>
  <c r="H40" i="1"/>
  <c r="I40" i="1" s="1"/>
  <c r="R39" i="1"/>
  <c r="Q39" i="1"/>
  <c r="P39" i="1"/>
  <c r="O39" i="1"/>
  <c r="K39" i="1"/>
  <c r="J39" i="1"/>
  <c r="I39" i="1"/>
  <c r="H39" i="1"/>
  <c r="R38" i="1"/>
  <c r="Q38" i="1"/>
  <c r="P38" i="1"/>
  <c r="O38" i="1"/>
  <c r="K38" i="1"/>
  <c r="J38" i="1"/>
  <c r="H38" i="1"/>
  <c r="I38" i="1" s="1"/>
  <c r="R37" i="1"/>
  <c r="Q37" i="1"/>
  <c r="P37" i="1"/>
  <c r="O37" i="1"/>
  <c r="K37" i="1"/>
  <c r="J37" i="1"/>
  <c r="H37" i="1"/>
  <c r="I37" i="1" s="1"/>
  <c r="R36" i="1"/>
  <c r="Q36" i="1"/>
  <c r="P36" i="1"/>
  <c r="O36" i="1"/>
  <c r="K36" i="1"/>
  <c r="J36" i="1"/>
  <c r="H36" i="1"/>
  <c r="I36" i="1" s="1"/>
  <c r="R35" i="1"/>
  <c r="Q35" i="1"/>
  <c r="O35" i="1"/>
  <c r="K35" i="1"/>
  <c r="P35" i="1" s="1"/>
  <c r="J35" i="1"/>
  <c r="I35" i="1"/>
  <c r="H35" i="1"/>
  <c r="R34" i="1"/>
  <c r="Q34" i="1"/>
  <c r="P34" i="1"/>
  <c r="O34" i="1"/>
  <c r="K34" i="1"/>
  <c r="J34" i="1"/>
  <c r="H34" i="1"/>
  <c r="I34" i="1" s="1"/>
  <c r="R33" i="1"/>
  <c r="Q33" i="1"/>
  <c r="P33" i="1"/>
  <c r="O33" i="1"/>
  <c r="K33" i="1"/>
  <c r="J33" i="1"/>
  <c r="I33" i="1"/>
  <c r="H33" i="1"/>
  <c r="R32" i="1"/>
  <c r="Q32" i="1"/>
  <c r="P32" i="1"/>
  <c r="O32" i="1"/>
  <c r="K32" i="1"/>
  <c r="J32" i="1"/>
  <c r="H32" i="1"/>
  <c r="I32" i="1" s="1"/>
  <c r="R31" i="1"/>
  <c r="Q31" i="1"/>
  <c r="P31" i="1"/>
  <c r="O31" i="1"/>
  <c r="K31" i="1"/>
  <c r="J31" i="1"/>
  <c r="H31" i="1"/>
  <c r="I31" i="1" s="1"/>
  <c r="R30" i="1"/>
  <c r="Q30" i="1"/>
  <c r="P30" i="1"/>
  <c r="O30" i="1"/>
  <c r="K30" i="1"/>
  <c r="J30" i="1"/>
  <c r="H30" i="1"/>
  <c r="I30" i="1" s="1"/>
  <c r="O29" i="1"/>
  <c r="K29" i="1"/>
  <c r="R29" i="1" s="1"/>
  <c r="J29" i="1"/>
  <c r="I29" i="1"/>
  <c r="H29" i="1"/>
  <c r="R28" i="1"/>
  <c r="Q28" i="1"/>
  <c r="P28" i="1"/>
  <c r="O28" i="1"/>
  <c r="K28" i="1"/>
  <c r="J28" i="1"/>
  <c r="H28" i="1"/>
  <c r="I28" i="1" s="1"/>
  <c r="O27" i="1"/>
  <c r="K27" i="1"/>
  <c r="J27" i="1"/>
  <c r="H27" i="1"/>
  <c r="I27" i="1" s="1"/>
  <c r="R26" i="1"/>
  <c r="Q26" i="1"/>
  <c r="P26" i="1"/>
  <c r="O26" i="1"/>
  <c r="K26" i="1"/>
  <c r="J26" i="1"/>
  <c r="H26" i="1"/>
  <c r="I26" i="1" s="1"/>
  <c r="O25" i="1"/>
  <c r="K25" i="1"/>
  <c r="J25" i="1"/>
  <c r="H25" i="1"/>
  <c r="I25" i="1" s="1"/>
  <c r="R24" i="1"/>
  <c r="Q24" i="1"/>
  <c r="P24" i="1"/>
  <c r="O24" i="1"/>
  <c r="K24" i="1"/>
  <c r="J24" i="1"/>
  <c r="H24" i="1"/>
  <c r="I24" i="1" s="1"/>
  <c r="O23" i="1"/>
  <c r="K23" i="1"/>
  <c r="J23" i="1"/>
  <c r="H23" i="1"/>
  <c r="I23" i="1" s="1"/>
  <c r="R22" i="1"/>
  <c r="Q22" i="1"/>
  <c r="P22" i="1"/>
  <c r="O22" i="1"/>
  <c r="K22" i="1"/>
  <c r="J22" i="1"/>
  <c r="H22" i="1"/>
  <c r="I22" i="1" s="1"/>
  <c r="O21" i="1"/>
  <c r="K21" i="1"/>
  <c r="R21" i="1" s="1"/>
  <c r="J21" i="1"/>
  <c r="H21" i="1"/>
  <c r="I21" i="1" s="1"/>
  <c r="R20" i="1"/>
  <c r="Q20" i="1"/>
  <c r="P20" i="1"/>
  <c r="O20" i="1"/>
  <c r="K20" i="1"/>
  <c r="J20" i="1"/>
  <c r="H20" i="1"/>
  <c r="I20" i="1" s="1"/>
  <c r="O19" i="1"/>
  <c r="K19" i="1"/>
  <c r="R19" i="1" s="1"/>
  <c r="J19" i="1"/>
  <c r="H19" i="1"/>
  <c r="I19" i="1" s="1"/>
  <c r="R18" i="1"/>
  <c r="Q18" i="1"/>
  <c r="P18" i="1"/>
  <c r="O18" i="1"/>
  <c r="K18" i="1"/>
  <c r="J18" i="1"/>
  <c r="I18" i="1"/>
  <c r="O17" i="1"/>
  <c r="K17" i="1"/>
  <c r="R17" i="1" s="1"/>
  <c r="J17" i="1"/>
  <c r="H17" i="1"/>
  <c r="I17" i="1" s="1"/>
  <c r="R16" i="1"/>
  <c r="Q16" i="1"/>
  <c r="P16" i="1"/>
  <c r="O16" i="1"/>
  <c r="K16" i="1"/>
  <c r="J16" i="1"/>
  <c r="H16" i="1"/>
  <c r="I16" i="1" s="1"/>
  <c r="R15" i="1"/>
  <c r="P15" i="1"/>
  <c r="O15" i="1"/>
  <c r="K15" i="1"/>
  <c r="Q15" i="1" s="1"/>
  <c r="J15" i="1"/>
  <c r="H15" i="1"/>
  <c r="I15" i="1" s="1"/>
  <c r="R14" i="1"/>
  <c r="Q14" i="1"/>
  <c r="P14" i="1"/>
  <c r="O14" i="1"/>
  <c r="K14" i="1"/>
  <c r="J14" i="1"/>
  <c r="H14" i="1"/>
  <c r="I14" i="1" s="1"/>
  <c r="R13" i="1"/>
  <c r="Q13" i="1"/>
  <c r="P13" i="1"/>
  <c r="O13" i="1"/>
  <c r="K13" i="1"/>
  <c r="J13" i="1"/>
  <c r="H13" i="1"/>
  <c r="I13" i="1" s="1"/>
  <c r="R12" i="1"/>
  <c r="Q12" i="1"/>
  <c r="P12" i="1"/>
  <c r="O12" i="1"/>
  <c r="K12" i="1"/>
  <c r="J12" i="1"/>
  <c r="H12" i="1"/>
  <c r="I12" i="1" s="1"/>
  <c r="R11" i="1"/>
  <c r="Q11" i="1"/>
  <c r="P11" i="1"/>
  <c r="O11" i="1"/>
  <c r="K11" i="1"/>
  <c r="J11" i="1"/>
  <c r="H11" i="1"/>
  <c r="I11" i="1" s="1"/>
  <c r="R10" i="1"/>
  <c r="Q10" i="1"/>
  <c r="P10" i="1"/>
  <c r="O10" i="1"/>
  <c r="K10" i="1"/>
  <c r="J10" i="1"/>
  <c r="H10" i="1"/>
  <c r="I10" i="1" s="1"/>
  <c r="R9" i="1"/>
  <c r="Q9" i="1"/>
  <c r="P9" i="1"/>
  <c r="O9" i="1"/>
  <c r="K9" i="1"/>
  <c r="J9" i="1"/>
  <c r="H9" i="1"/>
  <c r="I9" i="1" s="1"/>
  <c r="R8" i="1"/>
  <c r="Q8" i="1"/>
  <c r="P8" i="1"/>
  <c r="O8" i="1"/>
  <c r="K8" i="1"/>
  <c r="J8" i="1"/>
  <c r="H8" i="1"/>
  <c r="I8" i="1" s="1"/>
  <c r="R7" i="1"/>
  <c r="Q7" i="1"/>
  <c r="P7" i="1"/>
  <c r="O7" i="1"/>
  <c r="K7" i="1"/>
  <c r="J7" i="1"/>
  <c r="I7" i="1"/>
  <c r="H7" i="1"/>
  <c r="R6" i="1"/>
  <c r="Q6" i="1"/>
  <c r="P6" i="1"/>
  <c r="O6" i="1"/>
  <c r="K6" i="1"/>
  <c r="J6" i="1"/>
  <c r="H6" i="1"/>
  <c r="I6" i="1" s="1"/>
  <c r="O5" i="1"/>
  <c r="K5" i="1"/>
  <c r="R5" i="1" s="1"/>
  <c r="J5" i="1"/>
  <c r="H5" i="1"/>
  <c r="B3" i="2" l="1"/>
  <c r="B5" i="2" s="1"/>
  <c r="R248" i="1"/>
  <c r="P248" i="1"/>
  <c r="Q248" i="1"/>
  <c r="P324" i="1"/>
  <c r="Q478" i="1"/>
  <c r="Q29" i="1"/>
  <c r="Q127" i="1"/>
  <c r="Q153" i="1"/>
  <c r="P243" i="1"/>
  <c r="R292" i="1"/>
  <c r="Q292" i="1"/>
  <c r="P292" i="1"/>
  <c r="R322" i="1"/>
  <c r="Q322" i="1"/>
  <c r="Q324" i="1"/>
  <c r="P380" i="1"/>
  <c r="P450" i="1"/>
  <c r="Q69" i="1"/>
  <c r="P5" i="1"/>
  <c r="R89" i="1"/>
  <c r="Q89" i="1"/>
  <c r="P89" i="1"/>
  <c r="Q201" i="1"/>
  <c r="P322" i="1"/>
  <c r="R378" i="1"/>
  <c r="Q378" i="1"/>
  <c r="P378" i="1"/>
  <c r="Q5" i="1"/>
  <c r="P65" i="1"/>
  <c r="Q67" i="1"/>
  <c r="R149" i="1"/>
  <c r="Q149" i="1"/>
  <c r="P149" i="1"/>
  <c r="P199" i="1"/>
  <c r="R262" i="1"/>
  <c r="Q262" i="1"/>
  <c r="P262" i="1"/>
  <c r="P356" i="1"/>
  <c r="P446" i="1"/>
  <c r="Q448" i="1"/>
  <c r="Q673" i="1"/>
  <c r="R673" i="1"/>
  <c r="P673" i="1"/>
  <c r="R25" i="1"/>
  <c r="Q25" i="1"/>
  <c r="P25" i="1"/>
  <c r="P63" i="1"/>
  <c r="Q65" i="1"/>
  <c r="R67" i="1"/>
  <c r="R123" i="1"/>
  <c r="Q123" i="1"/>
  <c r="P123" i="1"/>
  <c r="Q199" i="1"/>
  <c r="R290" i="1"/>
  <c r="Q290" i="1"/>
  <c r="P290" i="1"/>
  <c r="R320" i="1"/>
  <c r="Q320" i="1"/>
  <c r="P320" i="1"/>
  <c r="P354" i="1"/>
  <c r="Q356" i="1"/>
  <c r="P444" i="1"/>
  <c r="Q446" i="1"/>
  <c r="Q63" i="1"/>
  <c r="P169" i="1"/>
  <c r="R197" i="1"/>
  <c r="Q197" i="1"/>
  <c r="P197" i="1"/>
  <c r="P213" i="1"/>
  <c r="R218" i="1"/>
  <c r="Q218" i="1"/>
  <c r="R226" i="1"/>
  <c r="P226" i="1"/>
  <c r="Q226" i="1"/>
  <c r="R241" i="1"/>
  <c r="Q241" i="1"/>
  <c r="P241" i="1"/>
  <c r="Q354" i="1"/>
  <c r="P416" i="1"/>
  <c r="R442" i="1"/>
  <c r="Q442" i="1"/>
  <c r="P442" i="1"/>
  <c r="Q444" i="1"/>
  <c r="R649" i="1"/>
  <c r="P649" i="1"/>
  <c r="Q649" i="1"/>
  <c r="P61" i="1"/>
  <c r="R87" i="1"/>
  <c r="Q87" i="1"/>
  <c r="P87" i="1"/>
  <c r="Q169" i="1"/>
  <c r="Q213" i="1"/>
  <c r="P352" i="1"/>
  <c r="Q416" i="1"/>
  <c r="R571" i="1"/>
  <c r="Q571" i="1"/>
  <c r="R625" i="1"/>
  <c r="Q625" i="1"/>
  <c r="P625" i="1"/>
  <c r="Q646" i="1"/>
  <c r="P646" i="1"/>
  <c r="R646" i="1"/>
  <c r="R655" i="1"/>
  <c r="Q655" i="1"/>
  <c r="P655" i="1"/>
  <c r="R697" i="1"/>
  <c r="P697" i="1"/>
  <c r="Q697" i="1"/>
  <c r="R59" i="1"/>
  <c r="Q59" i="1"/>
  <c r="Q61" i="1"/>
  <c r="P101" i="1"/>
  <c r="P167" i="1"/>
  <c r="P218" i="1"/>
  <c r="R310" i="1"/>
  <c r="Q310" i="1"/>
  <c r="P310" i="1"/>
  <c r="R350" i="1"/>
  <c r="Q350" i="1"/>
  <c r="Q352" i="1"/>
  <c r="P414" i="1"/>
  <c r="P508" i="1"/>
  <c r="Q598" i="1"/>
  <c r="P598" i="1"/>
  <c r="R598" i="1"/>
  <c r="Q694" i="1"/>
  <c r="P694" i="1"/>
  <c r="R563" i="1"/>
  <c r="P563" i="1"/>
  <c r="Q563" i="1"/>
  <c r="R91" i="1"/>
  <c r="Q91" i="1"/>
  <c r="P382" i="1"/>
  <c r="R476" i="1"/>
  <c r="Q476" i="1"/>
  <c r="R544" i="1"/>
  <c r="Q544" i="1"/>
  <c r="P544" i="1"/>
  <c r="R585" i="1"/>
  <c r="P585" i="1"/>
  <c r="Q585" i="1"/>
  <c r="R55" i="1"/>
  <c r="Q55" i="1"/>
  <c r="P55" i="1"/>
  <c r="P127" i="1"/>
  <c r="P153" i="1"/>
  <c r="R181" i="1"/>
  <c r="Q181" i="1"/>
  <c r="P181" i="1"/>
  <c r="P231" i="1"/>
  <c r="R231" i="1"/>
  <c r="Q231" i="1"/>
  <c r="R264" i="1"/>
  <c r="Q264" i="1"/>
  <c r="Q382" i="1"/>
  <c r="Q582" i="1"/>
  <c r="P582" i="1"/>
  <c r="R582" i="1"/>
  <c r="Q678" i="1"/>
  <c r="P678" i="1"/>
  <c r="R27" i="1"/>
  <c r="Q27" i="1"/>
  <c r="P69" i="1"/>
  <c r="P91" i="1"/>
  <c r="R125" i="1"/>
  <c r="Q125" i="1"/>
  <c r="P228" i="1"/>
  <c r="P151" i="1"/>
  <c r="P201" i="1"/>
  <c r="Q228" i="1"/>
  <c r="Q243" i="1"/>
  <c r="P264" i="1"/>
  <c r="Q380" i="1"/>
  <c r="Q450" i="1"/>
  <c r="R474" i="1"/>
  <c r="Q474" i="1"/>
  <c r="P474" i="1"/>
  <c r="P27" i="1"/>
  <c r="P125" i="1"/>
  <c r="Q151" i="1"/>
  <c r="P448" i="1"/>
  <c r="R577" i="1"/>
  <c r="Q577" i="1"/>
  <c r="Q618" i="1"/>
  <c r="P618" i="1"/>
  <c r="R618" i="1"/>
  <c r="R121" i="1"/>
  <c r="Q121" i="1"/>
  <c r="P121" i="1"/>
  <c r="R216" i="1"/>
  <c r="P216" i="1"/>
  <c r="Q216" i="1"/>
  <c r="R280" i="1"/>
  <c r="P280" i="1"/>
  <c r="Q280" i="1"/>
  <c r="R410" i="1"/>
  <c r="Q410" i="1"/>
  <c r="Q550" i="1"/>
  <c r="P550" i="1"/>
  <c r="R550" i="1"/>
  <c r="Q604" i="1"/>
  <c r="P604" i="1"/>
  <c r="P607" i="1"/>
  <c r="R607" i="1"/>
  <c r="Q607" i="1"/>
  <c r="R641" i="1"/>
  <c r="Q641" i="1"/>
  <c r="P641" i="1"/>
  <c r="P97" i="1"/>
  <c r="P133" i="1"/>
  <c r="R211" i="1"/>
  <c r="Q211" i="1"/>
  <c r="R250" i="1"/>
  <c r="Q250" i="1"/>
  <c r="P410" i="1"/>
  <c r="P587" i="1"/>
  <c r="R593" i="1"/>
  <c r="Q593" i="1"/>
  <c r="P593" i="1"/>
  <c r="R604" i="1"/>
  <c r="Q554" i="1"/>
  <c r="P554" i="1"/>
  <c r="R554" i="1"/>
  <c r="Q692" i="1"/>
  <c r="P692" i="1"/>
  <c r="R692" i="1"/>
  <c r="P478" i="1"/>
  <c r="Q684" i="1"/>
  <c r="P684" i="1"/>
  <c r="R684" i="1"/>
  <c r="P29" i="1"/>
  <c r="R681" i="1"/>
  <c r="P681" i="1"/>
  <c r="Q681" i="1"/>
  <c r="R246" i="1"/>
  <c r="Q246" i="1"/>
  <c r="P246" i="1"/>
  <c r="R678" i="1"/>
  <c r="R23" i="1"/>
  <c r="Q23" i="1"/>
  <c r="P23" i="1"/>
  <c r="Q233" i="1"/>
  <c r="R233" i="1"/>
  <c r="Q716" i="1"/>
  <c r="P716" i="1"/>
  <c r="R716" i="1"/>
  <c r="R165" i="1"/>
  <c r="P165" i="1"/>
  <c r="Q165" i="1"/>
  <c r="R57" i="1"/>
  <c r="Q57" i="1"/>
  <c r="P57" i="1"/>
  <c r="P185" i="1"/>
  <c r="R278" i="1"/>
  <c r="Q278" i="1"/>
  <c r="P278" i="1"/>
  <c r="P296" i="1"/>
  <c r="P328" i="1"/>
  <c r="R348" i="1"/>
  <c r="P348" i="1"/>
  <c r="Q348" i="1"/>
  <c r="P484" i="1"/>
  <c r="Q504" i="1"/>
  <c r="R504" i="1"/>
  <c r="P504" i="1"/>
  <c r="Q587" i="1"/>
  <c r="R635" i="1"/>
  <c r="Q635" i="1"/>
  <c r="P635" i="1"/>
  <c r="Q698" i="1"/>
  <c r="P698" i="1"/>
  <c r="R698" i="1"/>
  <c r="P719" i="1"/>
  <c r="R229" i="1"/>
  <c r="Q229" i="1"/>
  <c r="P229" i="1"/>
  <c r="R408" i="1"/>
  <c r="P408" i="1"/>
  <c r="Q408" i="1"/>
  <c r="Q687" i="1"/>
  <c r="P687" i="1"/>
  <c r="R687" i="1"/>
  <c r="R214" i="1"/>
  <c r="Q214" i="1"/>
  <c r="P214" i="1"/>
  <c r="R440" i="1"/>
  <c r="P440" i="1"/>
  <c r="Q440" i="1"/>
  <c r="Q566" i="1"/>
  <c r="P566" i="1"/>
  <c r="Q580" i="1"/>
  <c r="P580" i="1"/>
  <c r="P119" i="1"/>
  <c r="P147" i="1"/>
  <c r="P163" i="1"/>
  <c r="P179" i="1"/>
  <c r="P195" i="1"/>
  <c r="P209" i="1"/>
  <c r="P239" i="1"/>
  <c r="P260" i="1"/>
  <c r="P288" i="1"/>
  <c r="P318" i="1"/>
  <c r="R346" i="1"/>
  <c r="Q346" i="1"/>
  <c r="R376" i="1"/>
  <c r="P376" i="1"/>
  <c r="Q376" i="1"/>
  <c r="R472" i="1"/>
  <c r="P472" i="1"/>
  <c r="Q472" i="1"/>
  <c r="P502" i="1"/>
  <c r="R502" i="1"/>
  <c r="Q502" i="1"/>
  <c r="P530" i="1"/>
  <c r="Q611" i="1"/>
  <c r="P611" i="1"/>
  <c r="R633" i="1"/>
  <c r="P633" i="1"/>
  <c r="Q708" i="1"/>
  <c r="P708" i="1"/>
  <c r="Q719" i="1"/>
  <c r="P21" i="1"/>
  <c r="P53" i="1"/>
  <c r="P85" i="1"/>
  <c r="P117" i="1"/>
  <c r="Q119" i="1"/>
  <c r="Q147" i="1"/>
  <c r="Q163" i="1"/>
  <c r="Q179" i="1"/>
  <c r="Q195" i="1"/>
  <c r="Q209" i="1"/>
  <c r="Q239" i="1"/>
  <c r="P258" i="1"/>
  <c r="Q260" i="1"/>
  <c r="Q288" i="1"/>
  <c r="Q318" i="1"/>
  <c r="R406" i="1"/>
  <c r="Q406" i="1"/>
  <c r="P406" i="1"/>
  <c r="P528" i="1"/>
  <c r="Q530" i="1"/>
  <c r="R566" i="1"/>
  <c r="R569" i="1"/>
  <c r="P569" i="1"/>
  <c r="Q572" i="1"/>
  <c r="P572" i="1"/>
  <c r="Q575" i="1"/>
  <c r="R575" i="1"/>
  <c r="R580" i="1"/>
  <c r="R617" i="1"/>
  <c r="P617" i="1"/>
  <c r="Q628" i="1"/>
  <c r="P628" i="1"/>
  <c r="R659" i="1"/>
  <c r="Q659" i="1"/>
  <c r="P19" i="1"/>
  <c r="Q21" i="1"/>
  <c r="P51" i="1"/>
  <c r="Q53" i="1"/>
  <c r="P83" i="1"/>
  <c r="Q85" i="1"/>
  <c r="P115" i="1"/>
  <c r="Q117" i="1"/>
  <c r="P145" i="1"/>
  <c r="P161" i="1"/>
  <c r="P177" i="1"/>
  <c r="P193" i="1"/>
  <c r="P207" i="1"/>
  <c r="P232" i="1"/>
  <c r="P256" i="1"/>
  <c r="Q258" i="1"/>
  <c r="P286" i="1"/>
  <c r="P316" i="1"/>
  <c r="P346" i="1"/>
  <c r="R438" i="1"/>
  <c r="Q438" i="1"/>
  <c r="P438" i="1"/>
  <c r="Q528" i="1"/>
  <c r="Q564" i="1"/>
  <c r="P564" i="1"/>
  <c r="R611" i="1"/>
  <c r="Q620" i="1"/>
  <c r="P620" i="1"/>
  <c r="Q633" i="1"/>
  <c r="Q636" i="1"/>
  <c r="P636" i="1"/>
  <c r="Q662" i="1"/>
  <c r="P662" i="1"/>
  <c r="R665" i="1"/>
  <c r="P665" i="1"/>
  <c r="Q668" i="1"/>
  <c r="P668" i="1"/>
  <c r="Q671" i="1"/>
  <c r="R671" i="1"/>
  <c r="R708" i="1"/>
  <c r="R717" i="1"/>
  <c r="Q717" i="1"/>
  <c r="P17" i="1"/>
  <c r="Q19" i="1"/>
  <c r="P49" i="1"/>
  <c r="Q51" i="1"/>
  <c r="P81" i="1"/>
  <c r="Q83" i="1"/>
  <c r="P113" i="1"/>
  <c r="Q115" i="1"/>
  <c r="Q145" i="1"/>
  <c r="Q161" i="1"/>
  <c r="Q177" i="1"/>
  <c r="Q193" i="1"/>
  <c r="Q207" i="1"/>
  <c r="P224" i="1"/>
  <c r="Q232" i="1"/>
  <c r="P237" i="1"/>
  <c r="Q256" i="1"/>
  <c r="Q286" i="1"/>
  <c r="R314" i="1"/>
  <c r="Q314" i="1"/>
  <c r="Q316" i="1"/>
  <c r="R344" i="1"/>
  <c r="P344" i="1"/>
  <c r="Q344" i="1"/>
  <c r="R374" i="1"/>
  <c r="Q374" i="1"/>
  <c r="P374" i="1"/>
  <c r="P392" i="1"/>
  <c r="R470" i="1"/>
  <c r="Q470" i="1"/>
  <c r="P470" i="1"/>
  <c r="P526" i="1"/>
  <c r="Q569" i="1"/>
  <c r="R572" i="1"/>
  <c r="P575" i="1"/>
  <c r="Q617" i="1"/>
  <c r="R628" i="1"/>
  <c r="R639" i="1"/>
  <c r="P639" i="1"/>
  <c r="Q639" i="1"/>
  <c r="P659" i="1"/>
  <c r="Q714" i="1"/>
  <c r="P714" i="1"/>
  <c r="P717" i="1"/>
  <c r="Q588" i="1"/>
  <c r="P588" i="1"/>
  <c r="Q676" i="1"/>
  <c r="P676" i="1"/>
  <c r="R676" i="1"/>
  <c r="B4" i="2"/>
  <c r="Q17" i="1"/>
  <c r="Q49" i="1"/>
  <c r="Q81" i="1"/>
  <c r="Q113" i="1"/>
  <c r="Q224" i="1"/>
  <c r="Q237" i="1"/>
  <c r="Q392" i="1"/>
  <c r="R500" i="1"/>
  <c r="Q500" i="1"/>
  <c r="P500" i="1"/>
  <c r="Q526" i="1"/>
  <c r="I5" i="1"/>
  <c r="Q143" i="1"/>
  <c r="Q159" i="1"/>
  <c r="Q175" i="1"/>
  <c r="Q191" i="1"/>
  <c r="Q254" i="1"/>
  <c r="R282" i="1"/>
  <c r="Q282" i="1"/>
  <c r="Q284" i="1"/>
  <c r="Q390" i="1"/>
  <c r="Q424" i="1"/>
  <c r="P524" i="1"/>
  <c r="Q623" i="1"/>
  <c r="R714" i="1"/>
  <c r="Q630" i="1"/>
  <c r="P630" i="1"/>
  <c r="R312" i="1"/>
  <c r="P312" i="1"/>
  <c r="Q312" i="1"/>
  <c r="R342" i="1"/>
  <c r="Q342" i="1"/>
  <c r="P342" i="1"/>
  <c r="P454" i="1"/>
  <c r="P488" i="1"/>
  <c r="R522" i="1"/>
  <c r="Q522" i="1"/>
  <c r="Q559" i="1"/>
  <c r="R559" i="1"/>
  <c r="Q612" i="1"/>
  <c r="P612" i="1"/>
  <c r="Q660" i="1"/>
  <c r="P660" i="1"/>
  <c r="Q706" i="1"/>
  <c r="P706" i="1"/>
  <c r="R706" i="1"/>
  <c r="Q570" i="1"/>
  <c r="P570" i="1"/>
  <c r="R621" i="1"/>
  <c r="Q621" i="1"/>
  <c r="Q642" i="1"/>
  <c r="P642" i="1"/>
  <c r="R642" i="1"/>
  <c r="P212" i="1"/>
  <c r="P227" i="1"/>
  <c r="P244" i="1"/>
  <c r="P276" i="1"/>
  <c r="P308" i="1"/>
  <c r="P340" i="1"/>
  <c r="P372" i="1"/>
  <c r="P404" i="1"/>
  <c r="P436" i="1"/>
  <c r="P468" i="1"/>
  <c r="P498" i="1"/>
  <c r="P540" i="1"/>
  <c r="P557" i="1"/>
  <c r="Q562" i="1"/>
  <c r="P562" i="1"/>
  <c r="R562" i="1"/>
  <c r="Q573" i="1"/>
  <c r="P573" i="1"/>
  <c r="Q674" i="1"/>
  <c r="P674" i="1"/>
  <c r="R674" i="1"/>
  <c r="Q682" i="1"/>
  <c r="P682" i="1"/>
  <c r="R682" i="1"/>
  <c r="P701" i="1"/>
  <c r="Q712" i="1"/>
  <c r="P712" i="1"/>
  <c r="Q594" i="1"/>
  <c r="P594" i="1"/>
  <c r="R594" i="1"/>
  <c r="Q602" i="1"/>
  <c r="P602" i="1"/>
  <c r="Q626" i="1"/>
  <c r="P626" i="1"/>
  <c r="R626" i="1"/>
  <c r="Q666" i="1"/>
  <c r="P666" i="1"/>
  <c r="P210" i="1"/>
  <c r="Q212" i="1"/>
  <c r="P225" i="1"/>
  <c r="Q227" i="1"/>
  <c r="P242" i="1"/>
  <c r="Q244" i="1"/>
  <c r="P274" i="1"/>
  <c r="Q276" i="1"/>
  <c r="P306" i="1"/>
  <c r="Q308" i="1"/>
  <c r="P338" i="1"/>
  <c r="Q340" i="1"/>
  <c r="P370" i="1"/>
  <c r="Q372" i="1"/>
  <c r="P402" i="1"/>
  <c r="Q404" i="1"/>
  <c r="P434" i="1"/>
  <c r="Q436" i="1"/>
  <c r="P466" i="1"/>
  <c r="Q468" i="1"/>
  <c r="P496" i="1"/>
  <c r="Q498" i="1"/>
  <c r="R518" i="1"/>
  <c r="P518" i="1"/>
  <c r="P538" i="1"/>
  <c r="Q540" i="1"/>
  <c r="Q552" i="1"/>
  <c r="P552" i="1"/>
  <c r="Q557" i="1"/>
  <c r="R570" i="1"/>
  <c r="Q610" i="1"/>
  <c r="P610" i="1"/>
  <c r="R610" i="1"/>
  <c r="P621" i="1"/>
  <c r="P669" i="1"/>
  <c r="Q701" i="1"/>
  <c r="R715" i="1"/>
  <c r="Q715" i="1"/>
  <c r="P715" i="1"/>
  <c r="Q242" i="1"/>
  <c r="Q338" i="1"/>
  <c r="Q370" i="1"/>
  <c r="Q538" i="1"/>
  <c r="Q600" i="1"/>
  <c r="P600" i="1"/>
  <c r="Q658" i="1"/>
  <c r="P658" i="1"/>
  <c r="R658" i="1"/>
  <c r="Q669" i="1"/>
  <c r="Q696" i="1"/>
  <c r="P696" i="1"/>
  <c r="Q520" i="1"/>
  <c r="P520" i="1"/>
  <c r="Q650" i="1"/>
  <c r="P650" i="1"/>
  <c r="Q210" i="1"/>
  <c r="Q225" i="1"/>
  <c r="Q274" i="1"/>
  <c r="Q306" i="1"/>
  <c r="Q402" i="1"/>
  <c r="Q434" i="1"/>
  <c r="Q466" i="1"/>
  <c r="Q496" i="1"/>
  <c r="P206" i="1"/>
  <c r="P238" i="1"/>
  <c r="P270" i="1"/>
  <c r="P302" i="1"/>
  <c r="P334" i="1"/>
  <c r="Q336" i="1"/>
  <c r="P366" i="1"/>
  <c r="Q368" i="1"/>
  <c r="P398" i="1"/>
  <c r="Q400" i="1"/>
  <c r="P430" i="1"/>
  <c r="Q432" i="1"/>
  <c r="P462" i="1"/>
  <c r="Q464" i="1"/>
  <c r="Q518" i="1"/>
  <c r="R552" i="1"/>
  <c r="R555" i="1"/>
  <c r="Q555" i="1"/>
  <c r="Q584" i="1"/>
  <c r="P584" i="1"/>
  <c r="Q616" i="1"/>
  <c r="P616" i="1"/>
  <c r="R616" i="1"/>
  <c r="Q632" i="1"/>
  <c r="P632" i="1"/>
  <c r="Q648" i="1"/>
  <c r="P648" i="1"/>
  <c r="Q664" i="1"/>
  <c r="P664" i="1"/>
  <c r="R664" i="1"/>
  <c r="Q568" i="1"/>
  <c r="P568" i="1"/>
  <c r="Q578" i="1"/>
  <c r="P578" i="1"/>
  <c r="R578" i="1"/>
  <c r="R601" i="1"/>
  <c r="P601" i="1"/>
  <c r="Q634" i="1"/>
  <c r="P634" i="1"/>
  <c r="Q644" i="1"/>
  <c r="P644" i="1"/>
  <c r="Q700" i="1"/>
  <c r="P700" i="1"/>
  <c r="R553" i="1"/>
  <c r="P553" i="1"/>
  <c r="Q586" i="1"/>
  <c r="P586" i="1"/>
  <c r="Q596" i="1"/>
  <c r="P596" i="1"/>
  <c r="Q652" i="1"/>
  <c r="P652" i="1"/>
  <c r="Q710" i="1"/>
  <c r="P710" i="1"/>
  <c r="R700" i="1"/>
  <c r="P705" i="1"/>
  <c r="Q556" i="1"/>
  <c r="P556" i="1"/>
  <c r="Q614" i="1"/>
  <c r="P614" i="1"/>
  <c r="Q667" i="1"/>
  <c r="Q680" i="1"/>
  <c r="P680" i="1"/>
  <c r="Q690" i="1"/>
  <c r="P690" i="1"/>
  <c r="R690" i="1"/>
  <c r="R713" i="1"/>
  <c r="P713" i="1"/>
  <c r="Q560" i="1"/>
  <c r="P560" i="1"/>
  <c r="Q576" i="1"/>
  <c r="P576" i="1"/>
  <c r="Q592" i="1"/>
  <c r="P592" i="1"/>
  <c r="Q608" i="1"/>
  <c r="P608" i="1"/>
  <c r="Q624" i="1"/>
  <c r="P624" i="1"/>
  <c r="Q640" i="1"/>
  <c r="P640" i="1"/>
  <c r="Q656" i="1"/>
  <c r="P656" i="1"/>
  <c r="Q672" i="1"/>
  <c r="P672" i="1"/>
  <c r="Q688" i="1"/>
  <c r="P688" i="1"/>
  <c r="Q704" i="1"/>
  <c r="P704" i="1"/>
  <c r="P551" i="1"/>
  <c r="Q558" i="1"/>
  <c r="P558" i="1"/>
  <c r="R560" i="1"/>
  <c r="P567" i="1"/>
  <c r="Q574" i="1"/>
  <c r="P574" i="1"/>
  <c r="R576" i="1"/>
  <c r="P583" i="1"/>
  <c r="Q590" i="1"/>
  <c r="P590" i="1"/>
  <c r="R592" i="1"/>
  <c r="P599" i="1"/>
  <c r="Q606" i="1"/>
  <c r="P606" i="1"/>
  <c r="R608" i="1"/>
  <c r="P615" i="1"/>
  <c r="Q622" i="1"/>
  <c r="P622" i="1"/>
  <c r="R624" i="1"/>
  <c r="P631" i="1"/>
  <c r="Q638" i="1"/>
  <c r="P638" i="1"/>
  <c r="R640" i="1"/>
  <c r="P647" i="1"/>
  <c r="Q654" i="1"/>
  <c r="P654" i="1"/>
  <c r="R656" i="1"/>
  <c r="P663" i="1"/>
  <c r="Q670" i="1"/>
  <c r="P670" i="1"/>
  <c r="R672" i="1"/>
  <c r="P679" i="1"/>
  <c r="Q686" i="1"/>
  <c r="P686" i="1"/>
  <c r="R688" i="1"/>
  <c r="P695" i="1"/>
  <c r="Q702" i="1"/>
  <c r="P702" i="1"/>
  <c r="R704" i="1"/>
  <c r="P711" i="1"/>
  <c r="Q718" i="1"/>
  <c r="P718" i="1"/>
</calcChain>
</file>

<file path=xl/sharedStrings.xml><?xml version="1.0" encoding="utf-8"?>
<sst xmlns="http://schemas.openxmlformats.org/spreadsheetml/2006/main" count="5763" uniqueCount="697">
  <si>
    <t>VALORANT Personal Coach | Competitive Match History</t>
  </si>
  <si>
    <t>Match ID</t>
  </si>
  <si>
    <t>Date</t>
  </si>
  <si>
    <t>Map</t>
  </si>
  <si>
    <t>Placement</t>
  </si>
  <si>
    <t>Agent</t>
  </si>
  <si>
    <t>Team Score</t>
  </si>
  <si>
    <t>Opponent Score</t>
  </si>
  <si>
    <t>Result</t>
  </si>
  <si>
    <t>Win Flag</t>
  </si>
  <si>
    <t>Score Margin</t>
  </si>
  <si>
    <t>Rounds Played</t>
  </si>
  <si>
    <t>Kills</t>
  </si>
  <si>
    <t>Deaths</t>
  </si>
  <si>
    <t>Assists</t>
  </si>
  <si>
    <t>K/D</t>
  </si>
  <si>
    <t>Kills/Round</t>
  </si>
  <si>
    <t>Deaths/Round</t>
  </si>
  <si>
    <t>Assists/Round</t>
  </si>
  <si>
    <t>DDΔ (Per Round)</t>
  </si>
  <si>
    <t>HS%</t>
  </si>
  <si>
    <t>ACS</t>
  </si>
  <si>
    <t>TRS</t>
  </si>
  <si>
    <t>Lotus</t>
  </si>
  <si>
    <t>7th</t>
  </si>
  <si>
    <t>Cypher</t>
  </si>
  <si>
    <t>Sunset</t>
  </si>
  <si>
    <t>5th</t>
  </si>
  <si>
    <t>Brimstone</t>
  </si>
  <si>
    <t>Ascent</t>
  </si>
  <si>
    <t>8th</t>
  </si>
  <si>
    <t>10th</t>
  </si>
  <si>
    <t>9th</t>
  </si>
  <si>
    <t>Omen</t>
  </si>
  <si>
    <t>Split</t>
  </si>
  <si>
    <t>Abyss</t>
  </si>
  <si>
    <t>6th</t>
  </si>
  <si>
    <t>4th</t>
  </si>
  <si>
    <t>Sage</t>
  </si>
  <si>
    <t>Viper</t>
  </si>
  <si>
    <t>Haven</t>
  </si>
  <si>
    <t>Summit</t>
  </si>
  <si>
    <t>3rd</t>
  </si>
  <si>
    <t>Clove</t>
  </si>
  <si>
    <t>KAY/O</t>
  </si>
  <si>
    <t>Miks</t>
  </si>
  <si>
    <t>2nd</t>
  </si>
  <si>
    <t>Neon</t>
  </si>
  <si>
    <t>Skye</t>
  </si>
  <si>
    <t>Killjoy</t>
  </si>
  <si>
    <t>Yoru</t>
  </si>
  <si>
    <t>Tejo</t>
  </si>
  <si>
    <t>Gekko</t>
  </si>
  <si>
    <t>Veto</t>
  </si>
  <si>
    <t>Breeze</t>
  </si>
  <si>
    <t>Phoenix</t>
  </si>
  <si>
    <t>Raze</t>
  </si>
  <si>
    <t>Fade</t>
  </si>
  <si>
    <t>Sova</t>
  </si>
  <si>
    <t>Fracture</t>
  </si>
  <si>
    <t>Pearl</t>
  </si>
  <si>
    <t>Metric</t>
  </si>
  <si>
    <t>Value</t>
  </si>
  <si>
    <t>Matches</t>
  </si>
  <si>
    <t>Wins</t>
  </si>
  <si>
    <t>Losses</t>
  </si>
  <si>
    <t>Win Rate</t>
  </si>
  <si>
    <t>Total Kills</t>
  </si>
  <si>
    <t>Total Deaths</t>
  </si>
  <si>
    <t>Average ACS</t>
  </si>
  <si>
    <t>Average TRS</t>
  </si>
  <si>
    <t>Source Excel Row</t>
  </si>
  <si>
    <t>Raw KDA</t>
  </si>
  <si>
    <t>Original K/D</t>
  </si>
  <si>
    <t>Time Label</t>
  </si>
  <si>
    <t>13164</t>
  </si>
  <si>
    <t>8h agoCompetitive</t>
  </si>
  <si>
    <t>15177</t>
  </si>
  <si>
    <t>20228</t>
  </si>
  <si>
    <t>10h agoCompetitive</t>
  </si>
  <si>
    <t>3173</t>
  </si>
  <si>
    <t>102012</t>
  </si>
  <si>
    <t>11h agoCompetitive</t>
  </si>
  <si>
    <t>7122</t>
  </si>
  <si>
    <t>12h agoCompetitive</t>
  </si>
  <si>
    <t>8186</t>
  </si>
  <si>
    <t>19185</t>
  </si>
  <si>
    <t>13h agoCompetitive</t>
  </si>
  <si>
    <t>19157</t>
  </si>
  <si>
    <t>15h agoCompetitive</t>
  </si>
  <si>
    <t>15144</t>
  </si>
  <si>
    <t>19208</t>
  </si>
  <si>
    <t>16h agoCompetitive</t>
  </si>
  <si>
    <t>191910</t>
  </si>
  <si>
    <t>17h agoCompetitive</t>
  </si>
  <si>
    <t>10107</t>
  </si>
  <si>
    <t>1d agoCompetitive</t>
  </si>
  <si>
    <t>10185</t>
  </si>
  <si>
    <t>12166</t>
  </si>
  <si>
    <t>132113</t>
  </si>
  <si>
    <t>15138</t>
  </si>
  <si>
    <t>8145</t>
  </si>
  <si>
    <t>7140</t>
  </si>
  <si>
    <t>12114</t>
  </si>
  <si>
    <t>17172</t>
  </si>
  <si>
    <t>2092</t>
  </si>
  <si>
    <t>151411</t>
  </si>
  <si>
    <t>18143</t>
  </si>
  <si>
    <t>2d agoCompetitive</t>
  </si>
  <si>
    <t>15142</t>
  </si>
  <si>
    <t>321</t>
  </si>
  <si>
    <t>14154</t>
  </si>
  <si>
    <t>14185</t>
  </si>
  <si>
    <t>12209</t>
  </si>
  <si>
    <t>19188</t>
  </si>
  <si>
    <t>7198</t>
  </si>
  <si>
    <t>3d agoCompetitive</t>
  </si>
  <si>
    <t>8146</t>
  </si>
  <si>
    <t>71511</t>
  </si>
  <si>
    <t>343</t>
  </si>
  <si>
    <t>7205</t>
  </si>
  <si>
    <t>7165</t>
  </si>
  <si>
    <t>8167</t>
  </si>
  <si>
    <t>111812</t>
  </si>
  <si>
    <t>996</t>
  </si>
  <si>
    <t>17209</t>
  </si>
  <si>
    <t>15215</t>
  </si>
  <si>
    <t>4d agoCompetitive</t>
  </si>
  <si>
    <t>8133</t>
  </si>
  <si>
    <t>11155</t>
  </si>
  <si>
    <t>141510</t>
  </si>
  <si>
    <t>22109</t>
  </si>
  <si>
    <t>15146</t>
  </si>
  <si>
    <t>13156</t>
  </si>
  <si>
    <t>20159</t>
  </si>
  <si>
    <t>161110</t>
  </si>
  <si>
    <t>19187</t>
  </si>
  <si>
    <t>11186</t>
  </si>
  <si>
    <t>5d agoCompetitive</t>
  </si>
  <si>
    <t>21116</t>
  </si>
  <si>
    <t>12192</t>
  </si>
  <si>
    <t>14145</t>
  </si>
  <si>
    <t>41814</t>
  </si>
  <si>
    <t>6153</t>
  </si>
  <si>
    <t>10216</t>
  </si>
  <si>
    <t>9129</t>
  </si>
  <si>
    <t>11172</t>
  </si>
  <si>
    <t>15104</t>
  </si>
  <si>
    <t>16175</t>
  </si>
  <si>
    <t>6710</t>
  </si>
  <si>
    <t>12173</t>
  </si>
  <si>
    <t>202011</t>
  </si>
  <si>
    <t>10205</t>
  </si>
  <si>
    <t>15124</t>
  </si>
  <si>
    <t>6d agoCompetitive</t>
  </si>
  <si>
    <t>14246</t>
  </si>
  <si>
    <t>7143</t>
  </si>
  <si>
    <t>15208</t>
  </si>
  <si>
    <t>6174</t>
  </si>
  <si>
    <t>8159</t>
  </si>
  <si>
    <t>10167</t>
  </si>
  <si>
    <t>14187</t>
  </si>
  <si>
    <t>5203</t>
  </si>
  <si>
    <t>10131</t>
  </si>
  <si>
    <t>14216</t>
  </si>
  <si>
    <t>24165</t>
  </si>
  <si>
    <t>14107</t>
  </si>
  <si>
    <t>5116</t>
  </si>
  <si>
    <t>12207</t>
  </si>
  <si>
    <t>14192</t>
  </si>
  <si>
    <t>1w agoCompetitive</t>
  </si>
  <si>
    <t>17212</t>
  </si>
  <si>
    <t>1157</t>
  </si>
  <si>
    <t>263</t>
  </si>
  <si>
    <t>12154</t>
  </si>
  <si>
    <t>9158</t>
  </si>
  <si>
    <t>15145</t>
  </si>
  <si>
    <t>20145</t>
  </si>
  <si>
    <t>11178</t>
  </si>
  <si>
    <t>10135</t>
  </si>
  <si>
    <t>16115</t>
  </si>
  <si>
    <t>13147</t>
  </si>
  <si>
    <t>874</t>
  </si>
  <si>
    <t>16206</t>
  </si>
  <si>
    <t>13148</t>
  </si>
  <si>
    <t>18167</t>
  </si>
  <si>
    <t>81320</t>
  </si>
  <si>
    <t>14175</t>
  </si>
  <si>
    <t>8192</t>
  </si>
  <si>
    <t>12165</t>
  </si>
  <si>
    <t>11165</t>
  </si>
  <si>
    <t>13173</t>
  </si>
  <si>
    <t>15113</t>
  </si>
  <si>
    <t>14173</t>
  </si>
  <si>
    <t>3161</t>
  </si>
  <si>
    <t>102311</t>
  </si>
  <si>
    <t>10149</t>
  </si>
  <si>
    <t>28187</t>
  </si>
  <si>
    <t>1575</t>
  </si>
  <si>
    <t>4174</t>
  </si>
  <si>
    <t>9157</t>
  </si>
  <si>
    <t>12162</t>
  </si>
  <si>
    <t>13174</t>
  </si>
  <si>
    <t>16167</t>
  </si>
  <si>
    <t>16163</t>
  </si>
  <si>
    <t>14157</t>
  </si>
  <si>
    <t>7206</t>
  </si>
  <si>
    <t>14179</t>
  </si>
  <si>
    <t>8183</t>
  </si>
  <si>
    <t>14132</t>
  </si>
  <si>
    <t>1474</t>
  </si>
  <si>
    <t>8107</t>
  </si>
  <si>
    <t>25195</t>
  </si>
  <si>
    <t>4185</t>
  </si>
  <si>
    <t>11146</t>
  </si>
  <si>
    <t>7176</t>
  </si>
  <si>
    <t>12145</t>
  </si>
  <si>
    <t>15147</t>
  </si>
  <si>
    <t>14195</t>
  </si>
  <si>
    <t>20189</t>
  </si>
  <si>
    <t>131610</t>
  </si>
  <si>
    <t>8152</t>
  </si>
  <si>
    <t>11141</t>
  </si>
  <si>
    <t>10177</t>
  </si>
  <si>
    <t>1154</t>
  </si>
  <si>
    <t>17145</t>
  </si>
  <si>
    <t>12183</t>
  </si>
  <si>
    <t>7154</t>
  </si>
  <si>
    <t>2w agoCompetitive</t>
  </si>
  <si>
    <t>13155</t>
  </si>
  <si>
    <t>19186</t>
  </si>
  <si>
    <t>14214</t>
  </si>
  <si>
    <t>9132</t>
  </si>
  <si>
    <t>17204</t>
  </si>
  <si>
    <t>18166</t>
  </si>
  <si>
    <t>3133</t>
  </si>
  <si>
    <t>91611</t>
  </si>
  <si>
    <t>11163</t>
  </si>
  <si>
    <t>7156</t>
  </si>
  <si>
    <t>10143</t>
  </si>
  <si>
    <t>14163</t>
  </si>
  <si>
    <t>10150</t>
  </si>
  <si>
    <t>13123</t>
  </si>
  <si>
    <t>1783</t>
  </si>
  <si>
    <t>27159</t>
  </si>
  <si>
    <t>19163</t>
  </si>
  <si>
    <t>9156</t>
  </si>
  <si>
    <t>13126</t>
  </si>
  <si>
    <t>15132</t>
  </si>
  <si>
    <t>8177</t>
  </si>
  <si>
    <t>17226</t>
  </si>
  <si>
    <t>12102</t>
  </si>
  <si>
    <t>17141</t>
  </si>
  <si>
    <t>10193</t>
  </si>
  <si>
    <t>151710</t>
  </si>
  <si>
    <t>17165</t>
  </si>
  <si>
    <t>12164</t>
  </si>
  <si>
    <t>19228</t>
  </si>
  <si>
    <t>22207</t>
  </si>
  <si>
    <t>19176</t>
  </si>
  <si>
    <t>26154</t>
  </si>
  <si>
    <t>7130</t>
  </si>
  <si>
    <t>16172</t>
  </si>
  <si>
    <t>121610</t>
  </si>
  <si>
    <t>14134</t>
  </si>
  <si>
    <t>7173</t>
  </si>
  <si>
    <t>17201</t>
  </si>
  <si>
    <t>1294</t>
  </si>
  <si>
    <t>13153</t>
  </si>
  <si>
    <t>8151</t>
  </si>
  <si>
    <t>11135</t>
  </si>
  <si>
    <t>20121</t>
  </si>
  <si>
    <t>1675</t>
  </si>
  <si>
    <t>9196</t>
  </si>
  <si>
    <t>15154</t>
  </si>
  <si>
    <t>18173</t>
  </si>
  <si>
    <t>1594</t>
  </si>
  <si>
    <t>3w agoCompetitive</t>
  </si>
  <si>
    <t>1392</t>
  </si>
  <si>
    <t>16125</t>
  </si>
  <si>
    <t>18154</t>
  </si>
  <si>
    <t>21183</t>
  </si>
  <si>
    <t>20177</t>
  </si>
  <si>
    <t>222012</t>
  </si>
  <si>
    <t>2158</t>
  </si>
  <si>
    <t>895</t>
  </si>
  <si>
    <t>9131</t>
  </si>
  <si>
    <t>11162</t>
  </si>
  <si>
    <t>15184</t>
  </si>
  <si>
    <t>8187</t>
  </si>
  <si>
    <t>1163</t>
  </si>
  <si>
    <t>15175</t>
  </si>
  <si>
    <t>21141</t>
  </si>
  <si>
    <t>20205</t>
  </si>
  <si>
    <t>19193</t>
  </si>
  <si>
    <t>16141</t>
  </si>
  <si>
    <t>9114</t>
  </si>
  <si>
    <t>8219</t>
  </si>
  <si>
    <t>19156</t>
  </si>
  <si>
    <t>8181</t>
  </si>
  <si>
    <t>13142</t>
  </si>
  <si>
    <t>993</t>
  </si>
  <si>
    <t>19147</t>
  </si>
  <si>
    <t>20155</t>
  </si>
  <si>
    <t>221412</t>
  </si>
  <si>
    <t>1557</t>
  </si>
  <si>
    <t>26173</t>
  </si>
  <si>
    <t>10148</t>
  </si>
  <si>
    <t>7111</t>
  </si>
  <si>
    <t>9115</t>
  </si>
  <si>
    <t>966</t>
  </si>
  <si>
    <t>14198</t>
  </si>
  <si>
    <t>11142</t>
  </si>
  <si>
    <t>26184</t>
  </si>
  <si>
    <t>1388</t>
  </si>
  <si>
    <t>18176</t>
  </si>
  <si>
    <t>18215</t>
  </si>
  <si>
    <t>4w agoCompetitive</t>
  </si>
  <si>
    <t>7147</t>
  </si>
  <si>
    <t>852</t>
  </si>
  <si>
    <t>20194</t>
  </si>
  <si>
    <t>13143</t>
  </si>
  <si>
    <t>16166</t>
  </si>
  <si>
    <t>21174</t>
  </si>
  <si>
    <t>11175</t>
  </si>
  <si>
    <t>18145</t>
  </si>
  <si>
    <t>22171</t>
  </si>
  <si>
    <t>1091</t>
  </si>
  <si>
    <t>9152</t>
  </si>
  <si>
    <t>8153</t>
  </si>
  <si>
    <t>17174</t>
  </si>
  <si>
    <t>15137</t>
  </si>
  <si>
    <t>20109</t>
  </si>
  <si>
    <t>7161</t>
  </si>
  <si>
    <t>101710</t>
  </si>
  <si>
    <t>1mo agoCompetitive</t>
  </si>
  <si>
    <t>13135</t>
  </si>
  <si>
    <t>19135</t>
  </si>
  <si>
    <t>25127</t>
  </si>
  <si>
    <t>20185</t>
  </si>
  <si>
    <t>1885</t>
  </si>
  <si>
    <t>4144</t>
  </si>
  <si>
    <t>1762</t>
  </si>
  <si>
    <t>15152</t>
  </si>
  <si>
    <t>15143</t>
  </si>
  <si>
    <t>7133</t>
  </si>
  <si>
    <t>13104</t>
  </si>
  <si>
    <t>20172</t>
  </si>
  <si>
    <t>24162</t>
  </si>
  <si>
    <t>17113</t>
  </si>
  <si>
    <t>10153</t>
  </si>
  <si>
    <t>14141</t>
  </si>
  <si>
    <t>18174</t>
  </si>
  <si>
    <t>9125</t>
  </si>
  <si>
    <t>11184</t>
  </si>
  <si>
    <t>22168</t>
  </si>
  <si>
    <t>16181</t>
  </si>
  <si>
    <t>181510</t>
  </si>
  <si>
    <t>24226</t>
  </si>
  <si>
    <t>14155</t>
  </si>
  <si>
    <t>4152</t>
  </si>
  <si>
    <t>13163</t>
  </si>
  <si>
    <t>19174</t>
  </si>
  <si>
    <t>10208</t>
  </si>
  <si>
    <t>12194</t>
  </si>
  <si>
    <t>15204</t>
  </si>
  <si>
    <t>21244</t>
  </si>
  <si>
    <t>1493</t>
  </si>
  <si>
    <t>8173</t>
  </si>
  <si>
    <t>8144</t>
  </si>
  <si>
    <t>11195</t>
  </si>
  <si>
    <t>21142</t>
  </si>
  <si>
    <t>19196</t>
  </si>
  <si>
    <t>15135</t>
  </si>
  <si>
    <t>15103</t>
  </si>
  <si>
    <t>13165</t>
  </si>
  <si>
    <t>17173</t>
  </si>
  <si>
    <t>1265</t>
  </si>
  <si>
    <t>9173</t>
  </si>
  <si>
    <t>16104</t>
  </si>
  <si>
    <t>2123</t>
  </si>
  <si>
    <t>264</t>
  </si>
  <si>
    <t>10133</t>
  </si>
  <si>
    <t>12115</t>
  </si>
  <si>
    <t>19154</t>
  </si>
  <si>
    <t>25205</t>
  </si>
  <si>
    <t>12152</t>
  </si>
  <si>
    <t>16202</t>
  </si>
  <si>
    <t>5163</t>
  </si>
  <si>
    <t>2184</t>
  </si>
  <si>
    <t>12184</t>
  </si>
  <si>
    <t>651</t>
  </si>
  <si>
    <t>20168</t>
  </si>
  <si>
    <t>7136</t>
  </si>
  <si>
    <t>22153</t>
  </si>
  <si>
    <t>13133</t>
  </si>
  <si>
    <t>17117</t>
  </si>
  <si>
    <t>12122</t>
  </si>
  <si>
    <t>16147</t>
  </si>
  <si>
    <t>7152</t>
  </si>
  <si>
    <t>6157</t>
  </si>
  <si>
    <t>14180</t>
  </si>
  <si>
    <t>10172</t>
  </si>
  <si>
    <t>20178</t>
  </si>
  <si>
    <t>18136</t>
  </si>
  <si>
    <t>181910</t>
  </si>
  <si>
    <t>9153</t>
  </si>
  <si>
    <t>2097</t>
  </si>
  <si>
    <t>1592</t>
  </si>
  <si>
    <t>29183</t>
  </si>
  <si>
    <t>1099</t>
  </si>
  <si>
    <t>4198</t>
  </si>
  <si>
    <t>694</t>
  </si>
  <si>
    <t>21194</t>
  </si>
  <si>
    <t>8165</t>
  </si>
  <si>
    <t>11194</t>
  </si>
  <si>
    <t>17188</t>
  </si>
  <si>
    <t>13183</t>
  </si>
  <si>
    <t>16143</t>
  </si>
  <si>
    <t>16165</t>
  </si>
  <si>
    <t>15115</t>
  </si>
  <si>
    <t>20158</t>
  </si>
  <si>
    <t>14174</t>
  </si>
  <si>
    <t>12186</t>
  </si>
  <si>
    <t>22196</t>
  </si>
  <si>
    <t>11185</t>
  </si>
  <si>
    <t>453</t>
  </si>
  <si>
    <t>16133</t>
  </si>
  <si>
    <t>13211</t>
  </si>
  <si>
    <t>8143</t>
  </si>
  <si>
    <t>12178</t>
  </si>
  <si>
    <t>16148</t>
  </si>
  <si>
    <t>14152</t>
  </si>
  <si>
    <t>14176</t>
  </si>
  <si>
    <t>13145</t>
  </si>
  <si>
    <t>9212</t>
  </si>
  <si>
    <t>8168</t>
  </si>
  <si>
    <t>16157</t>
  </si>
  <si>
    <t>19192</t>
  </si>
  <si>
    <t>10186</t>
  </si>
  <si>
    <t>14164</t>
  </si>
  <si>
    <t>853</t>
  </si>
  <si>
    <t>17137</t>
  </si>
  <si>
    <t>19197</t>
  </si>
  <si>
    <t>1785</t>
  </si>
  <si>
    <t>15195</t>
  </si>
  <si>
    <t>9112</t>
  </si>
  <si>
    <t>12172</t>
  </si>
  <si>
    <t>10171</t>
  </si>
  <si>
    <t>11145</t>
  </si>
  <si>
    <t>12204</t>
  </si>
  <si>
    <t>10173</t>
  </si>
  <si>
    <t>17175</t>
  </si>
  <si>
    <t>13175</t>
  </si>
  <si>
    <t>17192</t>
  </si>
  <si>
    <t>16135</t>
  </si>
  <si>
    <t>18204</t>
  </si>
  <si>
    <t>11144</t>
  </si>
  <si>
    <t>30177</t>
  </si>
  <si>
    <t>1096</t>
  </si>
  <si>
    <t>21175</t>
  </si>
  <si>
    <t>6140</t>
  </si>
  <si>
    <t>14105</t>
  </si>
  <si>
    <t>8184</t>
  </si>
  <si>
    <t>24145</t>
  </si>
  <si>
    <t>15153</t>
  </si>
  <si>
    <t>22194</t>
  </si>
  <si>
    <t>102010</t>
  </si>
  <si>
    <t>18123</t>
  </si>
  <si>
    <t>16138</t>
  </si>
  <si>
    <t>5146</t>
  </si>
  <si>
    <t>13157</t>
  </si>
  <si>
    <t>1242</t>
  </si>
  <si>
    <t>13181</t>
  </si>
  <si>
    <t>81611</t>
  </si>
  <si>
    <t>2mo agoCompetitive</t>
  </si>
  <si>
    <t>12235</t>
  </si>
  <si>
    <t>3172</t>
  </si>
  <si>
    <t>10176</t>
  </si>
  <si>
    <t>28206</t>
  </si>
  <si>
    <t>16182</t>
  </si>
  <si>
    <t>10152</t>
  </si>
  <si>
    <t>5134</t>
  </si>
  <si>
    <t>20142</t>
  </si>
  <si>
    <t>16192</t>
  </si>
  <si>
    <t>26186</t>
  </si>
  <si>
    <t>21227</t>
  </si>
  <si>
    <t>7197</t>
  </si>
  <si>
    <t>18214</t>
  </si>
  <si>
    <t>9151</t>
  </si>
  <si>
    <t>5191</t>
  </si>
  <si>
    <t>6103</t>
  </si>
  <si>
    <t>18171</t>
  </si>
  <si>
    <t>19183</t>
  </si>
  <si>
    <t>7249</t>
  </si>
  <si>
    <t>16168</t>
  </si>
  <si>
    <t>251414</t>
  </si>
  <si>
    <t>18206</t>
  </si>
  <si>
    <t>14143</t>
  </si>
  <si>
    <t>16196</t>
  </si>
  <si>
    <t>18134</t>
  </si>
  <si>
    <t>8195</t>
  </si>
  <si>
    <t>16131</t>
  </si>
  <si>
    <t>18196</t>
  </si>
  <si>
    <t>14171</t>
  </si>
  <si>
    <t>13132</t>
  </si>
  <si>
    <t>26134</t>
  </si>
  <si>
    <t>613</t>
  </si>
  <si>
    <t>15187</t>
  </si>
  <si>
    <t>10124</t>
  </si>
  <si>
    <t>13154</t>
  </si>
  <si>
    <t>10141</t>
  </si>
  <si>
    <t>14135</t>
  </si>
  <si>
    <t>14125</t>
  </si>
  <si>
    <t>7145</t>
  </si>
  <si>
    <t>16203</t>
  </si>
  <si>
    <t>5142</t>
  </si>
  <si>
    <t>19164</t>
  </si>
  <si>
    <t>4187</t>
  </si>
  <si>
    <t>10187</t>
  </si>
  <si>
    <t>6166</t>
  </si>
  <si>
    <t>15179</t>
  </si>
  <si>
    <t>15185</t>
  </si>
  <si>
    <t>11235</t>
  </si>
  <si>
    <t>9164</t>
  </si>
  <si>
    <t>12224</t>
  </si>
  <si>
    <t>11113</t>
  </si>
  <si>
    <t>17167</t>
  </si>
  <si>
    <t>7142</t>
  </si>
  <si>
    <t>17126</t>
  </si>
  <si>
    <t>29179</t>
  </si>
  <si>
    <t>13217</t>
  </si>
  <si>
    <t>9141</t>
  </si>
  <si>
    <t>15134</t>
  </si>
  <si>
    <t>1283</t>
  </si>
  <si>
    <t>13195</t>
  </si>
  <si>
    <t>9145</t>
  </si>
  <si>
    <t>21156</t>
  </si>
  <si>
    <t>12132</t>
  </si>
  <si>
    <t>22173</t>
  </si>
  <si>
    <t>14172</t>
  </si>
  <si>
    <t>16145</t>
  </si>
  <si>
    <t>6164</t>
  </si>
  <si>
    <t>9185</t>
  </si>
  <si>
    <t>9120</t>
  </si>
  <si>
    <t>7184</t>
  </si>
  <si>
    <t>18116</t>
  </si>
  <si>
    <t>12140</t>
  </si>
  <si>
    <t>17185</t>
  </si>
  <si>
    <t>1196</t>
  </si>
  <si>
    <t>11187</t>
  </si>
  <si>
    <t>8164</t>
  </si>
  <si>
    <t>192010</t>
  </si>
  <si>
    <t>9181</t>
  </si>
  <si>
    <t>12151</t>
  </si>
  <si>
    <t>14182</t>
  </si>
  <si>
    <t>20212</t>
  </si>
  <si>
    <t>15205</t>
  </si>
  <si>
    <t>13139</t>
  </si>
  <si>
    <t>10161</t>
  </si>
  <si>
    <t>561</t>
  </si>
  <si>
    <t>8193</t>
  </si>
  <si>
    <t>11166</t>
  </si>
  <si>
    <t>11197</t>
  </si>
  <si>
    <t>10226</t>
  </si>
  <si>
    <t>11268</t>
  </si>
  <si>
    <t>10154</t>
  </si>
  <si>
    <t>6116</t>
  </si>
  <si>
    <t>11218</t>
  </si>
  <si>
    <t>14165</t>
  </si>
  <si>
    <t>7153</t>
  </si>
  <si>
    <t>12188</t>
  </si>
  <si>
    <t>12105</t>
  </si>
  <si>
    <t>19207</t>
  </si>
  <si>
    <t>20183</t>
  </si>
  <si>
    <t>9183</t>
  </si>
  <si>
    <t>3186</t>
  </si>
  <si>
    <t>10203</t>
  </si>
  <si>
    <t>15183</t>
  </si>
  <si>
    <t>11171</t>
  </si>
  <si>
    <t>8238</t>
  </si>
  <si>
    <t>18175</t>
  </si>
  <si>
    <t>10174</t>
  </si>
  <si>
    <t>14112</t>
  </si>
  <si>
    <t>10198</t>
  </si>
  <si>
    <t>11153</t>
  </si>
  <si>
    <t>101713</t>
  </si>
  <si>
    <t>18233</t>
  </si>
  <si>
    <t>22124</t>
  </si>
  <si>
    <t>6131</t>
  </si>
  <si>
    <t>11219</t>
  </si>
  <si>
    <t>12131</t>
  </si>
  <si>
    <t>8172</t>
  </si>
  <si>
    <t>4150</t>
  </si>
  <si>
    <t>12144</t>
  </si>
  <si>
    <t>9205</t>
  </si>
  <si>
    <t>6194</t>
  </si>
  <si>
    <t>11143</t>
  </si>
  <si>
    <t>16204</t>
  </si>
  <si>
    <t>1190</t>
  </si>
  <si>
    <t>16197</t>
  </si>
  <si>
    <t>13186</t>
  </si>
  <si>
    <t>12125</t>
  </si>
  <si>
    <t>8188</t>
  </si>
  <si>
    <t>11212</t>
  </si>
  <si>
    <t>17147</t>
  </si>
  <si>
    <t>11173</t>
  </si>
  <si>
    <t>12111</t>
  </si>
  <si>
    <t>6192</t>
  </si>
  <si>
    <t>13172</t>
  </si>
  <si>
    <t>18172</t>
  </si>
  <si>
    <t>3mo agoCompetitive</t>
  </si>
  <si>
    <t>23195</t>
  </si>
  <si>
    <t>10218</t>
  </si>
  <si>
    <t>21162</t>
  </si>
  <si>
    <t>16207</t>
  </si>
  <si>
    <t>7132</t>
  </si>
  <si>
    <t>261912</t>
  </si>
  <si>
    <t>992</t>
  </si>
  <si>
    <t>18110</t>
  </si>
  <si>
    <t>15182</t>
  </si>
  <si>
    <t>16184</t>
  </si>
  <si>
    <t>13200</t>
  </si>
  <si>
    <t>14186</t>
  </si>
  <si>
    <t>16236</t>
  </si>
  <si>
    <t>20174</t>
  </si>
  <si>
    <t>16183</t>
  </si>
  <si>
    <t>23178</t>
  </si>
  <si>
    <t>24215</t>
  </si>
  <si>
    <t>16205</t>
  </si>
  <si>
    <t>101711</t>
  </si>
  <si>
    <t>10163</t>
  </si>
  <si>
    <t>23155</t>
  </si>
  <si>
    <t>13171</t>
  </si>
  <si>
    <t>122413</t>
  </si>
  <si>
    <t>12176</t>
  </si>
  <si>
    <t>18177</t>
  </si>
  <si>
    <t>6152</t>
  </si>
  <si>
    <t>12179</t>
  </si>
  <si>
    <t>971</t>
  </si>
  <si>
    <t>4mo agoCompetitive</t>
  </si>
  <si>
    <t>16189</t>
  </si>
  <si>
    <t>41711</t>
  </si>
  <si>
    <t>111710</t>
  </si>
  <si>
    <t>21202</t>
  </si>
  <si>
    <t>161410</t>
  </si>
  <si>
    <t>7141</t>
  </si>
  <si>
    <t>9121</t>
  </si>
  <si>
    <t>14162</t>
  </si>
  <si>
    <t>1073</t>
  </si>
  <si>
    <t>15174</t>
  </si>
  <si>
    <t>14254</t>
  </si>
  <si>
    <t>15176</t>
  </si>
  <si>
    <t>23146</t>
  </si>
  <si>
    <t>8141</t>
  </si>
  <si>
    <t>7151</t>
  </si>
  <si>
    <t>15114</t>
  </si>
  <si>
    <t>10142</t>
  </si>
  <si>
    <t>11204</t>
  </si>
  <si>
    <t>18183</t>
  </si>
  <si>
    <t>14116</t>
  </si>
  <si>
    <t>91410</t>
  </si>
  <si>
    <t>6167</t>
  </si>
  <si>
    <t>17163</t>
  </si>
  <si>
    <t>882</t>
  </si>
  <si>
    <t>15216</t>
  </si>
  <si>
    <t>1792</t>
  </si>
  <si>
    <t>662</t>
  </si>
  <si>
    <t>15105</t>
  </si>
  <si>
    <t>14102</t>
  </si>
  <si>
    <t>1262</t>
  </si>
  <si>
    <t>8163</t>
  </si>
  <si>
    <t>12163</t>
  </si>
  <si>
    <t>12174</t>
  </si>
  <si>
    <t>14197</t>
  </si>
  <si>
    <t>9201</t>
  </si>
  <si>
    <t>16122</t>
  </si>
  <si>
    <t>1693</t>
  </si>
  <si>
    <t>17169</t>
  </si>
  <si>
    <t>9175</t>
  </si>
  <si>
    <t>10151</t>
  </si>
  <si>
    <t>181610</t>
  </si>
  <si>
    <t>430</t>
  </si>
  <si>
    <t>18205</t>
  </si>
  <si>
    <t>15136</t>
  </si>
  <si>
    <t>13144</t>
  </si>
  <si>
    <t>13176</t>
  </si>
  <si>
    <t>23172</t>
  </si>
  <si>
    <t>5161</t>
  </si>
  <si>
    <t>16186</t>
  </si>
  <si>
    <t>5151</t>
  </si>
  <si>
    <t>282210</t>
  </si>
  <si>
    <t>Source</t>
  </si>
  <si>
    <t>Matching rule</t>
  </si>
  <si>
    <t>visiondataset.xlsx embedded portrait</t>
  </si>
  <si>
    <t>Map, placement and both scores matched in sequence</t>
  </si>
  <si>
    <t>VISION | May–October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</si>
</sst>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5">
    <font>
      <sz val="11"/>
      <name val="Carlito"/>
    </font>
    <font>
      <b/>
      <sz val="11"/>
      <color rgb="FFFFFFFF"/>
      <name val="Carlito"/>
    </font>
    <font>
      <b/>
      <sz val="11"/>
      <color theme="1"/>
      <name val="Carlito"/>
    </font>
    <font>
      <b/>
      <sz val="18"/>
      <color theme="1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355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xfId="0" applyBorder="1"/>
    <xf numFmtId="0" fontId="1" fillId="2" borderId="0" xfId="0" applyFont="1" applyFill="1" applyBorder="1"/>
    <xf numFmtId="164" fontId="0" fillId="0" borderId="0" xfId="0" applyNumberFormat="1" applyBorder="1"/>
    <xf numFmtId="2" fontId="0" fillId="0" borderId="0" xfId="0" applyNumberFormat="1" applyBorder="1"/>
    <xf numFmtId="9" fontId="0" fillId="0" borderId="0" xfId="0" applyNumberFormat="1" applyBorder="1"/>
    <xf numFmtId="165" fontId="0" fillId="0" borderId="0" xfId="0" applyNumberFormat="1" applyBorder="1"/>
    <xf numFmtId="0" fontId="2" fillId="3" borderId="0" xfId="0" applyFont="1" applyFill="1" applyBorder="1" applyAlignment="1">
      <alignment wrapText="1"/>
    </xf>
    <xf numFmtId="0" fontId="4" fillId="3" borderId="1" xfId="0" applyFont="1" applyFill="1"/>
    <xf numFmtId="0" fontId="3" fillId="3" borderId="1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9"/>
  <sheetViews>
    <sheetView tabSelected="1" workbookViewId="0">
      <pane ySplit="4" topLeftCell="A5" activePane="bottomLeft" state="frozen"/>
      <selection pane="bottomLeft" activeCell="A7" sqref="A7"/>
    </sheetView>
  </sheetViews>
  <sheetFormatPr defaultRowHeight="13.5"/>
  <cols>
    <col min="1" max="1" width="13" customWidth="1"/>
    <col min="2" max="2" width="16" customWidth="1"/>
    <col min="3" max="3" width="15" customWidth="1"/>
    <col min="4" max="4" width="14" customWidth="1"/>
    <col min="5" max="5" width="13" customWidth="1"/>
    <col min="6" max="6" width="15" customWidth="1"/>
    <col min="7" max="7" width="17" customWidth="1"/>
    <col min="8" max="17" width="13" customWidth="1"/>
    <col min="18" max="18" width="13.875" customWidth="1"/>
    <col min="19" max="19" width="19" customWidth="1"/>
    <col min="20" max="22" width="13" customWidth="1"/>
  </cols>
  <sheetData>
    <row r="1" spans="1:22" ht="38" customHeight="1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25.05" customHeight="1">
      <c r="A2" s="7" t="s">
        <v>696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4" spans="1:22" ht="43.05" customHeight="1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18</v>
      </c>
      <c r="S4" s="6" t="s">
        <v>19</v>
      </c>
      <c r="T4" s="6" t="s">
        <v>20</v>
      </c>
      <c r="U4" s="6" t="s">
        <v>21</v>
      </c>
      <c r="V4" s="6" t="s">
        <v>22</v>
      </c>
    </row>
    <row r="5" spans="1:22">
      <c r="A5">
        <v>1</v>
      </c>
      <c r="B5" s="2">
        <v>46304</v>
      </c>
      <c r="C5" t="s">
        <v>23</v>
      </c>
      <c r="D5" t="s">
        <v>24</v>
      </c>
      <c r="E5" t="s">
        <v>25</v>
      </c>
      <c r="F5">
        <v>10</v>
      </c>
      <c r="G5">
        <v>13</v>
      </c>
      <c r="H5" t="str">
        <f t="shared" ref="H5:H68" si="0">IF(F5&gt;G5,"Win",IF(F5&lt;G5,"Loss","Draw"))</f>
        <v>Loss</v>
      </c>
      <c r="I5">
        <f t="shared" ref="I5:I68" si="1">IF(H5="Win",1,0)</f>
        <v>0</v>
      </c>
      <c r="J5">
        <f t="shared" ref="J5:J68" si="2">F5-G5</f>
        <v>-3</v>
      </c>
      <c r="K5">
        <f t="shared" ref="K5:K68" si="3">F5+G5</f>
        <v>23</v>
      </c>
      <c r="L5">
        <v>13</v>
      </c>
      <c r="M5">
        <v>16</v>
      </c>
      <c r="N5">
        <v>4</v>
      </c>
      <c r="O5" s="3">
        <f t="shared" ref="O5:O68" si="4">IFERROR(L5/M5,0)</f>
        <v>0.8125</v>
      </c>
      <c r="P5" s="3">
        <f t="shared" ref="P5:P68" si="5">IFERROR(L5/K5,0)</f>
        <v>0.56521739130434778</v>
      </c>
      <c r="Q5" s="3">
        <f t="shared" ref="Q5:Q68" si="6">IFERROR(M5/K5,0)</f>
        <v>0.69565217391304346</v>
      </c>
      <c r="R5" s="3">
        <f t="shared" ref="R5:R68" si="7">IFERROR(N5/K5,0)</f>
        <v>0.17391304347826086</v>
      </c>
      <c r="S5">
        <v>-17</v>
      </c>
      <c r="T5" s="4">
        <v>0.06</v>
      </c>
      <c r="U5">
        <v>171</v>
      </c>
      <c r="V5">
        <v>499</v>
      </c>
    </row>
    <row r="6" spans="1:22">
      <c r="A6">
        <v>2</v>
      </c>
      <c r="B6" s="2">
        <v>46304</v>
      </c>
      <c r="C6" t="s">
        <v>26</v>
      </c>
      <c r="D6" t="s">
        <v>27</v>
      </c>
      <c r="E6" t="s">
        <v>28</v>
      </c>
      <c r="F6">
        <v>13</v>
      </c>
      <c r="G6">
        <v>7</v>
      </c>
      <c r="H6" t="str">
        <f t="shared" si="0"/>
        <v>Win</v>
      </c>
      <c r="I6">
        <f t="shared" si="1"/>
        <v>1</v>
      </c>
      <c r="J6">
        <f t="shared" si="2"/>
        <v>6</v>
      </c>
      <c r="K6">
        <f t="shared" si="3"/>
        <v>20</v>
      </c>
      <c r="L6">
        <v>15</v>
      </c>
      <c r="M6">
        <v>17</v>
      </c>
      <c r="N6">
        <v>7</v>
      </c>
      <c r="O6" s="3">
        <f t="shared" si="4"/>
        <v>0.88235294117647056</v>
      </c>
      <c r="P6" s="3">
        <f t="shared" si="5"/>
        <v>0.75</v>
      </c>
      <c r="Q6" s="3">
        <f t="shared" si="6"/>
        <v>0.85</v>
      </c>
      <c r="R6" s="3">
        <f t="shared" si="7"/>
        <v>0.35</v>
      </c>
      <c r="S6">
        <v>-21</v>
      </c>
      <c r="T6" s="4">
        <v>7.0000000000000007E-2</v>
      </c>
      <c r="U6">
        <v>221</v>
      </c>
      <c r="V6">
        <v>618</v>
      </c>
    </row>
    <row r="7" spans="1:22">
      <c r="A7">
        <v>3</v>
      </c>
      <c r="B7" s="2">
        <v>46304</v>
      </c>
      <c r="C7" t="s">
        <v>29</v>
      </c>
      <c r="D7" t="s">
        <v>30</v>
      </c>
      <c r="E7" t="s">
        <v>25</v>
      </c>
      <c r="F7">
        <v>16</v>
      </c>
      <c r="G7">
        <v>14</v>
      </c>
      <c r="H7" t="str">
        <f t="shared" si="0"/>
        <v>Win</v>
      </c>
      <c r="I7">
        <f t="shared" si="1"/>
        <v>1</v>
      </c>
      <c r="J7">
        <f t="shared" si="2"/>
        <v>2</v>
      </c>
      <c r="K7">
        <f t="shared" si="3"/>
        <v>30</v>
      </c>
      <c r="L7">
        <v>20</v>
      </c>
      <c r="M7">
        <v>22</v>
      </c>
      <c r="N7">
        <v>8</v>
      </c>
      <c r="O7" s="3">
        <f t="shared" si="4"/>
        <v>0.90909090909090906</v>
      </c>
      <c r="P7" s="3">
        <f t="shared" si="5"/>
        <v>0.66666666666666663</v>
      </c>
      <c r="Q7" s="3">
        <f t="shared" si="6"/>
        <v>0.73333333333333328</v>
      </c>
      <c r="R7" s="3">
        <f t="shared" si="7"/>
        <v>0.26666666666666666</v>
      </c>
      <c r="S7">
        <v>6</v>
      </c>
      <c r="T7" s="4">
        <v>7.0000000000000007E-2</v>
      </c>
      <c r="U7">
        <v>203</v>
      </c>
      <c r="V7">
        <v>629</v>
      </c>
    </row>
    <row r="8" spans="1:22">
      <c r="A8">
        <v>4</v>
      </c>
      <c r="B8" s="2">
        <v>46304</v>
      </c>
      <c r="C8" t="s">
        <v>29</v>
      </c>
      <c r="D8" t="s">
        <v>31</v>
      </c>
      <c r="E8" t="s">
        <v>28</v>
      </c>
      <c r="F8">
        <v>5</v>
      </c>
      <c r="G8">
        <v>13</v>
      </c>
      <c r="H8" t="str">
        <f t="shared" si="0"/>
        <v>Loss</v>
      </c>
      <c r="I8">
        <f t="shared" si="1"/>
        <v>0</v>
      </c>
      <c r="J8">
        <f t="shared" si="2"/>
        <v>-8</v>
      </c>
      <c r="K8">
        <f t="shared" si="3"/>
        <v>18</v>
      </c>
      <c r="L8">
        <v>3</v>
      </c>
      <c r="M8">
        <v>17</v>
      </c>
      <c r="N8">
        <v>3</v>
      </c>
      <c r="O8" s="3">
        <f t="shared" si="4"/>
        <v>0.17647058823529413</v>
      </c>
      <c r="P8" s="3">
        <f t="shared" si="5"/>
        <v>0.16666666666666666</v>
      </c>
      <c r="Q8" s="3">
        <f t="shared" si="6"/>
        <v>0.94444444444444442</v>
      </c>
      <c r="R8" s="3">
        <f t="shared" si="7"/>
        <v>0.16666666666666666</v>
      </c>
      <c r="S8">
        <v>-106</v>
      </c>
      <c r="T8" s="4">
        <v>0.1</v>
      </c>
      <c r="U8">
        <v>68</v>
      </c>
      <c r="V8">
        <v>100</v>
      </c>
    </row>
    <row r="9" spans="1:22">
      <c r="A9">
        <v>5</v>
      </c>
      <c r="B9" s="2">
        <v>46303</v>
      </c>
      <c r="C9" t="s">
        <v>26</v>
      </c>
      <c r="D9" t="s">
        <v>30</v>
      </c>
      <c r="E9" t="s">
        <v>28</v>
      </c>
      <c r="F9">
        <v>13</v>
      </c>
      <c r="G9">
        <v>11</v>
      </c>
      <c r="H9" t="str">
        <f t="shared" si="0"/>
        <v>Win</v>
      </c>
      <c r="I9">
        <f t="shared" si="1"/>
        <v>1</v>
      </c>
      <c r="J9">
        <f t="shared" si="2"/>
        <v>2</v>
      </c>
      <c r="K9">
        <f t="shared" si="3"/>
        <v>24</v>
      </c>
      <c r="L9">
        <v>10</v>
      </c>
      <c r="M9">
        <v>20</v>
      </c>
      <c r="N9">
        <v>12</v>
      </c>
      <c r="O9" s="3">
        <f t="shared" si="4"/>
        <v>0.5</v>
      </c>
      <c r="P9" s="3">
        <f t="shared" si="5"/>
        <v>0.41666666666666669</v>
      </c>
      <c r="Q9" s="3">
        <f t="shared" si="6"/>
        <v>0.83333333333333337</v>
      </c>
      <c r="R9" s="3">
        <f t="shared" si="7"/>
        <v>0.5</v>
      </c>
      <c r="S9">
        <v>-53</v>
      </c>
      <c r="T9" s="4">
        <v>0.16</v>
      </c>
      <c r="U9">
        <v>132</v>
      </c>
      <c r="V9">
        <v>461</v>
      </c>
    </row>
    <row r="10" spans="1:22">
      <c r="A10">
        <v>6</v>
      </c>
      <c r="B10" s="2">
        <v>46303</v>
      </c>
      <c r="C10" t="s">
        <v>23</v>
      </c>
      <c r="D10" t="s">
        <v>32</v>
      </c>
      <c r="E10" t="s">
        <v>33</v>
      </c>
      <c r="F10">
        <v>13</v>
      </c>
      <c r="G10">
        <v>5</v>
      </c>
      <c r="H10" t="str">
        <f t="shared" si="0"/>
        <v>Win</v>
      </c>
      <c r="I10">
        <f t="shared" si="1"/>
        <v>1</v>
      </c>
      <c r="J10">
        <f t="shared" si="2"/>
        <v>8</v>
      </c>
      <c r="K10">
        <f t="shared" si="3"/>
        <v>18</v>
      </c>
      <c r="L10">
        <v>7</v>
      </c>
      <c r="M10">
        <v>12</v>
      </c>
      <c r="N10">
        <v>2</v>
      </c>
      <c r="O10" s="3">
        <f t="shared" si="4"/>
        <v>0.58333333333333337</v>
      </c>
      <c r="P10" s="3">
        <f t="shared" si="5"/>
        <v>0.3888888888888889</v>
      </c>
      <c r="Q10" s="3">
        <f t="shared" si="6"/>
        <v>0.66666666666666663</v>
      </c>
      <c r="R10" s="3">
        <f t="shared" si="7"/>
        <v>0.1111111111111111</v>
      </c>
      <c r="S10">
        <v>-39</v>
      </c>
      <c r="T10" s="4">
        <v>0.15</v>
      </c>
      <c r="U10">
        <v>105</v>
      </c>
      <c r="V10">
        <v>337</v>
      </c>
    </row>
    <row r="11" spans="1:22">
      <c r="A11">
        <v>7</v>
      </c>
      <c r="B11" s="2">
        <v>46303</v>
      </c>
      <c r="C11" t="s">
        <v>34</v>
      </c>
      <c r="D11" t="s">
        <v>32</v>
      </c>
      <c r="E11" t="s">
        <v>25</v>
      </c>
      <c r="F11">
        <v>9</v>
      </c>
      <c r="G11">
        <v>13</v>
      </c>
      <c r="H11" t="str">
        <f t="shared" si="0"/>
        <v>Loss</v>
      </c>
      <c r="I11">
        <f t="shared" si="1"/>
        <v>0</v>
      </c>
      <c r="J11">
        <f t="shared" si="2"/>
        <v>-4</v>
      </c>
      <c r="K11">
        <f t="shared" si="3"/>
        <v>22</v>
      </c>
      <c r="L11">
        <v>8</v>
      </c>
      <c r="M11">
        <v>18</v>
      </c>
      <c r="N11">
        <v>6</v>
      </c>
      <c r="O11" s="3">
        <f t="shared" si="4"/>
        <v>0.44444444444444442</v>
      </c>
      <c r="P11" s="3">
        <f t="shared" si="5"/>
        <v>0.36363636363636365</v>
      </c>
      <c r="Q11" s="3">
        <f t="shared" si="6"/>
        <v>0.81818181818181823</v>
      </c>
      <c r="R11" s="3">
        <f t="shared" si="7"/>
        <v>0.27272727272727271</v>
      </c>
      <c r="S11">
        <v>-43</v>
      </c>
      <c r="T11" s="4">
        <v>0.12</v>
      </c>
      <c r="U11">
        <v>132</v>
      </c>
      <c r="V11">
        <v>176</v>
      </c>
    </row>
    <row r="12" spans="1:22">
      <c r="A12">
        <v>8</v>
      </c>
      <c r="B12" s="2">
        <v>46303</v>
      </c>
      <c r="C12" t="s">
        <v>35</v>
      </c>
      <c r="D12" t="s">
        <v>36</v>
      </c>
      <c r="E12" t="s">
        <v>25</v>
      </c>
      <c r="F12">
        <v>11</v>
      </c>
      <c r="G12">
        <v>13</v>
      </c>
      <c r="H12" t="str">
        <f t="shared" si="0"/>
        <v>Loss</v>
      </c>
      <c r="I12">
        <f t="shared" si="1"/>
        <v>0</v>
      </c>
      <c r="J12">
        <f t="shared" si="2"/>
        <v>-2</v>
      </c>
      <c r="K12">
        <f t="shared" si="3"/>
        <v>24</v>
      </c>
      <c r="L12">
        <v>19</v>
      </c>
      <c r="M12">
        <v>18</v>
      </c>
      <c r="N12">
        <v>5</v>
      </c>
      <c r="O12" s="3">
        <f t="shared" si="4"/>
        <v>1.0555555555555556</v>
      </c>
      <c r="P12" s="3">
        <f t="shared" si="5"/>
        <v>0.79166666666666663</v>
      </c>
      <c r="Q12" s="3">
        <f t="shared" si="6"/>
        <v>0.75</v>
      </c>
      <c r="R12" s="3">
        <f t="shared" si="7"/>
        <v>0.20833333333333334</v>
      </c>
      <c r="S12">
        <v>57</v>
      </c>
      <c r="T12" s="4">
        <v>0.14000000000000001</v>
      </c>
      <c r="U12">
        <v>242</v>
      </c>
      <c r="V12">
        <v>677</v>
      </c>
    </row>
    <row r="13" spans="1:22">
      <c r="A13">
        <v>9</v>
      </c>
      <c r="B13" s="2">
        <v>46303</v>
      </c>
      <c r="C13" t="s">
        <v>23</v>
      </c>
      <c r="D13" t="s">
        <v>36</v>
      </c>
      <c r="E13" t="s">
        <v>25</v>
      </c>
      <c r="F13">
        <v>13</v>
      </c>
      <c r="G13">
        <v>10</v>
      </c>
      <c r="H13" t="str">
        <f t="shared" si="0"/>
        <v>Win</v>
      </c>
      <c r="I13">
        <f t="shared" si="1"/>
        <v>1</v>
      </c>
      <c r="J13">
        <f t="shared" si="2"/>
        <v>3</v>
      </c>
      <c r="K13">
        <f t="shared" si="3"/>
        <v>23</v>
      </c>
      <c r="L13">
        <v>19</v>
      </c>
      <c r="M13">
        <v>15</v>
      </c>
      <c r="N13">
        <v>7</v>
      </c>
      <c r="O13" s="3">
        <f t="shared" si="4"/>
        <v>1.2666666666666666</v>
      </c>
      <c r="P13" s="3">
        <f t="shared" si="5"/>
        <v>0.82608695652173914</v>
      </c>
      <c r="Q13" s="3">
        <f t="shared" si="6"/>
        <v>0.65217391304347827</v>
      </c>
      <c r="R13" s="3">
        <f t="shared" si="7"/>
        <v>0.30434782608695654</v>
      </c>
      <c r="S13">
        <v>26</v>
      </c>
      <c r="T13" s="4">
        <v>0.1</v>
      </c>
      <c r="U13">
        <v>234</v>
      </c>
      <c r="V13">
        <v>810</v>
      </c>
    </row>
    <row r="14" spans="1:22">
      <c r="A14">
        <v>10</v>
      </c>
      <c r="B14" s="2">
        <v>46303</v>
      </c>
      <c r="C14" t="s">
        <v>34</v>
      </c>
      <c r="D14" t="s">
        <v>24</v>
      </c>
      <c r="E14" t="s">
        <v>25</v>
      </c>
      <c r="F14">
        <v>13</v>
      </c>
      <c r="G14">
        <v>6</v>
      </c>
      <c r="H14" t="str">
        <f t="shared" si="0"/>
        <v>Win</v>
      </c>
      <c r="I14">
        <f t="shared" si="1"/>
        <v>1</v>
      </c>
      <c r="J14">
        <f t="shared" si="2"/>
        <v>7</v>
      </c>
      <c r="K14">
        <f t="shared" si="3"/>
        <v>19</v>
      </c>
      <c r="L14">
        <v>15</v>
      </c>
      <c r="M14">
        <v>14</v>
      </c>
      <c r="N14">
        <v>4</v>
      </c>
      <c r="O14" s="3">
        <f t="shared" si="4"/>
        <v>1.0714285714285714</v>
      </c>
      <c r="P14" s="3">
        <f t="shared" si="5"/>
        <v>0.78947368421052633</v>
      </c>
      <c r="Q14" s="3">
        <f t="shared" si="6"/>
        <v>0.73684210526315785</v>
      </c>
      <c r="R14" s="3">
        <f t="shared" si="7"/>
        <v>0.21052631578947367</v>
      </c>
      <c r="S14">
        <v>2</v>
      </c>
      <c r="T14" s="4">
        <v>0.12</v>
      </c>
      <c r="U14">
        <v>212</v>
      </c>
      <c r="V14">
        <v>753</v>
      </c>
    </row>
    <row r="15" spans="1:22">
      <c r="A15">
        <v>11</v>
      </c>
      <c r="B15" s="2">
        <v>46303</v>
      </c>
      <c r="C15" t="s">
        <v>29</v>
      </c>
      <c r="D15" t="s">
        <v>27</v>
      </c>
      <c r="E15" t="s">
        <v>25</v>
      </c>
      <c r="F15">
        <v>11</v>
      </c>
      <c r="G15">
        <v>13</v>
      </c>
      <c r="H15" t="str">
        <f t="shared" si="0"/>
        <v>Loss</v>
      </c>
      <c r="I15">
        <f t="shared" si="1"/>
        <v>0</v>
      </c>
      <c r="J15">
        <f t="shared" si="2"/>
        <v>-2</v>
      </c>
      <c r="K15">
        <f t="shared" si="3"/>
        <v>24</v>
      </c>
      <c r="L15">
        <v>19</v>
      </c>
      <c r="M15">
        <v>20</v>
      </c>
      <c r="N15">
        <v>8</v>
      </c>
      <c r="O15" s="3">
        <f t="shared" si="4"/>
        <v>0.95</v>
      </c>
      <c r="P15" s="3">
        <f t="shared" si="5"/>
        <v>0.79166666666666663</v>
      </c>
      <c r="Q15" s="3">
        <f t="shared" si="6"/>
        <v>0.83333333333333337</v>
      </c>
      <c r="R15" s="3">
        <f t="shared" si="7"/>
        <v>0.33333333333333331</v>
      </c>
      <c r="S15">
        <v>-3</v>
      </c>
      <c r="T15" s="4">
        <v>7.0000000000000007E-2</v>
      </c>
      <c r="U15">
        <v>245</v>
      </c>
      <c r="V15">
        <v>704</v>
      </c>
    </row>
    <row r="16" spans="1:22">
      <c r="A16">
        <v>12</v>
      </c>
      <c r="B16" s="2">
        <v>46303</v>
      </c>
      <c r="C16" t="s">
        <v>35</v>
      </c>
      <c r="D16" t="s">
        <v>37</v>
      </c>
      <c r="E16" t="s">
        <v>38</v>
      </c>
      <c r="F16">
        <v>13</v>
      </c>
      <c r="G16">
        <v>15</v>
      </c>
      <c r="H16" t="str">
        <f t="shared" si="0"/>
        <v>Loss</v>
      </c>
      <c r="I16">
        <f t="shared" si="1"/>
        <v>0</v>
      </c>
      <c r="J16">
        <f t="shared" si="2"/>
        <v>-2</v>
      </c>
      <c r="K16">
        <f t="shared" si="3"/>
        <v>28</v>
      </c>
      <c r="L16">
        <v>19</v>
      </c>
      <c r="M16">
        <v>19</v>
      </c>
      <c r="N16">
        <v>10</v>
      </c>
      <c r="O16" s="3">
        <f t="shared" si="4"/>
        <v>1</v>
      </c>
      <c r="P16" s="3">
        <f t="shared" si="5"/>
        <v>0.6785714285714286</v>
      </c>
      <c r="Q16" s="3">
        <f t="shared" si="6"/>
        <v>0.6785714285714286</v>
      </c>
      <c r="R16" s="3">
        <f t="shared" si="7"/>
        <v>0.35714285714285715</v>
      </c>
      <c r="S16">
        <v>21</v>
      </c>
      <c r="T16" s="4">
        <v>0.17</v>
      </c>
      <c r="U16">
        <v>206</v>
      </c>
      <c r="V16">
        <v>525</v>
      </c>
    </row>
    <row r="17" spans="1:22">
      <c r="A17">
        <v>13</v>
      </c>
      <c r="B17" s="2">
        <v>46303</v>
      </c>
      <c r="C17" t="s">
        <v>23</v>
      </c>
      <c r="D17" t="s">
        <v>24</v>
      </c>
      <c r="E17" t="s">
        <v>39</v>
      </c>
      <c r="F17">
        <v>13</v>
      </c>
      <c r="G17">
        <v>3</v>
      </c>
      <c r="H17" t="str">
        <f t="shared" si="0"/>
        <v>Win</v>
      </c>
      <c r="I17">
        <f t="shared" si="1"/>
        <v>1</v>
      </c>
      <c r="J17">
        <f t="shared" si="2"/>
        <v>10</v>
      </c>
      <c r="K17">
        <f t="shared" si="3"/>
        <v>16</v>
      </c>
      <c r="L17">
        <v>10</v>
      </c>
      <c r="M17">
        <v>10</v>
      </c>
      <c r="N17">
        <v>7</v>
      </c>
      <c r="O17" s="3">
        <f t="shared" si="4"/>
        <v>1</v>
      </c>
      <c r="P17" s="3">
        <f t="shared" si="5"/>
        <v>0.625</v>
      </c>
      <c r="Q17" s="3">
        <f t="shared" si="6"/>
        <v>0.625</v>
      </c>
      <c r="R17" s="3">
        <f t="shared" si="7"/>
        <v>0.4375</v>
      </c>
      <c r="S17">
        <v>-2</v>
      </c>
      <c r="T17" s="4">
        <v>0.25</v>
      </c>
      <c r="U17">
        <v>182</v>
      </c>
      <c r="V17">
        <v>590</v>
      </c>
    </row>
    <row r="18" spans="1:22">
      <c r="A18">
        <v>14</v>
      </c>
      <c r="B18" s="2">
        <v>46303</v>
      </c>
      <c r="C18" t="s">
        <v>35</v>
      </c>
      <c r="D18" t="s">
        <v>30</v>
      </c>
      <c r="E18" t="s">
        <v>28</v>
      </c>
      <c r="F18">
        <v>13</v>
      </c>
      <c r="G18">
        <v>8</v>
      </c>
      <c r="H18" t="str">
        <f>IF(F18&gt;G18,"Win",IF(F18&lt;G18,"Loss","Draw"))</f>
        <v>Win</v>
      </c>
      <c r="I18">
        <f t="shared" si="1"/>
        <v>1</v>
      </c>
      <c r="J18">
        <f t="shared" si="2"/>
        <v>5</v>
      </c>
      <c r="K18">
        <f t="shared" si="3"/>
        <v>21</v>
      </c>
      <c r="L18">
        <v>10</v>
      </c>
      <c r="M18">
        <v>18</v>
      </c>
      <c r="N18">
        <v>5</v>
      </c>
      <c r="O18" s="3">
        <f t="shared" si="4"/>
        <v>0.55555555555555558</v>
      </c>
      <c r="P18" s="3">
        <f t="shared" si="5"/>
        <v>0.47619047619047616</v>
      </c>
      <c r="Q18" s="3">
        <f t="shared" si="6"/>
        <v>0.8571428571428571</v>
      </c>
      <c r="R18" s="3">
        <f t="shared" si="7"/>
        <v>0.23809523809523808</v>
      </c>
      <c r="S18">
        <v>-70</v>
      </c>
      <c r="T18" s="4">
        <v>0.05</v>
      </c>
      <c r="U18">
        <v>138</v>
      </c>
      <c r="V18">
        <v>326</v>
      </c>
    </row>
    <row r="19" spans="1:22">
      <c r="A19">
        <v>15</v>
      </c>
      <c r="B19" s="2">
        <v>46303</v>
      </c>
      <c r="C19" t="s">
        <v>40</v>
      </c>
      <c r="D19" t="s">
        <v>24</v>
      </c>
      <c r="E19" t="s">
        <v>25</v>
      </c>
      <c r="F19">
        <v>9</v>
      </c>
      <c r="G19">
        <v>13</v>
      </c>
      <c r="H19" t="str">
        <f t="shared" si="0"/>
        <v>Loss</v>
      </c>
      <c r="I19">
        <f t="shared" si="1"/>
        <v>0</v>
      </c>
      <c r="J19">
        <f t="shared" si="2"/>
        <v>-4</v>
      </c>
      <c r="K19">
        <f t="shared" si="3"/>
        <v>22</v>
      </c>
      <c r="L19">
        <v>12</v>
      </c>
      <c r="M19">
        <v>16</v>
      </c>
      <c r="N19">
        <v>6</v>
      </c>
      <c r="O19" s="3">
        <f t="shared" si="4"/>
        <v>0.75</v>
      </c>
      <c r="P19" s="3">
        <f t="shared" si="5"/>
        <v>0.54545454545454541</v>
      </c>
      <c r="Q19" s="3">
        <f t="shared" si="6"/>
        <v>0.72727272727272729</v>
      </c>
      <c r="R19" s="3">
        <f t="shared" si="7"/>
        <v>0.27272727272727271</v>
      </c>
      <c r="S19">
        <v>-4</v>
      </c>
      <c r="T19" s="4">
        <v>0.13</v>
      </c>
      <c r="U19">
        <v>181</v>
      </c>
      <c r="V19">
        <v>365</v>
      </c>
    </row>
    <row r="20" spans="1:22">
      <c r="A20">
        <v>16</v>
      </c>
      <c r="B20" s="2">
        <v>46302</v>
      </c>
      <c r="C20" t="s">
        <v>29</v>
      </c>
      <c r="D20" t="s">
        <v>24</v>
      </c>
      <c r="E20" t="s">
        <v>28</v>
      </c>
      <c r="F20">
        <v>14</v>
      </c>
      <c r="G20">
        <v>12</v>
      </c>
      <c r="H20" t="str">
        <f t="shared" si="0"/>
        <v>Win</v>
      </c>
      <c r="I20">
        <f t="shared" si="1"/>
        <v>1</v>
      </c>
      <c r="J20">
        <f t="shared" si="2"/>
        <v>2</v>
      </c>
      <c r="K20">
        <f t="shared" si="3"/>
        <v>26</v>
      </c>
      <c r="L20">
        <v>13</v>
      </c>
      <c r="M20">
        <v>21</v>
      </c>
      <c r="N20">
        <v>13</v>
      </c>
      <c r="O20" s="3">
        <f t="shared" si="4"/>
        <v>0.61904761904761907</v>
      </c>
      <c r="P20" s="3">
        <f t="shared" si="5"/>
        <v>0.5</v>
      </c>
      <c r="Q20" s="3">
        <f t="shared" si="6"/>
        <v>0.80769230769230771</v>
      </c>
      <c r="R20" s="3">
        <f t="shared" si="7"/>
        <v>0.5</v>
      </c>
      <c r="S20">
        <v>-37</v>
      </c>
      <c r="T20" s="4">
        <v>0.12</v>
      </c>
      <c r="U20">
        <v>158</v>
      </c>
      <c r="V20">
        <v>397</v>
      </c>
    </row>
    <row r="21" spans="1:22">
      <c r="A21">
        <v>17</v>
      </c>
      <c r="B21" s="2">
        <v>46302</v>
      </c>
      <c r="C21" t="s">
        <v>41</v>
      </c>
      <c r="D21" t="s">
        <v>24</v>
      </c>
      <c r="E21" t="s">
        <v>28</v>
      </c>
      <c r="F21">
        <v>13</v>
      </c>
      <c r="G21">
        <v>9</v>
      </c>
      <c r="H21" t="str">
        <f t="shared" si="0"/>
        <v>Win</v>
      </c>
      <c r="I21">
        <f t="shared" si="1"/>
        <v>1</v>
      </c>
      <c r="J21">
        <f t="shared" si="2"/>
        <v>4</v>
      </c>
      <c r="K21">
        <f t="shared" si="3"/>
        <v>22</v>
      </c>
      <c r="L21">
        <v>15</v>
      </c>
      <c r="M21">
        <v>13</v>
      </c>
      <c r="N21">
        <v>8</v>
      </c>
      <c r="O21" s="3">
        <f t="shared" si="4"/>
        <v>1.1538461538461537</v>
      </c>
      <c r="P21" s="3">
        <f t="shared" si="5"/>
        <v>0.68181818181818177</v>
      </c>
      <c r="Q21" s="3">
        <f t="shared" si="6"/>
        <v>0.59090909090909094</v>
      </c>
      <c r="R21" s="3">
        <f t="shared" si="7"/>
        <v>0.36363636363636365</v>
      </c>
      <c r="S21">
        <v>30</v>
      </c>
      <c r="T21" s="4">
        <v>0.15</v>
      </c>
      <c r="U21">
        <v>204</v>
      </c>
      <c r="V21">
        <v>620</v>
      </c>
    </row>
    <row r="22" spans="1:22">
      <c r="A22">
        <v>18</v>
      </c>
      <c r="B22" s="2">
        <v>46302</v>
      </c>
      <c r="C22" t="s">
        <v>41</v>
      </c>
      <c r="D22" t="s">
        <v>32</v>
      </c>
      <c r="E22" t="s">
        <v>28</v>
      </c>
      <c r="F22">
        <v>5</v>
      </c>
      <c r="G22">
        <v>13</v>
      </c>
      <c r="H22" t="str">
        <f t="shared" si="0"/>
        <v>Loss</v>
      </c>
      <c r="I22">
        <f t="shared" si="1"/>
        <v>0</v>
      </c>
      <c r="J22">
        <f t="shared" si="2"/>
        <v>-8</v>
      </c>
      <c r="K22">
        <f t="shared" si="3"/>
        <v>18</v>
      </c>
      <c r="L22">
        <v>8</v>
      </c>
      <c r="M22">
        <v>14</v>
      </c>
      <c r="N22">
        <v>5</v>
      </c>
      <c r="O22" s="3">
        <f t="shared" si="4"/>
        <v>0.5714285714285714</v>
      </c>
      <c r="P22" s="3">
        <f t="shared" si="5"/>
        <v>0.44444444444444442</v>
      </c>
      <c r="Q22" s="3">
        <f t="shared" si="6"/>
        <v>0.77777777777777779</v>
      </c>
      <c r="R22" s="3">
        <f t="shared" si="7"/>
        <v>0.27777777777777779</v>
      </c>
      <c r="S22">
        <v>-67</v>
      </c>
      <c r="T22" s="4">
        <v>0.11</v>
      </c>
      <c r="U22">
        <v>128</v>
      </c>
      <c r="V22">
        <v>104</v>
      </c>
    </row>
    <row r="23" spans="1:22">
      <c r="A23">
        <v>19</v>
      </c>
      <c r="B23" s="2">
        <v>46302</v>
      </c>
      <c r="C23" t="s">
        <v>26</v>
      </c>
      <c r="D23" t="s">
        <v>32</v>
      </c>
      <c r="E23" t="s">
        <v>28</v>
      </c>
      <c r="F23">
        <v>5</v>
      </c>
      <c r="G23">
        <v>13</v>
      </c>
      <c r="H23" t="str">
        <f t="shared" si="0"/>
        <v>Loss</v>
      </c>
      <c r="I23">
        <f t="shared" si="1"/>
        <v>0</v>
      </c>
      <c r="J23">
        <f t="shared" si="2"/>
        <v>-8</v>
      </c>
      <c r="K23">
        <f t="shared" si="3"/>
        <v>18</v>
      </c>
      <c r="L23">
        <v>7</v>
      </c>
      <c r="M23">
        <v>14</v>
      </c>
      <c r="N23">
        <v>0</v>
      </c>
      <c r="O23" s="3">
        <f t="shared" si="4"/>
        <v>0.5</v>
      </c>
      <c r="P23" s="3">
        <f t="shared" si="5"/>
        <v>0.3888888888888889</v>
      </c>
      <c r="Q23" s="3">
        <f t="shared" si="6"/>
        <v>0.77777777777777779</v>
      </c>
      <c r="R23" s="3">
        <f t="shared" si="7"/>
        <v>0</v>
      </c>
      <c r="S23">
        <v>-44</v>
      </c>
      <c r="T23" s="4">
        <v>0.09</v>
      </c>
      <c r="U23">
        <v>123</v>
      </c>
      <c r="V23">
        <v>276</v>
      </c>
    </row>
    <row r="24" spans="1:22">
      <c r="A24">
        <v>20</v>
      </c>
      <c r="B24" s="2">
        <v>46302</v>
      </c>
      <c r="C24" t="s">
        <v>29</v>
      </c>
      <c r="D24" t="s">
        <v>27</v>
      </c>
      <c r="E24" t="s">
        <v>25</v>
      </c>
      <c r="F24">
        <v>13</v>
      </c>
      <c r="G24">
        <v>4</v>
      </c>
      <c r="H24" t="str">
        <f t="shared" si="0"/>
        <v>Win</v>
      </c>
      <c r="I24">
        <f t="shared" si="1"/>
        <v>1</v>
      </c>
      <c r="J24">
        <f t="shared" si="2"/>
        <v>9</v>
      </c>
      <c r="K24">
        <f t="shared" si="3"/>
        <v>17</v>
      </c>
      <c r="L24">
        <v>12</v>
      </c>
      <c r="M24">
        <v>11</v>
      </c>
      <c r="N24">
        <v>4</v>
      </c>
      <c r="O24" s="3">
        <f t="shared" si="4"/>
        <v>1.0909090909090908</v>
      </c>
      <c r="P24" s="3">
        <f t="shared" si="5"/>
        <v>0.70588235294117652</v>
      </c>
      <c r="Q24" s="3">
        <f t="shared" si="6"/>
        <v>0.6470588235294118</v>
      </c>
      <c r="R24" s="3">
        <f t="shared" si="7"/>
        <v>0.23529411764705882</v>
      </c>
      <c r="S24">
        <v>-9</v>
      </c>
      <c r="T24" s="4">
        <v>0.13</v>
      </c>
      <c r="U24">
        <v>173</v>
      </c>
      <c r="V24">
        <v>657</v>
      </c>
    </row>
    <row r="25" spans="1:22">
      <c r="A25">
        <v>21</v>
      </c>
      <c r="B25" s="2">
        <v>46302</v>
      </c>
      <c r="C25" t="s">
        <v>35</v>
      </c>
      <c r="D25" t="s">
        <v>42</v>
      </c>
      <c r="E25" t="s">
        <v>25</v>
      </c>
      <c r="F25">
        <v>10</v>
      </c>
      <c r="G25">
        <v>13</v>
      </c>
      <c r="H25" t="str">
        <f t="shared" si="0"/>
        <v>Loss</v>
      </c>
      <c r="I25">
        <f t="shared" si="1"/>
        <v>0</v>
      </c>
      <c r="J25">
        <f t="shared" si="2"/>
        <v>-3</v>
      </c>
      <c r="K25">
        <f t="shared" si="3"/>
        <v>23</v>
      </c>
      <c r="L25">
        <v>17</v>
      </c>
      <c r="M25">
        <v>17</v>
      </c>
      <c r="N25">
        <v>2</v>
      </c>
      <c r="O25" s="3">
        <f t="shared" si="4"/>
        <v>1</v>
      </c>
      <c r="P25" s="3">
        <f t="shared" si="5"/>
        <v>0.73913043478260865</v>
      </c>
      <c r="Q25" s="3">
        <f t="shared" si="6"/>
        <v>0.73913043478260865</v>
      </c>
      <c r="R25" s="3">
        <f t="shared" si="7"/>
        <v>8.6956521739130432E-2</v>
      </c>
      <c r="S25">
        <v>5</v>
      </c>
      <c r="T25" s="4">
        <v>0.08</v>
      </c>
      <c r="U25">
        <v>213</v>
      </c>
      <c r="V25">
        <v>487</v>
      </c>
    </row>
    <row r="26" spans="1:22">
      <c r="A26">
        <v>22</v>
      </c>
      <c r="B26" s="2">
        <v>46302</v>
      </c>
      <c r="C26" t="s">
        <v>40</v>
      </c>
      <c r="D26" t="s">
        <v>37</v>
      </c>
      <c r="E26" t="s">
        <v>25</v>
      </c>
      <c r="F26">
        <v>13</v>
      </c>
      <c r="G26">
        <v>7</v>
      </c>
      <c r="H26" t="str">
        <f t="shared" si="0"/>
        <v>Win</v>
      </c>
      <c r="I26">
        <f t="shared" si="1"/>
        <v>1</v>
      </c>
      <c r="J26">
        <f t="shared" si="2"/>
        <v>6</v>
      </c>
      <c r="K26">
        <f t="shared" si="3"/>
        <v>20</v>
      </c>
      <c r="L26">
        <v>20</v>
      </c>
      <c r="M26">
        <v>9</v>
      </c>
      <c r="N26">
        <v>2</v>
      </c>
      <c r="O26" s="3">
        <f t="shared" si="4"/>
        <v>2.2222222222222223</v>
      </c>
      <c r="P26" s="3">
        <f t="shared" si="5"/>
        <v>1</v>
      </c>
      <c r="Q26" s="3">
        <f t="shared" si="6"/>
        <v>0.45</v>
      </c>
      <c r="R26" s="3">
        <f t="shared" si="7"/>
        <v>0.1</v>
      </c>
      <c r="S26">
        <v>87</v>
      </c>
      <c r="T26" s="4">
        <v>0.09</v>
      </c>
      <c r="U26">
        <v>261</v>
      </c>
      <c r="V26">
        <v>872</v>
      </c>
    </row>
    <row r="27" spans="1:22">
      <c r="A27">
        <v>23</v>
      </c>
      <c r="B27" s="2">
        <v>46302</v>
      </c>
      <c r="C27" t="s">
        <v>26</v>
      </c>
      <c r="D27" t="s">
        <v>37</v>
      </c>
      <c r="E27" t="s">
        <v>28</v>
      </c>
      <c r="F27">
        <v>13</v>
      </c>
      <c r="G27">
        <v>11</v>
      </c>
      <c r="H27" t="str">
        <f t="shared" si="0"/>
        <v>Win</v>
      </c>
      <c r="I27">
        <f t="shared" si="1"/>
        <v>1</v>
      </c>
      <c r="J27">
        <f t="shared" si="2"/>
        <v>2</v>
      </c>
      <c r="K27">
        <f t="shared" si="3"/>
        <v>24</v>
      </c>
      <c r="L27">
        <v>15</v>
      </c>
      <c r="M27">
        <v>14</v>
      </c>
      <c r="N27">
        <v>11</v>
      </c>
      <c r="O27" s="3">
        <f t="shared" si="4"/>
        <v>1.0714285714285714</v>
      </c>
      <c r="P27" s="3">
        <f t="shared" si="5"/>
        <v>0.625</v>
      </c>
      <c r="Q27" s="3">
        <f t="shared" si="6"/>
        <v>0.58333333333333337</v>
      </c>
      <c r="R27" s="3">
        <f t="shared" si="7"/>
        <v>0.45833333333333331</v>
      </c>
      <c r="S27">
        <v>12</v>
      </c>
      <c r="T27" s="4">
        <v>0.16</v>
      </c>
      <c r="U27">
        <v>187</v>
      </c>
      <c r="V27">
        <v>512</v>
      </c>
    </row>
    <row r="28" spans="1:22">
      <c r="A28">
        <v>24</v>
      </c>
      <c r="B28" s="2">
        <v>46302</v>
      </c>
      <c r="C28" t="s">
        <v>34</v>
      </c>
      <c r="D28" t="s">
        <v>42</v>
      </c>
      <c r="E28" t="s">
        <v>25</v>
      </c>
      <c r="F28">
        <v>3</v>
      </c>
      <c r="G28">
        <v>13</v>
      </c>
      <c r="H28" t="str">
        <f t="shared" si="0"/>
        <v>Loss</v>
      </c>
      <c r="I28">
        <f t="shared" si="1"/>
        <v>0</v>
      </c>
      <c r="J28">
        <f t="shared" si="2"/>
        <v>-10</v>
      </c>
      <c r="K28">
        <f t="shared" si="3"/>
        <v>16</v>
      </c>
      <c r="L28">
        <v>18</v>
      </c>
      <c r="M28">
        <v>14</v>
      </c>
      <c r="N28">
        <v>3</v>
      </c>
      <c r="O28" s="3">
        <f t="shared" si="4"/>
        <v>1.2857142857142858</v>
      </c>
      <c r="P28" s="3">
        <f t="shared" si="5"/>
        <v>1.125</v>
      </c>
      <c r="Q28" s="3">
        <f t="shared" si="6"/>
        <v>0.875</v>
      </c>
      <c r="R28" s="3">
        <f t="shared" si="7"/>
        <v>0.1875</v>
      </c>
      <c r="S28">
        <v>41</v>
      </c>
      <c r="T28" s="4">
        <v>0.14000000000000001</v>
      </c>
      <c r="U28">
        <v>326</v>
      </c>
      <c r="V28">
        <v>807</v>
      </c>
    </row>
    <row r="29" spans="1:22">
      <c r="A29">
        <v>25</v>
      </c>
      <c r="B29" s="2">
        <v>46302</v>
      </c>
      <c r="C29" t="s">
        <v>23</v>
      </c>
      <c r="D29" t="s">
        <v>24</v>
      </c>
      <c r="E29" t="s">
        <v>28</v>
      </c>
      <c r="F29">
        <v>9</v>
      </c>
      <c r="G29">
        <v>13</v>
      </c>
      <c r="H29" t="str">
        <f t="shared" si="0"/>
        <v>Loss</v>
      </c>
      <c r="I29">
        <f t="shared" si="1"/>
        <v>0</v>
      </c>
      <c r="J29">
        <f t="shared" si="2"/>
        <v>-4</v>
      </c>
      <c r="K29">
        <f t="shared" si="3"/>
        <v>22</v>
      </c>
      <c r="L29">
        <v>15</v>
      </c>
      <c r="M29">
        <v>14</v>
      </c>
      <c r="N29">
        <v>2</v>
      </c>
      <c r="O29" s="3">
        <f t="shared" si="4"/>
        <v>1.0714285714285714</v>
      </c>
      <c r="P29" s="3">
        <f t="shared" si="5"/>
        <v>0.68181818181818177</v>
      </c>
      <c r="Q29" s="3">
        <f t="shared" si="6"/>
        <v>0.63636363636363635</v>
      </c>
      <c r="R29" s="3">
        <f t="shared" si="7"/>
        <v>9.0909090909090912E-2</v>
      </c>
      <c r="S29">
        <v>11</v>
      </c>
      <c r="T29" s="4">
        <v>0.04</v>
      </c>
      <c r="U29">
        <v>196</v>
      </c>
      <c r="V29">
        <v>486</v>
      </c>
    </row>
    <row r="30" spans="1:22">
      <c r="A30">
        <v>26</v>
      </c>
      <c r="B30" s="2">
        <v>46302</v>
      </c>
      <c r="C30" t="s">
        <v>34</v>
      </c>
      <c r="D30" t="s">
        <v>37</v>
      </c>
      <c r="E30" t="s">
        <v>25</v>
      </c>
      <c r="F30">
        <v>5</v>
      </c>
      <c r="G30">
        <v>1</v>
      </c>
      <c r="H30" t="str">
        <f t="shared" si="0"/>
        <v>Win</v>
      </c>
      <c r="I30">
        <f t="shared" si="1"/>
        <v>1</v>
      </c>
      <c r="J30">
        <f t="shared" si="2"/>
        <v>4</v>
      </c>
      <c r="K30">
        <f t="shared" si="3"/>
        <v>6</v>
      </c>
      <c r="L30">
        <v>3</v>
      </c>
      <c r="M30">
        <v>2</v>
      </c>
      <c r="N30">
        <v>1</v>
      </c>
      <c r="O30" s="3">
        <f t="shared" si="4"/>
        <v>1.5</v>
      </c>
      <c r="P30" s="3">
        <f t="shared" si="5"/>
        <v>0.5</v>
      </c>
      <c r="Q30" s="3">
        <f t="shared" si="6"/>
        <v>0.33333333333333331</v>
      </c>
      <c r="R30" s="3">
        <f t="shared" si="7"/>
        <v>0.16666666666666666</v>
      </c>
      <c r="S30">
        <v>34</v>
      </c>
      <c r="T30" s="4">
        <v>0.36</v>
      </c>
      <c r="U30">
        <v>130</v>
      </c>
      <c r="V30">
        <v>647</v>
      </c>
    </row>
    <row r="31" spans="1:22">
      <c r="A31">
        <v>27</v>
      </c>
      <c r="B31" s="2">
        <v>46302</v>
      </c>
      <c r="C31" t="s">
        <v>23</v>
      </c>
      <c r="D31" t="s">
        <v>36</v>
      </c>
      <c r="E31" t="s">
        <v>39</v>
      </c>
      <c r="F31">
        <v>9</v>
      </c>
      <c r="G31">
        <v>13</v>
      </c>
      <c r="H31" t="str">
        <f t="shared" si="0"/>
        <v>Loss</v>
      </c>
      <c r="I31">
        <f t="shared" si="1"/>
        <v>0</v>
      </c>
      <c r="J31">
        <f t="shared" si="2"/>
        <v>-4</v>
      </c>
      <c r="K31">
        <f t="shared" si="3"/>
        <v>22</v>
      </c>
      <c r="L31">
        <v>14</v>
      </c>
      <c r="M31">
        <v>15</v>
      </c>
      <c r="N31">
        <v>4</v>
      </c>
      <c r="O31" s="3">
        <f t="shared" si="4"/>
        <v>0.93333333333333335</v>
      </c>
      <c r="P31" s="3">
        <f t="shared" si="5"/>
        <v>0.63636363636363635</v>
      </c>
      <c r="Q31" s="3">
        <f t="shared" si="6"/>
        <v>0.68181818181818177</v>
      </c>
      <c r="R31" s="3">
        <f t="shared" si="7"/>
        <v>0.18181818181818182</v>
      </c>
      <c r="S31">
        <v>-34</v>
      </c>
      <c r="T31" s="4">
        <v>7.0000000000000007E-2</v>
      </c>
      <c r="U31">
        <v>166</v>
      </c>
      <c r="V31">
        <v>279</v>
      </c>
    </row>
    <row r="32" spans="1:22">
      <c r="A32">
        <v>28</v>
      </c>
      <c r="B32" s="2">
        <v>46301</v>
      </c>
      <c r="C32" t="s">
        <v>40</v>
      </c>
      <c r="D32" t="s">
        <v>37</v>
      </c>
      <c r="E32" t="s">
        <v>39</v>
      </c>
      <c r="F32">
        <v>10</v>
      </c>
      <c r="G32">
        <v>13</v>
      </c>
      <c r="H32" t="str">
        <f t="shared" si="0"/>
        <v>Loss</v>
      </c>
      <c r="I32">
        <f t="shared" si="1"/>
        <v>0</v>
      </c>
      <c r="J32">
        <f t="shared" si="2"/>
        <v>-3</v>
      </c>
      <c r="K32">
        <f t="shared" si="3"/>
        <v>23</v>
      </c>
      <c r="L32">
        <v>14</v>
      </c>
      <c r="M32">
        <v>18</v>
      </c>
      <c r="N32">
        <v>5</v>
      </c>
      <c r="O32" s="3">
        <f t="shared" si="4"/>
        <v>0.77777777777777779</v>
      </c>
      <c r="P32" s="3">
        <f t="shared" si="5"/>
        <v>0.60869565217391308</v>
      </c>
      <c r="Q32" s="3">
        <f t="shared" si="6"/>
        <v>0.78260869565217395</v>
      </c>
      <c r="R32" s="3">
        <f t="shared" si="7"/>
        <v>0.21739130434782608</v>
      </c>
      <c r="S32">
        <v>-17</v>
      </c>
      <c r="T32" s="4">
        <v>0.14000000000000001</v>
      </c>
      <c r="U32">
        <v>195</v>
      </c>
      <c r="V32">
        <v>542</v>
      </c>
    </row>
    <row r="33" spans="1:22">
      <c r="A33">
        <v>29</v>
      </c>
      <c r="B33" s="2">
        <v>46301</v>
      </c>
      <c r="C33" t="s">
        <v>29</v>
      </c>
      <c r="D33" t="s">
        <v>30</v>
      </c>
      <c r="E33" t="s">
        <v>43</v>
      </c>
      <c r="F33">
        <v>13</v>
      </c>
      <c r="G33">
        <v>10</v>
      </c>
      <c r="H33" t="str">
        <f t="shared" si="0"/>
        <v>Win</v>
      </c>
      <c r="I33">
        <f t="shared" si="1"/>
        <v>1</v>
      </c>
      <c r="J33">
        <f t="shared" si="2"/>
        <v>3</v>
      </c>
      <c r="K33">
        <f t="shared" si="3"/>
        <v>23</v>
      </c>
      <c r="L33">
        <v>12</v>
      </c>
      <c r="M33">
        <v>20</v>
      </c>
      <c r="N33">
        <v>9</v>
      </c>
      <c r="O33" s="3">
        <f t="shared" si="4"/>
        <v>0.6</v>
      </c>
      <c r="P33" s="3">
        <f t="shared" si="5"/>
        <v>0.52173913043478259</v>
      </c>
      <c r="Q33" s="3">
        <f t="shared" si="6"/>
        <v>0.86956521739130432</v>
      </c>
      <c r="R33" s="3">
        <f t="shared" si="7"/>
        <v>0.39130434782608697</v>
      </c>
      <c r="S33">
        <v>-11</v>
      </c>
      <c r="T33" s="4">
        <v>0.14000000000000001</v>
      </c>
      <c r="U33">
        <v>173</v>
      </c>
      <c r="V33">
        <v>449</v>
      </c>
    </row>
    <row r="34" spans="1:22">
      <c r="A34">
        <v>30</v>
      </c>
      <c r="B34" s="2">
        <v>46301</v>
      </c>
      <c r="C34" t="s">
        <v>26</v>
      </c>
      <c r="D34" t="s">
        <v>27</v>
      </c>
      <c r="E34" t="s">
        <v>28</v>
      </c>
      <c r="F34">
        <v>14</v>
      </c>
      <c r="G34">
        <v>12</v>
      </c>
      <c r="H34" t="str">
        <f t="shared" si="0"/>
        <v>Win</v>
      </c>
      <c r="I34">
        <f t="shared" si="1"/>
        <v>1</v>
      </c>
      <c r="J34">
        <f t="shared" si="2"/>
        <v>2</v>
      </c>
      <c r="K34">
        <f t="shared" si="3"/>
        <v>26</v>
      </c>
      <c r="L34">
        <v>19</v>
      </c>
      <c r="M34">
        <v>18</v>
      </c>
      <c r="N34">
        <v>8</v>
      </c>
      <c r="O34" s="3">
        <f t="shared" si="4"/>
        <v>1.0555555555555556</v>
      </c>
      <c r="P34" s="3">
        <f t="shared" si="5"/>
        <v>0.73076923076923073</v>
      </c>
      <c r="Q34" s="3">
        <f t="shared" si="6"/>
        <v>0.69230769230769229</v>
      </c>
      <c r="R34" s="3">
        <f t="shared" si="7"/>
        <v>0.30769230769230771</v>
      </c>
      <c r="S34">
        <v>28</v>
      </c>
      <c r="T34" s="4">
        <v>0.13</v>
      </c>
      <c r="U34">
        <v>223</v>
      </c>
      <c r="V34">
        <v>707</v>
      </c>
    </row>
    <row r="35" spans="1:22">
      <c r="A35">
        <v>31</v>
      </c>
      <c r="B35" s="2">
        <v>46301</v>
      </c>
      <c r="C35" t="s">
        <v>29</v>
      </c>
      <c r="D35" t="s">
        <v>30</v>
      </c>
      <c r="E35" t="s">
        <v>44</v>
      </c>
      <c r="F35">
        <v>13</v>
      </c>
      <c r="G35">
        <v>9</v>
      </c>
      <c r="H35" t="str">
        <f t="shared" si="0"/>
        <v>Win</v>
      </c>
      <c r="I35">
        <f t="shared" si="1"/>
        <v>1</v>
      </c>
      <c r="J35">
        <f t="shared" si="2"/>
        <v>4</v>
      </c>
      <c r="K35">
        <f t="shared" si="3"/>
        <v>22</v>
      </c>
      <c r="L35">
        <v>7</v>
      </c>
      <c r="M35">
        <v>19</v>
      </c>
      <c r="N35">
        <v>8</v>
      </c>
      <c r="O35" s="3">
        <f t="shared" si="4"/>
        <v>0.36842105263157893</v>
      </c>
      <c r="P35" s="3">
        <f t="shared" si="5"/>
        <v>0.31818181818181818</v>
      </c>
      <c r="Q35" s="3">
        <f t="shared" si="6"/>
        <v>0.86363636363636365</v>
      </c>
      <c r="R35" s="3">
        <f t="shared" si="7"/>
        <v>0.36363636363636365</v>
      </c>
      <c r="S35">
        <v>-37</v>
      </c>
      <c r="T35" s="4">
        <v>0.14000000000000001</v>
      </c>
      <c r="U35">
        <v>124</v>
      </c>
      <c r="V35">
        <v>289</v>
      </c>
    </row>
    <row r="36" spans="1:22">
      <c r="A36">
        <v>32</v>
      </c>
      <c r="B36" s="2">
        <v>46301</v>
      </c>
      <c r="C36" t="s">
        <v>40</v>
      </c>
      <c r="D36" t="s">
        <v>36</v>
      </c>
      <c r="E36" t="s">
        <v>25</v>
      </c>
      <c r="F36">
        <v>4</v>
      </c>
      <c r="G36">
        <v>13</v>
      </c>
      <c r="H36" t="str">
        <f t="shared" si="0"/>
        <v>Loss</v>
      </c>
      <c r="I36">
        <f t="shared" si="1"/>
        <v>0</v>
      </c>
      <c r="J36">
        <f t="shared" si="2"/>
        <v>-9</v>
      </c>
      <c r="K36">
        <f t="shared" si="3"/>
        <v>17</v>
      </c>
      <c r="L36">
        <v>8</v>
      </c>
      <c r="M36">
        <v>14</v>
      </c>
      <c r="N36">
        <v>6</v>
      </c>
      <c r="O36" s="3">
        <f t="shared" si="4"/>
        <v>0.5714285714285714</v>
      </c>
      <c r="P36" s="3">
        <f t="shared" si="5"/>
        <v>0.47058823529411764</v>
      </c>
      <c r="Q36" s="3">
        <f t="shared" si="6"/>
        <v>0.82352941176470584</v>
      </c>
      <c r="R36" s="3">
        <f t="shared" si="7"/>
        <v>0.35294117647058826</v>
      </c>
      <c r="S36">
        <v>-1</v>
      </c>
      <c r="T36" s="4">
        <v>0.17</v>
      </c>
      <c r="U36">
        <v>167</v>
      </c>
      <c r="V36">
        <v>393</v>
      </c>
    </row>
    <row r="37" spans="1:22">
      <c r="A37">
        <v>33</v>
      </c>
      <c r="B37" s="2">
        <v>46300</v>
      </c>
      <c r="C37" t="s">
        <v>35</v>
      </c>
      <c r="D37" t="s">
        <v>30</v>
      </c>
      <c r="E37" t="s">
        <v>28</v>
      </c>
      <c r="F37">
        <v>13</v>
      </c>
      <c r="G37">
        <v>11</v>
      </c>
      <c r="H37" t="str">
        <f t="shared" si="0"/>
        <v>Win</v>
      </c>
      <c r="I37">
        <f t="shared" si="1"/>
        <v>1</v>
      </c>
      <c r="J37">
        <f t="shared" si="2"/>
        <v>2</v>
      </c>
      <c r="K37">
        <f t="shared" si="3"/>
        <v>24</v>
      </c>
      <c r="L37">
        <v>7</v>
      </c>
      <c r="M37">
        <v>15</v>
      </c>
      <c r="N37">
        <v>11</v>
      </c>
      <c r="O37" s="3">
        <f t="shared" si="4"/>
        <v>0.46666666666666667</v>
      </c>
      <c r="P37" s="3">
        <f t="shared" si="5"/>
        <v>0.29166666666666669</v>
      </c>
      <c r="Q37" s="3">
        <f t="shared" si="6"/>
        <v>0.625</v>
      </c>
      <c r="R37" s="3">
        <f t="shared" si="7"/>
        <v>0.45833333333333331</v>
      </c>
      <c r="S37">
        <v>-21</v>
      </c>
      <c r="T37" s="4">
        <v>0.2</v>
      </c>
      <c r="U37">
        <v>104</v>
      </c>
      <c r="V37">
        <v>425</v>
      </c>
    </row>
    <row r="38" spans="1:22">
      <c r="A38">
        <v>34</v>
      </c>
      <c r="B38" s="2">
        <v>46300</v>
      </c>
      <c r="C38" t="s">
        <v>41</v>
      </c>
      <c r="D38" t="s">
        <v>24</v>
      </c>
      <c r="E38" t="s">
        <v>28</v>
      </c>
      <c r="F38">
        <v>5</v>
      </c>
      <c r="G38">
        <v>0</v>
      </c>
      <c r="H38" t="str">
        <f t="shared" si="0"/>
        <v>Win</v>
      </c>
      <c r="I38">
        <f t="shared" si="1"/>
        <v>1</v>
      </c>
      <c r="J38">
        <f t="shared" si="2"/>
        <v>5</v>
      </c>
      <c r="K38">
        <f t="shared" si="3"/>
        <v>5</v>
      </c>
      <c r="L38">
        <v>3</v>
      </c>
      <c r="M38">
        <v>4</v>
      </c>
      <c r="N38">
        <v>3</v>
      </c>
      <c r="O38" s="3">
        <f t="shared" si="4"/>
        <v>0.75</v>
      </c>
      <c r="P38" s="3">
        <f t="shared" si="5"/>
        <v>0.6</v>
      </c>
      <c r="Q38" s="3">
        <f t="shared" si="6"/>
        <v>0.8</v>
      </c>
      <c r="R38" s="3">
        <f t="shared" si="7"/>
        <v>0.6</v>
      </c>
      <c r="S38">
        <v>-98</v>
      </c>
      <c r="T38" s="4">
        <v>0</v>
      </c>
      <c r="U38">
        <v>132</v>
      </c>
      <c r="V38">
        <v>433</v>
      </c>
    </row>
    <row r="39" spans="1:22">
      <c r="A39">
        <v>35</v>
      </c>
      <c r="B39" s="2">
        <v>46300</v>
      </c>
      <c r="C39" t="s">
        <v>34</v>
      </c>
      <c r="D39" t="s">
        <v>31</v>
      </c>
      <c r="E39" t="s">
        <v>25</v>
      </c>
      <c r="F39">
        <v>13</v>
      </c>
      <c r="G39">
        <v>13</v>
      </c>
      <c r="H39" t="str">
        <f t="shared" si="0"/>
        <v>Draw</v>
      </c>
      <c r="I39">
        <f t="shared" si="1"/>
        <v>0</v>
      </c>
      <c r="J39">
        <f t="shared" si="2"/>
        <v>0</v>
      </c>
      <c r="K39">
        <f t="shared" si="3"/>
        <v>26</v>
      </c>
      <c r="L39">
        <v>7</v>
      </c>
      <c r="M39">
        <v>20</v>
      </c>
      <c r="N39">
        <v>5</v>
      </c>
      <c r="O39" s="3">
        <f t="shared" si="4"/>
        <v>0.35</v>
      </c>
      <c r="P39" s="3">
        <f t="shared" si="5"/>
        <v>0.26923076923076922</v>
      </c>
      <c r="Q39" s="3">
        <f t="shared" si="6"/>
        <v>0.76923076923076927</v>
      </c>
      <c r="R39" s="3">
        <f t="shared" si="7"/>
        <v>0.19230769230769232</v>
      </c>
      <c r="S39">
        <v>-83</v>
      </c>
      <c r="T39" s="4">
        <v>0.02</v>
      </c>
      <c r="U39">
        <v>88</v>
      </c>
      <c r="V39">
        <v>185</v>
      </c>
    </row>
    <row r="40" spans="1:22">
      <c r="A40">
        <v>36</v>
      </c>
      <c r="B40" s="2">
        <v>46300</v>
      </c>
      <c r="C40" t="s">
        <v>34</v>
      </c>
      <c r="D40" t="s">
        <v>31</v>
      </c>
      <c r="E40" t="s">
        <v>44</v>
      </c>
      <c r="F40">
        <v>4</v>
      </c>
      <c r="G40">
        <v>13</v>
      </c>
      <c r="H40" t="str">
        <f t="shared" si="0"/>
        <v>Loss</v>
      </c>
      <c r="I40">
        <f t="shared" si="1"/>
        <v>0</v>
      </c>
      <c r="J40">
        <f t="shared" si="2"/>
        <v>-9</v>
      </c>
      <c r="K40">
        <f t="shared" si="3"/>
        <v>17</v>
      </c>
      <c r="L40">
        <v>7</v>
      </c>
      <c r="M40">
        <v>16</v>
      </c>
      <c r="N40">
        <v>5</v>
      </c>
      <c r="O40" s="3">
        <f t="shared" si="4"/>
        <v>0.4375</v>
      </c>
      <c r="P40" s="3">
        <f t="shared" si="5"/>
        <v>0.41176470588235292</v>
      </c>
      <c r="Q40" s="3">
        <f t="shared" si="6"/>
        <v>0.94117647058823528</v>
      </c>
      <c r="R40" s="3">
        <f t="shared" si="7"/>
        <v>0.29411764705882354</v>
      </c>
      <c r="S40">
        <v>-93</v>
      </c>
      <c r="T40" s="4">
        <v>0.12</v>
      </c>
      <c r="U40">
        <v>122</v>
      </c>
      <c r="V40">
        <v>147</v>
      </c>
    </row>
    <row r="41" spans="1:22">
      <c r="A41">
        <v>37</v>
      </c>
      <c r="B41" s="2">
        <v>46300</v>
      </c>
      <c r="C41" t="s">
        <v>35</v>
      </c>
      <c r="D41" t="s">
        <v>31</v>
      </c>
      <c r="E41" t="s">
        <v>44</v>
      </c>
      <c r="F41">
        <v>9</v>
      </c>
      <c r="G41">
        <v>13</v>
      </c>
      <c r="H41" t="str">
        <f t="shared" si="0"/>
        <v>Loss</v>
      </c>
      <c r="I41">
        <f t="shared" si="1"/>
        <v>0</v>
      </c>
      <c r="J41">
        <f t="shared" si="2"/>
        <v>-4</v>
      </c>
      <c r="K41">
        <f t="shared" si="3"/>
        <v>22</v>
      </c>
      <c r="L41">
        <v>8</v>
      </c>
      <c r="M41">
        <v>16</v>
      </c>
      <c r="N41">
        <v>7</v>
      </c>
      <c r="O41" s="3">
        <f t="shared" si="4"/>
        <v>0.5</v>
      </c>
      <c r="P41" s="3">
        <f t="shared" si="5"/>
        <v>0.36363636363636365</v>
      </c>
      <c r="Q41" s="3">
        <f t="shared" si="6"/>
        <v>0.72727272727272729</v>
      </c>
      <c r="R41" s="3">
        <f t="shared" si="7"/>
        <v>0.31818181818181818</v>
      </c>
      <c r="S41">
        <v>-29</v>
      </c>
      <c r="T41" s="4">
        <v>0.1</v>
      </c>
      <c r="U41">
        <v>130</v>
      </c>
      <c r="V41">
        <v>237</v>
      </c>
    </row>
    <row r="42" spans="1:22">
      <c r="A42">
        <v>38</v>
      </c>
      <c r="B42" s="2">
        <v>46300</v>
      </c>
      <c r="C42" t="s">
        <v>23</v>
      </c>
      <c r="D42" t="s">
        <v>24</v>
      </c>
      <c r="E42" t="s">
        <v>44</v>
      </c>
      <c r="F42">
        <v>13</v>
      </c>
      <c r="G42">
        <v>10</v>
      </c>
      <c r="H42" t="str">
        <f t="shared" si="0"/>
        <v>Win</v>
      </c>
      <c r="I42">
        <f t="shared" si="1"/>
        <v>1</v>
      </c>
      <c r="J42">
        <f t="shared" si="2"/>
        <v>3</v>
      </c>
      <c r="K42">
        <f t="shared" si="3"/>
        <v>23</v>
      </c>
      <c r="L42">
        <v>11</v>
      </c>
      <c r="M42">
        <v>18</v>
      </c>
      <c r="N42">
        <v>12</v>
      </c>
      <c r="O42" s="3">
        <f t="shared" si="4"/>
        <v>0.61111111111111116</v>
      </c>
      <c r="P42" s="3">
        <f t="shared" si="5"/>
        <v>0.47826086956521741</v>
      </c>
      <c r="Q42" s="3">
        <f t="shared" si="6"/>
        <v>0.78260869565217395</v>
      </c>
      <c r="R42" s="3">
        <f t="shared" si="7"/>
        <v>0.52173913043478259</v>
      </c>
      <c r="S42">
        <v>-7</v>
      </c>
      <c r="T42" s="4">
        <v>0.15</v>
      </c>
      <c r="U42">
        <v>161</v>
      </c>
      <c r="V42">
        <v>562</v>
      </c>
    </row>
    <row r="43" spans="1:22">
      <c r="A43">
        <v>39</v>
      </c>
      <c r="B43" s="2">
        <v>46300</v>
      </c>
      <c r="C43" t="s">
        <v>34</v>
      </c>
      <c r="D43" t="s">
        <v>24</v>
      </c>
      <c r="E43" t="s">
        <v>25</v>
      </c>
      <c r="F43">
        <v>13</v>
      </c>
      <c r="G43">
        <v>4</v>
      </c>
      <c r="H43" t="str">
        <f t="shared" si="0"/>
        <v>Win</v>
      </c>
      <c r="I43">
        <f t="shared" si="1"/>
        <v>1</v>
      </c>
      <c r="J43">
        <f t="shared" si="2"/>
        <v>9</v>
      </c>
      <c r="K43">
        <f t="shared" si="3"/>
        <v>17</v>
      </c>
      <c r="L43">
        <v>9</v>
      </c>
      <c r="M43">
        <v>9</v>
      </c>
      <c r="N43">
        <v>6</v>
      </c>
      <c r="O43" s="3">
        <f t="shared" si="4"/>
        <v>1</v>
      </c>
      <c r="P43" s="3">
        <f t="shared" si="5"/>
        <v>0.52941176470588236</v>
      </c>
      <c r="Q43" s="3">
        <f t="shared" si="6"/>
        <v>0.52941176470588236</v>
      </c>
      <c r="R43" s="3">
        <f t="shared" si="7"/>
        <v>0.35294117647058826</v>
      </c>
      <c r="S43">
        <v>10</v>
      </c>
      <c r="T43" s="4">
        <v>0.15</v>
      </c>
      <c r="U43">
        <v>169</v>
      </c>
      <c r="V43">
        <v>602</v>
      </c>
    </row>
    <row r="44" spans="1:22">
      <c r="A44">
        <v>40</v>
      </c>
      <c r="B44" s="2">
        <v>46300</v>
      </c>
      <c r="C44" t="s">
        <v>26</v>
      </c>
      <c r="D44" t="s">
        <v>27</v>
      </c>
      <c r="E44" t="s">
        <v>28</v>
      </c>
      <c r="F44">
        <v>12</v>
      </c>
      <c r="G44">
        <v>14</v>
      </c>
      <c r="H44" t="str">
        <f t="shared" si="0"/>
        <v>Loss</v>
      </c>
      <c r="I44">
        <f t="shared" si="1"/>
        <v>0</v>
      </c>
      <c r="J44">
        <f t="shared" si="2"/>
        <v>-2</v>
      </c>
      <c r="K44">
        <f t="shared" si="3"/>
        <v>26</v>
      </c>
      <c r="L44">
        <v>17</v>
      </c>
      <c r="M44">
        <v>20</v>
      </c>
      <c r="N44">
        <v>9</v>
      </c>
      <c r="O44" s="3">
        <f t="shared" si="4"/>
        <v>0.85</v>
      </c>
      <c r="P44" s="3">
        <f t="shared" si="5"/>
        <v>0.65384615384615385</v>
      </c>
      <c r="Q44" s="3">
        <f t="shared" si="6"/>
        <v>0.76923076923076927</v>
      </c>
      <c r="R44" s="3">
        <f t="shared" si="7"/>
        <v>0.34615384615384615</v>
      </c>
      <c r="S44">
        <v>-8</v>
      </c>
      <c r="T44" s="4">
        <v>0.16</v>
      </c>
      <c r="U44">
        <v>197</v>
      </c>
      <c r="V44">
        <v>523</v>
      </c>
    </row>
    <row r="45" spans="1:22">
      <c r="A45">
        <v>41</v>
      </c>
      <c r="B45" s="2">
        <v>46300</v>
      </c>
      <c r="C45" t="s">
        <v>26</v>
      </c>
      <c r="D45" t="s">
        <v>32</v>
      </c>
      <c r="E45" t="s">
        <v>28</v>
      </c>
      <c r="F45">
        <v>14</v>
      </c>
      <c r="G45">
        <v>16</v>
      </c>
      <c r="H45" t="str">
        <f t="shared" si="0"/>
        <v>Loss</v>
      </c>
      <c r="I45">
        <f t="shared" si="1"/>
        <v>0</v>
      </c>
      <c r="J45">
        <f t="shared" si="2"/>
        <v>-2</v>
      </c>
      <c r="K45">
        <f t="shared" si="3"/>
        <v>30</v>
      </c>
      <c r="L45">
        <v>15</v>
      </c>
      <c r="M45">
        <v>21</v>
      </c>
      <c r="N45">
        <v>5</v>
      </c>
      <c r="O45" s="3">
        <f t="shared" si="4"/>
        <v>0.7142857142857143</v>
      </c>
      <c r="P45" s="3">
        <f t="shared" si="5"/>
        <v>0.5</v>
      </c>
      <c r="Q45" s="3">
        <f t="shared" si="6"/>
        <v>0.7</v>
      </c>
      <c r="R45" s="3">
        <f t="shared" si="7"/>
        <v>0.16666666666666666</v>
      </c>
      <c r="S45">
        <v>-36</v>
      </c>
      <c r="T45" s="4">
        <v>0.18</v>
      </c>
      <c r="U45">
        <v>148</v>
      </c>
      <c r="V45">
        <v>263</v>
      </c>
    </row>
    <row r="46" spans="1:22">
      <c r="A46">
        <v>42</v>
      </c>
      <c r="B46" s="2">
        <v>46299</v>
      </c>
      <c r="C46" t="s">
        <v>23</v>
      </c>
      <c r="D46" t="s">
        <v>32</v>
      </c>
      <c r="E46" t="s">
        <v>25</v>
      </c>
      <c r="F46">
        <v>13</v>
      </c>
      <c r="G46">
        <v>10</v>
      </c>
      <c r="H46" t="str">
        <f t="shared" si="0"/>
        <v>Win</v>
      </c>
      <c r="I46">
        <f t="shared" si="1"/>
        <v>1</v>
      </c>
      <c r="J46">
        <f t="shared" si="2"/>
        <v>3</v>
      </c>
      <c r="K46">
        <f t="shared" si="3"/>
        <v>23</v>
      </c>
      <c r="L46">
        <v>8</v>
      </c>
      <c r="M46">
        <v>13</v>
      </c>
      <c r="N46">
        <v>3</v>
      </c>
      <c r="O46" s="3">
        <f t="shared" si="4"/>
        <v>0.61538461538461542</v>
      </c>
      <c r="P46" s="3">
        <f t="shared" si="5"/>
        <v>0.34782608695652173</v>
      </c>
      <c r="Q46" s="3">
        <f t="shared" si="6"/>
        <v>0.56521739130434778</v>
      </c>
      <c r="R46" s="3">
        <f t="shared" si="7"/>
        <v>0.13043478260869565</v>
      </c>
      <c r="S46">
        <v>-24</v>
      </c>
      <c r="T46" s="4">
        <v>0.21</v>
      </c>
      <c r="U46">
        <v>106</v>
      </c>
      <c r="V46">
        <v>276</v>
      </c>
    </row>
    <row r="47" spans="1:22">
      <c r="A47">
        <v>43</v>
      </c>
      <c r="B47" s="2">
        <v>46299</v>
      </c>
      <c r="C47" t="s">
        <v>40</v>
      </c>
      <c r="D47" t="s">
        <v>32</v>
      </c>
      <c r="E47" t="s">
        <v>25</v>
      </c>
      <c r="F47">
        <v>13</v>
      </c>
      <c r="G47">
        <v>8</v>
      </c>
      <c r="H47" t="str">
        <f t="shared" si="0"/>
        <v>Win</v>
      </c>
      <c r="I47">
        <f t="shared" si="1"/>
        <v>1</v>
      </c>
      <c r="J47">
        <f t="shared" si="2"/>
        <v>5</v>
      </c>
      <c r="K47">
        <f t="shared" si="3"/>
        <v>21</v>
      </c>
      <c r="L47">
        <v>11</v>
      </c>
      <c r="M47">
        <v>15</v>
      </c>
      <c r="N47">
        <v>5</v>
      </c>
      <c r="O47" s="3">
        <f t="shared" si="4"/>
        <v>0.73333333333333328</v>
      </c>
      <c r="P47" s="3">
        <f t="shared" si="5"/>
        <v>0.52380952380952384</v>
      </c>
      <c r="Q47" s="3">
        <f t="shared" si="6"/>
        <v>0.7142857142857143</v>
      </c>
      <c r="R47" s="3">
        <f t="shared" si="7"/>
        <v>0.23809523809523808</v>
      </c>
      <c r="S47">
        <v>-2</v>
      </c>
      <c r="T47" s="4">
        <v>0.2</v>
      </c>
      <c r="U47">
        <v>152</v>
      </c>
      <c r="V47">
        <v>397</v>
      </c>
    </row>
    <row r="48" spans="1:22">
      <c r="A48">
        <v>44</v>
      </c>
      <c r="B48" s="2">
        <v>46299</v>
      </c>
      <c r="C48" t="s">
        <v>23</v>
      </c>
      <c r="D48" t="s">
        <v>24</v>
      </c>
      <c r="E48" t="s">
        <v>45</v>
      </c>
      <c r="F48">
        <v>11</v>
      </c>
      <c r="G48">
        <v>13</v>
      </c>
      <c r="H48" t="str">
        <f t="shared" si="0"/>
        <v>Loss</v>
      </c>
      <c r="I48">
        <f t="shared" si="1"/>
        <v>0</v>
      </c>
      <c r="J48">
        <f t="shared" si="2"/>
        <v>-2</v>
      </c>
      <c r="K48">
        <f t="shared" si="3"/>
        <v>24</v>
      </c>
      <c r="L48">
        <v>14</v>
      </c>
      <c r="M48">
        <v>15</v>
      </c>
      <c r="N48">
        <v>10</v>
      </c>
      <c r="O48" s="3">
        <f t="shared" si="4"/>
        <v>0.93333333333333335</v>
      </c>
      <c r="P48" s="3">
        <f t="shared" si="5"/>
        <v>0.58333333333333337</v>
      </c>
      <c r="Q48" s="3">
        <f t="shared" si="6"/>
        <v>0.625</v>
      </c>
      <c r="R48" s="3">
        <f t="shared" si="7"/>
        <v>0.41666666666666669</v>
      </c>
      <c r="S48">
        <v>-5</v>
      </c>
      <c r="T48" s="4">
        <v>0.17</v>
      </c>
      <c r="U48">
        <v>174</v>
      </c>
      <c r="V48">
        <v>577</v>
      </c>
    </row>
    <row r="49" spans="1:22">
      <c r="A49">
        <v>45</v>
      </c>
      <c r="B49" s="2">
        <v>46299</v>
      </c>
      <c r="C49" t="s">
        <v>41</v>
      </c>
      <c r="D49" t="s">
        <v>46</v>
      </c>
      <c r="E49" t="s">
        <v>28</v>
      </c>
      <c r="F49">
        <v>13</v>
      </c>
      <c r="G49">
        <v>5</v>
      </c>
      <c r="H49" t="str">
        <f t="shared" si="0"/>
        <v>Win</v>
      </c>
      <c r="I49">
        <f t="shared" si="1"/>
        <v>1</v>
      </c>
      <c r="J49">
        <f t="shared" si="2"/>
        <v>8</v>
      </c>
      <c r="K49">
        <f t="shared" si="3"/>
        <v>18</v>
      </c>
      <c r="L49">
        <v>22</v>
      </c>
      <c r="M49">
        <v>10</v>
      </c>
      <c r="N49">
        <v>9</v>
      </c>
      <c r="O49" s="3">
        <f t="shared" si="4"/>
        <v>2.2000000000000002</v>
      </c>
      <c r="P49" s="3">
        <f t="shared" si="5"/>
        <v>1.2222222222222223</v>
      </c>
      <c r="Q49" s="3">
        <f t="shared" si="6"/>
        <v>0.55555555555555558</v>
      </c>
      <c r="R49" s="3">
        <f t="shared" si="7"/>
        <v>0.5</v>
      </c>
      <c r="S49">
        <v>97</v>
      </c>
      <c r="T49" s="4">
        <v>0.18</v>
      </c>
      <c r="U49">
        <v>347</v>
      </c>
      <c r="V49">
        <v>993</v>
      </c>
    </row>
    <row r="50" spans="1:22">
      <c r="A50">
        <v>46</v>
      </c>
      <c r="B50" s="2">
        <v>46299</v>
      </c>
      <c r="C50" t="s">
        <v>40</v>
      </c>
      <c r="D50" t="s">
        <v>37</v>
      </c>
      <c r="E50" t="s">
        <v>25</v>
      </c>
      <c r="F50">
        <v>13</v>
      </c>
      <c r="G50">
        <v>9</v>
      </c>
      <c r="H50" t="str">
        <f t="shared" si="0"/>
        <v>Win</v>
      </c>
      <c r="I50">
        <f t="shared" si="1"/>
        <v>1</v>
      </c>
      <c r="J50">
        <f t="shared" si="2"/>
        <v>4</v>
      </c>
      <c r="K50">
        <f t="shared" si="3"/>
        <v>22</v>
      </c>
      <c r="L50">
        <v>15</v>
      </c>
      <c r="M50">
        <v>14</v>
      </c>
      <c r="N50">
        <v>6</v>
      </c>
      <c r="O50" s="3">
        <f t="shared" si="4"/>
        <v>1.0714285714285714</v>
      </c>
      <c r="P50" s="3">
        <f t="shared" si="5"/>
        <v>0.68181818181818177</v>
      </c>
      <c r="Q50" s="3">
        <f t="shared" si="6"/>
        <v>0.63636363636363635</v>
      </c>
      <c r="R50" s="3">
        <f t="shared" si="7"/>
        <v>0.27272727272727271</v>
      </c>
      <c r="S50">
        <v>3</v>
      </c>
      <c r="T50" s="4">
        <v>0.19</v>
      </c>
      <c r="U50">
        <v>193</v>
      </c>
      <c r="V50">
        <v>596</v>
      </c>
    </row>
    <row r="51" spans="1:22">
      <c r="A51">
        <v>47</v>
      </c>
      <c r="B51" s="2">
        <v>46299</v>
      </c>
      <c r="C51" t="s">
        <v>29</v>
      </c>
      <c r="D51" t="s">
        <v>42</v>
      </c>
      <c r="E51" t="s">
        <v>28</v>
      </c>
      <c r="F51">
        <v>6</v>
      </c>
      <c r="G51">
        <v>13</v>
      </c>
      <c r="H51" t="str">
        <f t="shared" si="0"/>
        <v>Loss</v>
      </c>
      <c r="I51">
        <f t="shared" si="1"/>
        <v>0</v>
      </c>
      <c r="J51">
        <f t="shared" si="2"/>
        <v>-7</v>
      </c>
      <c r="K51">
        <f t="shared" si="3"/>
        <v>19</v>
      </c>
      <c r="L51">
        <v>13</v>
      </c>
      <c r="M51">
        <v>15</v>
      </c>
      <c r="N51">
        <v>6</v>
      </c>
      <c r="O51" s="3">
        <f t="shared" si="4"/>
        <v>0.8666666666666667</v>
      </c>
      <c r="P51" s="3">
        <f t="shared" si="5"/>
        <v>0.68421052631578949</v>
      </c>
      <c r="Q51" s="3">
        <f t="shared" si="6"/>
        <v>0.78947368421052633</v>
      </c>
      <c r="R51" s="3">
        <f t="shared" si="7"/>
        <v>0.31578947368421051</v>
      </c>
      <c r="S51">
        <v>-5</v>
      </c>
      <c r="T51" s="4">
        <v>0.21</v>
      </c>
      <c r="U51">
        <v>217</v>
      </c>
      <c r="V51">
        <v>420</v>
      </c>
    </row>
    <row r="52" spans="1:22">
      <c r="A52">
        <v>48</v>
      </c>
      <c r="B52" s="2">
        <v>46299</v>
      </c>
      <c r="C52" t="s">
        <v>26</v>
      </c>
      <c r="D52" t="s">
        <v>42</v>
      </c>
      <c r="E52" t="s">
        <v>25</v>
      </c>
      <c r="F52">
        <v>11</v>
      </c>
      <c r="G52">
        <v>13</v>
      </c>
      <c r="H52" t="str">
        <f t="shared" si="0"/>
        <v>Loss</v>
      </c>
      <c r="I52">
        <f t="shared" si="1"/>
        <v>0</v>
      </c>
      <c r="J52">
        <f t="shared" si="2"/>
        <v>-2</v>
      </c>
      <c r="K52">
        <f t="shared" si="3"/>
        <v>24</v>
      </c>
      <c r="L52">
        <v>20</v>
      </c>
      <c r="M52">
        <v>15</v>
      </c>
      <c r="N52">
        <v>9</v>
      </c>
      <c r="O52" s="3">
        <f t="shared" si="4"/>
        <v>1.3333333333333333</v>
      </c>
      <c r="P52" s="3">
        <f t="shared" si="5"/>
        <v>0.83333333333333337</v>
      </c>
      <c r="Q52" s="3">
        <f t="shared" si="6"/>
        <v>0.625</v>
      </c>
      <c r="R52" s="3">
        <f t="shared" si="7"/>
        <v>0.375</v>
      </c>
      <c r="S52">
        <v>39</v>
      </c>
      <c r="T52" s="4">
        <v>0.14000000000000001</v>
      </c>
      <c r="U52">
        <v>243</v>
      </c>
      <c r="V52">
        <v>662</v>
      </c>
    </row>
    <row r="53" spans="1:22">
      <c r="A53">
        <v>49</v>
      </c>
      <c r="B53" s="2">
        <v>46299</v>
      </c>
      <c r="C53" t="s">
        <v>26</v>
      </c>
      <c r="D53" t="s">
        <v>46</v>
      </c>
      <c r="E53" t="s">
        <v>25</v>
      </c>
      <c r="F53">
        <v>13</v>
      </c>
      <c r="G53">
        <v>4</v>
      </c>
      <c r="H53" t="str">
        <f t="shared" si="0"/>
        <v>Win</v>
      </c>
      <c r="I53">
        <f t="shared" si="1"/>
        <v>1</v>
      </c>
      <c r="J53">
        <f t="shared" si="2"/>
        <v>9</v>
      </c>
      <c r="K53">
        <f t="shared" si="3"/>
        <v>17</v>
      </c>
      <c r="L53">
        <v>16</v>
      </c>
      <c r="M53">
        <v>11</v>
      </c>
      <c r="N53">
        <v>10</v>
      </c>
      <c r="O53" s="3">
        <f t="shared" si="4"/>
        <v>1.4545454545454546</v>
      </c>
      <c r="P53" s="3">
        <f t="shared" si="5"/>
        <v>0.94117647058823528</v>
      </c>
      <c r="Q53" s="3">
        <f t="shared" si="6"/>
        <v>0.6470588235294118</v>
      </c>
      <c r="R53" s="3">
        <f t="shared" si="7"/>
        <v>0.58823529411764708</v>
      </c>
      <c r="S53">
        <v>30</v>
      </c>
      <c r="T53" s="4">
        <v>0.25</v>
      </c>
      <c r="U53">
        <v>262</v>
      </c>
      <c r="V53">
        <v>883</v>
      </c>
    </row>
    <row r="54" spans="1:22">
      <c r="A54">
        <v>50</v>
      </c>
      <c r="B54" s="2">
        <v>46299</v>
      </c>
      <c r="C54" t="s">
        <v>34</v>
      </c>
      <c r="D54" t="s">
        <v>27</v>
      </c>
      <c r="E54" t="s">
        <v>44</v>
      </c>
      <c r="F54">
        <v>13</v>
      </c>
      <c r="G54">
        <v>11</v>
      </c>
      <c r="H54" t="str">
        <f t="shared" si="0"/>
        <v>Win</v>
      </c>
      <c r="I54">
        <f t="shared" si="1"/>
        <v>1</v>
      </c>
      <c r="J54">
        <f t="shared" si="2"/>
        <v>2</v>
      </c>
      <c r="K54">
        <f t="shared" si="3"/>
        <v>24</v>
      </c>
      <c r="L54">
        <v>19</v>
      </c>
      <c r="M54">
        <v>18</v>
      </c>
      <c r="N54">
        <v>7</v>
      </c>
      <c r="O54" s="3">
        <f t="shared" si="4"/>
        <v>1.0555555555555556</v>
      </c>
      <c r="P54" s="3">
        <f t="shared" si="5"/>
        <v>0.79166666666666663</v>
      </c>
      <c r="Q54" s="3">
        <f t="shared" si="6"/>
        <v>0.75</v>
      </c>
      <c r="R54" s="3">
        <f t="shared" si="7"/>
        <v>0.29166666666666669</v>
      </c>
      <c r="S54">
        <v>30</v>
      </c>
      <c r="T54" s="4">
        <v>0.14000000000000001</v>
      </c>
      <c r="U54">
        <v>233</v>
      </c>
      <c r="V54">
        <v>666</v>
      </c>
    </row>
    <row r="55" spans="1:22">
      <c r="A55">
        <v>51</v>
      </c>
      <c r="B55" s="2">
        <v>46299</v>
      </c>
      <c r="C55" t="s">
        <v>41</v>
      </c>
      <c r="D55" t="s">
        <v>32</v>
      </c>
      <c r="E55" t="s">
        <v>25</v>
      </c>
      <c r="F55">
        <v>11</v>
      </c>
      <c r="G55">
        <v>13</v>
      </c>
      <c r="H55" t="str">
        <f t="shared" si="0"/>
        <v>Loss</v>
      </c>
      <c r="I55">
        <f t="shared" si="1"/>
        <v>0</v>
      </c>
      <c r="J55">
        <f t="shared" si="2"/>
        <v>-2</v>
      </c>
      <c r="K55">
        <f t="shared" si="3"/>
        <v>24</v>
      </c>
      <c r="L55">
        <v>11</v>
      </c>
      <c r="M55">
        <v>18</v>
      </c>
      <c r="N55">
        <v>6</v>
      </c>
      <c r="O55" s="3">
        <f t="shared" si="4"/>
        <v>0.61111111111111116</v>
      </c>
      <c r="P55" s="3">
        <f t="shared" si="5"/>
        <v>0.45833333333333331</v>
      </c>
      <c r="Q55" s="3">
        <f t="shared" si="6"/>
        <v>0.75</v>
      </c>
      <c r="R55" s="3">
        <f t="shared" si="7"/>
        <v>0.25</v>
      </c>
      <c r="S55">
        <v>-32</v>
      </c>
      <c r="T55" s="4">
        <v>0.13</v>
      </c>
      <c r="U55">
        <v>139</v>
      </c>
      <c r="V55">
        <v>263</v>
      </c>
    </row>
    <row r="56" spans="1:22">
      <c r="A56">
        <v>52</v>
      </c>
      <c r="B56" s="2">
        <v>46299</v>
      </c>
      <c r="C56" t="s">
        <v>23</v>
      </c>
      <c r="D56" t="s">
        <v>42</v>
      </c>
      <c r="E56" t="s">
        <v>39</v>
      </c>
      <c r="F56">
        <v>13</v>
      </c>
      <c r="G56">
        <v>6</v>
      </c>
      <c r="H56" t="str">
        <f t="shared" si="0"/>
        <v>Win</v>
      </c>
      <c r="I56">
        <f t="shared" si="1"/>
        <v>1</v>
      </c>
      <c r="J56">
        <f t="shared" si="2"/>
        <v>7</v>
      </c>
      <c r="K56">
        <f t="shared" si="3"/>
        <v>19</v>
      </c>
      <c r="L56">
        <v>21</v>
      </c>
      <c r="M56">
        <v>11</v>
      </c>
      <c r="N56">
        <v>6</v>
      </c>
      <c r="O56" s="3">
        <f t="shared" si="4"/>
        <v>1.9090909090909092</v>
      </c>
      <c r="P56" s="3">
        <f t="shared" si="5"/>
        <v>1.1052631578947369</v>
      </c>
      <c r="Q56" s="3">
        <f t="shared" si="6"/>
        <v>0.57894736842105265</v>
      </c>
      <c r="R56" s="3">
        <f t="shared" si="7"/>
        <v>0.31578947368421051</v>
      </c>
      <c r="S56">
        <v>64</v>
      </c>
      <c r="T56" s="4">
        <v>0.11</v>
      </c>
      <c r="U56">
        <v>276</v>
      </c>
      <c r="V56">
        <v>931</v>
      </c>
    </row>
    <row r="57" spans="1:22">
      <c r="A57">
        <v>53</v>
      </c>
      <c r="B57" s="2">
        <v>46299</v>
      </c>
      <c r="C57" t="s">
        <v>23</v>
      </c>
      <c r="D57" t="s">
        <v>31</v>
      </c>
      <c r="E57" t="s">
        <v>47</v>
      </c>
      <c r="F57">
        <v>13</v>
      </c>
      <c r="G57">
        <v>9</v>
      </c>
      <c r="H57" t="str">
        <f t="shared" si="0"/>
        <v>Win</v>
      </c>
      <c r="I57">
        <f t="shared" si="1"/>
        <v>1</v>
      </c>
      <c r="J57">
        <f t="shared" si="2"/>
        <v>4</v>
      </c>
      <c r="K57">
        <f t="shared" si="3"/>
        <v>22</v>
      </c>
      <c r="L57">
        <v>12</v>
      </c>
      <c r="M57">
        <v>19</v>
      </c>
      <c r="N57">
        <v>2</v>
      </c>
      <c r="O57" s="3">
        <f t="shared" si="4"/>
        <v>0.63157894736842102</v>
      </c>
      <c r="P57" s="3">
        <f t="shared" si="5"/>
        <v>0.54545454545454541</v>
      </c>
      <c r="Q57" s="3">
        <f t="shared" si="6"/>
        <v>0.86363636363636365</v>
      </c>
      <c r="R57" s="3">
        <f t="shared" si="7"/>
        <v>9.0909090909090912E-2</v>
      </c>
      <c r="S57">
        <v>-73</v>
      </c>
      <c r="T57" s="4">
        <v>0.13</v>
      </c>
      <c r="U57">
        <v>151</v>
      </c>
      <c r="V57">
        <v>242</v>
      </c>
    </row>
    <row r="58" spans="1:22">
      <c r="A58">
        <v>54</v>
      </c>
      <c r="B58" s="2">
        <v>46299</v>
      </c>
      <c r="C58" t="s">
        <v>26</v>
      </c>
      <c r="D58" t="s">
        <v>30</v>
      </c>
      <c r="E58" t="s">
        <v>28</v>
      </c>
      <c r="F58">
        <v>13</v>
      </c>
      <c r="G58">
        <v>7</v>
      </c>
      <c r="H58" t="str">
        <f t="shared" si="0"/>
        <v>Win</v>
      </c>
      <c r="I58">
        <f t="shared" si="1"/>
        <v>1</v>
      </c>
      <c r="J58">
        <f t="shared" si="2"/>
        <v>6</v>
      </c>
      <c r="K58">
        <f t="shared" si="3"/>
        <v>20</v>
      </c>
      <c r="L58">
        <v>14</v>
      </c>
      <c r="M58">
        <v>14</v>
      </c>
      <c r="N58">
        <v>5</v>
      </c>
      <c r="O58" s="3">
        <f t="shared" si="4"/>
        <v>1</v>
      </c>
      <c r="P58" s="3">
        <f t="shared" si="5"/>
        <v>0.7</v>
      </c>
      <c r="Q58" s="3">
        <f t="shared" si="6"/>
        <v>0.7</v>
      </c>
      <c r="R58" s="3">
        <f t="shared" si="7"/>
        <v>0.25</v>
      </c>
      <c r="S58">
        <v>2</v>
      </c>
      <c r="T58" s="4">
        <v>0.1</v>
      </c>
      <c r="U58">
        <v>204</v>
      </c>
      <c r="V58">
        <v>581</v>
      </c>
    </row>
    <row r="59" spans="1:22">
      <c r="A59">
        <v>55</v>
      </c>
      <c r="B59" s="2">
        <v>46299</v>
      </c>
      <c r="C59" t="s">
        <v>29</v>
      </c>
      <c r="D59" t="s">
        <v>31</v>
      </c>
      <c r="E59" t="s">
        <v>48</v>
      </c>
      <c r="F59">
        <v>9</v>
      </c>
      <c r="G59">
        <v>13</v>
      </c>
      <c r="H59" t="str">
        <f t="shared" si="0"/>
        <v>Loss</v>
      </c>
      <c r="I59">
        <f t="shared" si="1"/>
        <v>0</v>
      </c>
      <c r="J59">
        <f t="shared" si="2"/>
        <v>-4</v>
      </c>
      <c r="K59">
        <f t="shared" si="3"/>
        <v>22</v>
      </c>
      <c r="L59">
        <v>4</v>
      </c>
      <c r="M59">
        <v>18</v>
      </c>
      <c r="N59">
        <v>14</v>
      </c>
      <c r="O59" s="3">
        <f t="shared" si="4"/>
        <v>0.22222222222222221</v>
      </c>
      <c r="P59" s="3">
        <f t="shared" si="5"/>
        <v>0.18181818181818182</v>
      </c>
      <c r="Q59" s="3">
        <f t="shared" si="6"/>
        <v>0.81818181818181823</v>
      </c>
      <c r="R59" s="3">
        <f t="shared" si="7"/>
        <v>0.63636363636363635</v>
      </c>
      <c r="S59">
        <v>-78</v>
      </c>
      <c r="T59" s="4">
        <v>0.13</v>
      </c>
      <c r="U59">
        <v>100</v>
      </c>
      <c r="V59">
        <v>112</v>
      </c>
    </row>
    <row r="60" spans="1:22">
      <c r="A60">
        <v>56</v>
      </c>
      <c r="B60" s="2">
        <v>46299</v>
      </c>
      <c r="C60" t="s">
        <v>34</v>
      </c>
      <c r="D60" t="s">
        <v>32</v>
      </c>
      <c r="E60" t="s">
        <v>25</v>
      </c>
      <c r="F60">
        <v>7</v>
      </c>
      <c r="G60">
        <v>13</v>
      </c>
      <c r="H60" t="str">
        <f t="shared" si="0"/>
        <v>Loss</v>
      </c>
      <c r="I60">
        <f t="shared" si="1"/>
        <v>0</v>
      </c>
      <c r="J60">
        <f t="shared" si="2"/>
        <v>-6</v>
      </c>
      <c r="K60">
        <f t="shared" si="3"/>
        <v>20</v>
      </c>
      <c r="L60">
        <v>6</v>
      </c>
      <c r="M60">
        <v>15</v>
      </c>
      <c r="N60">
        <v>3</v>
      </c>
      <c r="O60" s="3">
        <f t="shared" si="4"/>
        <v>0.4</v>
      </c>
      <c r="P60" s="3">
        <f t="shared" si="5"/>
        <v>0.3</v>
      </c>
      <c r="Q60" s="3">
        <f t="shared" si="6"/>
        <v>0.75</v>
      </c>
      <c r="R60" s="3">
        <f t="shared" si="7"/>
        <v>0.15</v>
      </c>
      <c r="S60">
        <v>-46</v>
      </c>
      <c r="T60" s="4">
        <v>0.1</v>
      </c>
      <c r="U60">
        <v>100</v>
      </c>
      <c r="V60">
        <v>201</v>
      </c>
    </row>
    <row r="61" spans="1:22">
      <c r="A61">
        <v>57</v>
      </c>
      <c r="B61" s="2">
        <v>46299</v>
      </c>
      <c r="C61" t="s">
        <v>40</v>
      </c>
      <c r="D61" t="s">
        <v>31</v>
      </c>
      <c r="E61" t="s">
        <v>49</v>
      </c>
      <c r="F61">
        <v>11</v>
      </c>
      <c r="G61">
        <v>13</v>
      </c>
      <c r="H61" t="str">
        <f t="shared" si="0"/>
        <v>Loss</v>
      </c>
      <c r="I61">
        <f t="shared" si="1"/>
        <v>0</v>
      </c>
      <c r="J61">
        <f t="shared" si="2"/>
        <v>-2</v>
      </c>
      <c r="K61">
        <f t="shared" si="3"/>
        <v>24</v>
      </c>
      <c r="L61">
        <v>10</v>
      </c>
      <c r="M61">
        <v>21</v>
      </c>
      <c r="N61">
        <v>6</v>
      </c>
      <c r="O61" s="3">
        <f t="shared" si="4"/>
        <v>0.47619047619047616</v>
      </c>
      <c r="P61" s="3">
        <f t="shared" si="5"/>
        <v>0.41666666666666669</v>
      </c>
      <c r="Q61" s="3">
        <f t="shared" si="6"/>
        <v>0.875</v>
      </c>
      <c r="R61" s="3">
        <f t="shared" si="7"/>
        <v>0.25</v>
      </c>
      <c r="S61">
        <v>-44</v>
      </c>
      <c r="T61" s="4">
        <v>0.15</v>
      </c>
      <c r="U61">
        <v>144</v>
      </c>
      <c r="V61">
        <v>214</v>
      </c>
    </row>
    <row r="62" spans="1:22">
      <c r="A62">
        <v>58</v>
      </c>
      <c r="B62" s="2">
        <v>46299</v>
      </c>
      <c r="C62" t="s">
        <v>35</v>
      </c>
      <c r="D62" t="s">
        <v>36</v>
      </c>
      <c r="E62" t="s">
        <v>28</v>
      </c>
      <c r="F62">
        <v>13</v>
      </c>
      <c r="G62">
        <v>6</v>
      </c>
      <c r="H62" t="str">
        <f t="shared" si="0"/>
        <v>Win</v>
      </c>
      <c r="I62">
        <f t="shared" si="1"/>
        <v>1</v>
      </c>
      <c r="J62">
        <f t="shared" si="2"/>
        <v>7</v>
      </c>
      <c r="K62">
        <f t="shared" si="3"/>
        <v>19</v>
      </c>
      <c r="L62">
        <v>9</v>
      </c>
      <c r="M62">
        <v>12</v>
      </c>
      <c r="N62">
        <v>9</v>
      </c>
      <c r="O62" s="3">
        <f t="shared" si="4"/>
        <v>0.75</v>
      </c>
      <c r="P62" s="3">
        <f t="shared" si="5"/>
        <v>0.47368421052631576</v>
      </c>
      <c r="Q62" s="3">
        <f t="shared" si="6"/>
        <v>0.63157894736842102</v>
      </c>
      <c r="R62" s="3">
        <f t="shared" si="7"/>
        <v>0.47368421052631576</v>
      </c>
      <c r="S62">
        <v>-8</v>
      </c>
      <c r="T62" s="4">
        <v>0.11</v>
      </c>
      <c r="U62">
        <v>144</v>
      </c>
      <c r="V62">
        <v>559</v>
      </c>
    </row>
    <row r="63" spans="1:22">
      <c r="A63">
        <v>59</v>
      </c>
      <c r="B63" s="2">
        <v>46299</v>
      </c>
      <c r="C63" t="s">
        <v>26</v>
      </c>
      <c r="D63" t="s">
        <v>32</v>
      </c>
      <c r="E63" t="s">
        <v>28</v>
      </c>
      <c r="F63">
        <v>6</v>
      </c>
      <c r="G63">
        <v>13</v>
      </c>
      <c r="H63" t="str">
        <f t="shared" si="0"/>
        <v>Loss</v>
      </c>
      <c r="I63">
        <f t="shared" si="1"/>
        <v>0</v>
      </c>
      <c r="J63">
        <f t="shared" si="2"/>
        <v>-7</v>
      </c>
      <c r="K63">
        <f t="shared" si="3"/>
        <v>19</v>
      </c>
      <c r="L63">
        <v>11</v>
      </c>
      <c r="M63">
        <v>17</v>
      </c>
      <c r="N63">
        <v>2</v>
      </c>
      <c r="O63" s="3">
        <f t="shared" si="4"/>
        <v>0.6470588235294118</v>
      </c>
      <c r="P63" s="3">
        <f t="shared" si="5"/>
        <v>0.57894736842105265</v>
      </c>
      <c r="Q63" s="3">
        <f t="shared" si="6"/>
        <v>0.89473684210526316</v>
      </c>
      <c r="R63" s="3">
        <f t="shared" si="7"/>
        <v>0.10526315789473684</v>
      </c>
      <c r="S63">
        <v>-71</v>
      </c>
      <c r="T63" s="4">
        <v>0.1</v>
      </c>
      <c r="U63">
        <v>162</v>
      </c>
      <c r="V63">
        <v>182</v>
      </c>
    </row>
    <row r="64" spans="1:22">
      <c r="A64">
        <v>60</v>
      </c>
      <c r="B64" s="2">
        <v>46298</v>
      </c>
      <c r="C64" t="s">
        <v>26</v>
      </c>
      <c r="D64" t="s">
        <v>42</v>
      </c>
      <c r="E64" t="s">
        <v>28</v>
      </c>
      <c r="F64">
        <v>13</v>
      </c>
      <c r="G64">
        <v>6</v>
      </c>
      <c r="H64" t="str">
        <f t="shared" si="0"/>
        <v>Win</v>
      </c>
      <c r="I64">
        <f t="shared" si="1"/>
        <v>1</v>
      </c>
      <c r="J64">
        <f t="shared" si="2"/>
        <v>7</v>
      </c>
      <c r="K64">
        <f t="shared" si="3"/>
        <v>19</v>
      </c>
      <c r="L64">
        <v>15</v>
      </c>
      <c r="M64">
        <v>10</v>
      </c>
      <c r="N64">
        <v>4</v>
      </c>
      <c r="O64" s="3">
        <f t="shared" si="4"/>
        <v>1.5</v>
      </c>
      <c r="P64" s="3">
        <f t="shared" si="5"/>
        <v>0.78947368421052633</v>
      </c>
      <c r="Q64" s="3">
        <f t="shared" si="6"/>
        <v>0.52631578947368418</v>
      </c>
      <c r="R64" s="3">
        <f t="shared" si="7"/>
        <v>0.21052631578947367</v>
      </c>
      <c r="S64">
        <v>38</v>
      </c>
      <c r="T64" s="4">
        <v>0.1</v>
      </c>
      <c r="U64">
        <v>222</v>
      </c>
      <c r="V64">
        <v>843</v>
      </c>
    </row>
    <row r="65" spans="1:22">
      <c r="A65">
        <v>61</v>
      </c>
      <c r="B65" s="2">
        <v>46298</v>
      </c>
      <c r="C65" t="s">
        <v>41</v>
      </c>
      <c r="D65" t="s">
        <v>30</v>
      </c>
      <c r="E65" t="s">
        <v>28</v>
      </c>
      <c r="F65">
        <v>11</v>
      </c>
      <c r="G65">
        <v>13</v>
      </c>
      <c r="H65" t="str">
        <f t="shared" si="0"/>
        <v>Loss</v>
      </c>
      <c r="I65">
        <f t="shared" si="1"/>
        <v>0</v>
      </c>
      <c r="J65">
        <f t="shared" si="2"/>
        <v>-2</v>
      </c>
      <c r="K65">
        <f t="shared" si="3"/>
        <v>24</v>
      </c>
      <c r="L65">
        <v>16</v>
      </c>
      <c r="M65">
        <v>17</v>
      </c>
      <c r="N65">
        <v>5</v>
      </c>
      <c r="O65" s="3">
        <f t="shared" si="4"/>
        <v>0.94117647058823528</v>
      </c>
      <c r="P65" s="3">
        <f t="shared" si="5"/>
        <v>0.66666666666666663</v>
      </c>
      <c r="Q65" s="3">
        <f t="shared" si="6"/>
        <v>0.70833333333333337</v>
      </c>
      <c r="R65" s="3">
        <f t="shared" si="7"/>
        <v>0.20833333333333334</v>
      </c>
      <c r="S65">
        <v>-10</v>
      </c>
      <c r="T65" s="4">
        <v>0.21</v>
      </c>
      <c r="U65">
        <v>184</v>
      </c>
      <c r="V65">
        <v>476</v>
      </c>
    </row>
    <row r="66" spans="1:22">
      <c r="A66">
        <v>62</v>
      </c>
      <c r="B66" s="2">
        <v>46298</v>
      </c>
      <c r="C66" t="s">
        <v>35</v>
      </c>
      <c r="D66" t="s">
        <v>24</v>
      </c>
      <c r="E66" t="s">
        <v>38</v>
      </c>
      <c r="F66">
        <v>13</v>
      </c>
      <c r="G66">
        <v>4</v>
      </c>
      <c r="H66" t="str">
        <f t="shared" si="0"/>
        <v>Win</v>
      </c>
      <c r="I66">
        <f t="shared" si="1"/>
        <v>1</v>
      </c>
      <c r="J66">
        <f t="shared" si="2"/>
        <v>9</v>
      </c>
      <c r="K66">
        <f t="shared" si="3"/>
        <v>17</v>
      </c>
      <c r="L66">
        <v>6</v>
      </c>
      <c r="M66">
        <v>7</v>
      </c>
      <c r="N66">
        <v>10</v>
      </c>
      <c r="O66" s="3">
        <f t="shared" si="4"/>
        <v>0.8571428571428571</v>
      </c>
      <c r="P66" s="3">
        <f t="shared" si="5"/>
        <v>0.35294117647058826</v>
      </c>
      <c r="Q66" s="3">
        <f t="shared" si="6"/>
        <v>0.41176470588235292</v>
      </c>
      <c r="R66" s="3">
        <f t="shared" si="7"/>
        <v>0.58823529411764708</v>
      </c>
      <c r="S66">
        <v>-3</v>
      </c>
      <c r="T66" s="4">
        <v>0.19</v>
      </c>
      <c r="U66">
        <v>105</v>
      </c>
      <c r="V66">
        <v>554</v>
      </c>
    </row>
    <row r="67" spans="1:22">
      <c r="A67">
        <v>63</v>
      </c>
      <c r="B67" s="2">
        <v>46298</v>
      </c>
      <c r="C67" t="s">
        <v>23</v>
      </c>
      <c r="D67" t="s">
        <v>27</v>
      </c>
      <c r="E67" t="s">
        <v>25</v>
      </c>
      <c r="F67">
        <v>6</v>
      </c>
      <c r="G67">
        <v>13</v>
      </c>
      <c r="H67" t="str">
        <f t="shared" si="0"/>
        <v>Loss</v>
      </c>
      <c r="I67">
        <f t="shared" si="1"/>
        <v>0</v>
      </c>
      <c r="J67">
        <f t="shared" si="2"/>
        <v>-7</v>
      </c>
      <c r="K67">
        <f t="shared" si="3"/>
        <v>19</v>
      </c>
      <c r="L67">
        <v>12</v>
      </c>
      <c r="M67">
        <v>17</v>
      </c>
      <c r="N67">
        <v>3</v>
      </c>
      <c r="O67" s="3">
        <f t="shared" si="4"/>
        <v>0.70588235294117652</v>
      </c>
      <c r="P67" s="3">
        <f t="shared" si="5"/>
        <v>0.63157894736842102</v>
      </c>
      <c r="Q67" s="3">
        <f t="shared" si="6"/>
        <v>0.89473684210526316</v>
      </c>
      <c r="R67" s="3">
        <f t="shared" si="7"/>
        <v>0.15789473684210525</v>
      </c>
      <c r="S67">
        <v>-25</v>
      </c>
      <c r="T67" s="4">
        <v>0.1</v>
      </c>
      <c r="U67">
        <v>172</v>
      </c>
      <c r="V67">
        <v>338</v>
      </c>
    </row>
    <row r="68" spans="1:22">
      <c r="A68">
        <v>64</v>
      </c>
      <c r="B68" s="2">
        <v>46298</v>
      </c>
      <c r="C68" t="s">
        <v>34</v>
      </c>
      <c r="D68" t="s">
        <v>30</v>
      </c>
      <c r="E68" t="s">
        <v>25</v>
      </c>
      <c r="F68">
        <v>14</v>
      </c>
      <c r="G68">
        <v>14</v>
      </c>
      <c r="H68" t="str">
        <f t="shared" si="0"/>
        <v>Draw</v>
      </c>
      <c r="I68">
        <f t="shared" si="1"/>
        <v>0</v>
      </c>
      <c r="J68">
        <f t="shared" si="2"/>
        <v>0</v>
      </c>
      <c r="K68">
        <f t="shared" si="3"/>
        <v>28</v>
      </c>
      <c r="L68">
        <v>20</v>
      </c>
      <c r="M68">
        <v>20</v>
      </c>
      <c r="N68">
        <v>11</v>
      </c>
      <c r="O68" s="3">
        <f t="shared" si="4"/>
        <v>1</v>
      </c>
      <c r="P68" s="3">
        <f t="shared" si="5"/>
        <v>0.7142857142857143</v>
      </c>
      <c r="Q68" s="3">
        <f t="shared" si="6"/>
        <v>0.7142857142857143</v>
      </c>
      <c r="R68" s="3">
        <f t="shared" si="7"/>
        <v>0.39285714285714285</v>
      </c>
      <c r="S68">
        <v>-1</v>
      </c>
      <c r="T68" s="4">
        <v>0.17</v>
      </c>
      <c r="U68">
        <v>203</v>
      </c>
      <c r="V68">
        <v>682</v>
      </c>
    </row>
    <row r="69" spans="1:22">
      <c r="A69">
        <v>65</v>
      </c>
      <c r="B69" s="2">
        <v>46298</v>
      </c>
      <c r="C69" t="s">
        <v>23</v>
      </c>
      <c r="D69" t="s">
        <v>31</v>
      </c>
      <c r="E69" t="s">
        <v>28</v>
      </c>
      <c r="F69">
        <v>11</v>
      </c>
      <c r="G69">
        <v>13</v>
      </c>
      <c r="H69" t="str">
        <f t="shared" ref="H69:H132" si="8">IF(F69&gt;G69,"Win",IF(F69&lt;G69,"Loss","Draw"))</f>
        <v>Loss</v>
      </c>
      <c r="I69">
        <f t="shared" ref="I69:I132" si="9">IF(H69="Win",1,0)</f>
        <v>0</v>
      </c>
      <c r="J69">
        <f t="shared" ref="J69:J132" si="10">F69-G69</f>
        <v>-2</v>
      </c>
      <c r="K69">
        <f t="shared" ref="K69:K132" si="11">F69+G69</f>
        <v>24</v>
      </c>
      <c r="L69">
        <v>10</v>
      </c>
      <c r="M69">
        <v>20</v>
      </c>
      <c r="N69">
        <v>5</v>
      </c>
      <c r="O69" s="3">
        <f t="shared" ref="O69:O132" si="12">IFERROR(L69/M69,0)</f>
        <v>0.5</v>
      </c>
      <c r="P69" s="3">
        <f t="shared" ref="P69:P132" si="13">IFERROR(L69/K69,0)</f>
        <v>0.41666666666666669</v>
      </c>
      <c r="Q69" s="3">
        <f t="shared" ref="Q69:Q132" si="14">IFERROR(M69/K69,0)</f>
        <v>0.83333333333333337</v>
      </c>
      <c r="R69" s="3">
        <f t="shared" ref="R69:R132" si="15">IFERROR(N69/K69,0)</f>
        <v>0.20833333333333334</v>
      </c>
      <c r="S69">
        <v>-52</v>
      </c>
      <c r="T69" s="4">
        <v>0.11</v>
      </c>
      <c r="U69">
        <v>136</v>
      </c>
      <c r="V69">
        <v>248</v>
      </c>
    </row>
    <row r="70" spans="1:22">
      <c r="A70">
        <v>66</v>
      </c>
      <c r="B70" s="2">
        <v>46298</v>
      </c>
      <c r="C70" t="s">
        <v>40</v>
      </c>
      <c r="D70" t="s">
        <v>27</v>
      </c>
      <c r="E70" t="s">
        <v>25</v>
      </c>
      <c r="F70">
        <v>13</v>
      </c>
      <c r="G70">
        <v>6</v>
      </c>
      <c r="H70" t="str">
        <f t="shared" si="8"/>
        <v>Win</v>
      </c>
      <c r="I70">
        <f t="shared" si="9"/>
        <v>1</v>
      </c>
      <c r="J70">
        <f t="shared" si="10"/>
        <v>7</v>
      </c>
      <c r="K70">
        <f t="shared" si="11"/>
        <v>19</v>
      </c>
      <c r="L70">
        <v>15</v>
      </c>
      <c r="M70">
        <v>12</v>
      </c>
      <c r="N70">
        <v>4</v>
      </c>
      <c r="O70" s="3">
        <f t="shared" si="12"/>
        <v>1.25</v>
      </c>
      <c r="P70" s="3">
        <f t="shared" si="13"/>
        <v>0.78947368421052633</v>
      </c>
      <c r="Q70" s="3">
        <f t="shared" si="14"/>
        <v>0.63157894736842102</v>
      </c>
      <c r="R70" s="3">
        <f t="shared" si="15"/>
        <v>0.21052631578947367</v>
      </c>
      <c r="S70">
        <v>30</v>
      </c>
      <c r="T70" s="4">
        <v>0.19</v>
      </c>
      <c r="U70">
        <v>216</v>
      </c>
      <c r="V70">
        <v>811</v>
      </c>
    </row>
    <row r="71" spans="1:22">
      <c r="A71">
        <v>67</v>
      </c>
      <c r="B71" s="2">
        <v>46298</v>
      </c>
      <c r="C71" t="s">
        <v>41</v>
      </c>
      <c r="D71" t="s">
        <v>32</v>
      </c>
      <c r="E71" t="s">
        <v>28</v>
      </c>
      <c r="F71">
        <v>12</v>
      </c>
      <c r="G71">
        <v>14</v>
      </c>
      <c r="H71" t="str">
        <f t="shared" si="8"/>
        <v>Loss</v>
      </c>
      <c r="I71">
        <f t="shared" si="9"/>
        <v>0</v>
      </c>
      <c r="J71">
        <f t="shared" si="10"/>
        <v>-2</v>
      </c>
      <c r="K71">
        <f t="shared" si="11"/>
        <v>26</v>
      </c>
      <c r="L71">
        <v>14</v>
      </c>
      <c r="M71">
        <v>24</v>
      </c>
      <c r="N71">
        <v>6</v>
      </c>
      <c r="O71" s="3">
        <f t="shared" si="12"/>
        <v>0.58333333333333337</v>
      </c>
      <c r="P71" s="3">
        <f t="shared" si="13"/>
        <v>0.53846153846153844</v>
      </c>
      <c r="Q71" s="3">
        <f t="shared" si="14"/>
        <v>0.92307692307692313</v>
      </c>
      <c r="R71" s="3">
        <f t="shared" si="15"/>
        <v>0.23076923076923078</v>
      </c>
      <c r="S71">
        <v>-50</v>
      </c>
      <c r="T71" s="4">
        <v>0.11</v>
      </c>
      <c r="U71">
        <v>156</v>
      </c>
      <c r="V71">
        <v>300</v>
      </c>
    </row>
    <row r="72" spans="1:22">
      <c r="A72">
        <v>68</v>
      </c>
      <c r="B72" s="2">
        <v>46298</v>
      </c>
      <c r="C72" t="s">
        <v>35</v>
      </c>
      <c r="D72" t="s">
        <v>31</v>
      </c>
      <c r="E72" t="s">
        <v>38</v>
      </c>
      <c r="F72">
        <v>4</v>
      </c>
      <c r="G72">
        <v>13</v>
      </c>
      <c r="H72" t="str">
        <f t="shared" si="8"/>
        <v>Loss</v>
      </c>
      <c r="I72">
        <f t="shared" si="9"/>
        <v>0</v>
      </c>
      <c r="J72">
        <f t="shared" si="10"/>
        <v>-9</v>
      </c>
      <c r="K72">
        <f t="shared" si="11"/>
        <v>17</v>
      </c>
      <c r="L72">
        <v>7</v>
      </c>
      <c r="M72">
        <v>14</v>
      </c>
      <c r="N72">
        <v>3</v>
      </c>
      <c r="O72" s="3">
        <f t="shared" si="12"/>
        <v>0.5</v>
      </c>
      <c r="P72" s="3">
        <f t="shared" si="13"/>
        <v>0.41176470588235292</v>
      </c>
      <c r="Q72" s="3">
        <f t="shared" si="14"/>
        <v>0.82352941176470584</v>
      </c>
      <c r="R72" s="3">
        <f t="shared" si="15"/>
        <v>0.17647058823529413</v>
      </c>
      <c r="S72">
        <v>-63</v>
      </c>
      <c r="T72" s="4">
        <v>0.19</v>
      </c>
      <c r="U72">
        <v>118</v>
      </c>
      <c r="V72">
        <v>100</v>
      </c>
    </row>
    <row r="73" spans="1:22">
      <c r="A73">
        <v>69</v>
      </c>
      <c r="B73" s="2">
        <v>46298</v>
      </c>
      <c r="C73" t="s">
        <v>29</v>
      </c>
      <c r="D73" t="s">
        <v>24</v>
      </c>
      <c r="E73" t="s">
        <v>25</v>
      </c>
      <c r="F73">
        <v>14</v>
      </c>
      <c r="G73">
        <v>12</v>
      </c>
      <c r="H73" t="str">
        <f t="shared" si="8"/>
        <v>Win</v>
      </c>
      <c r="I73">
        <f t="shared" si="9"/>
        <v>1</v>
      </c>
      <c r="J73">
        <f t="shared" si="10"/>
        <v>2</v>
      </c>
      <c r="K73">
        <f t="shared" si="11"/>
        <v>26</v>
      </c>
      <c r="L73">
        <v>15</v>
      </c>
      <c r="M73">
        <v>20</v>
      </c>
      <c r="N73">
        <v>8</v>
      </c>
      <c r="O73" s="3">
        <f t="shared" si="12"/>
        <v>0.75</v>
      </c>
      <c r="P73" s="3">
        <f t="shared" si="13"/>
        <v>0.57692307692307687</v>
      </c>
      <c r="Q73" s="3">
        <f t="shared" si="14"/>
        <v>0.76923076923076927</v>
      </c>
      <c r="R73" s="3">
        <f t="shared" si="15"/>
        <v>0.30769230769230771</v>
      </c>
      <c r="S73">
        <v>2</v>
      </c>
      <c r="T73" s="4">
        <v>0.1</v>
      </c>
      <c r="U73">
        <v>193</v>
      </c>
      <c r="V73">
        <v>529</v>
      </c>
    </row>
    <row r="74" spans="1:22">
      <c r="A74">
        <v>70</v>
      </c>
      <c r="B74" s="2">
        <v>46298</v>
      </c>
      <c r="C74" t="s">
        <v>34</v>
      </c>
      <c r="D74" t="s">
        <v>31</v>
      </c>
      <c r="E74" t="s">
        <v>28</v>
      </c>
      <c r="F74">
        <v>7</v>
      </c>
      <c r="G74">
        <v>13</v>
      </c>
      <c r="H74" t="str">
        <f t="shared" si="8"/>
        <v>Loss</v>
      </c>
      <c r="I74">
        <f t="shared" si="9"/>
        <v>0</v>
      </c>
      <c r="J74">
        <f t="shared" si="10"/>
        <v>-6</v>
      </c>
      <c r="K74">
        <f t="shared" si="11"/>
        <v>20</v>
      </c>
      <c r="L74">
        <v>6</v>
      </c>
      <c r="M74">
        <v>17</v>
      </c>
      <c r="N74">
        <v>4</v>
      </c>
      <c r="O74" s="3">
        <f t="shared" si="12"/>
        <v>0.35294117647058826</v>
      </c>
      <c r="P74" s="3">
        <f t="shared" si="13"/>
        <v>0.3</v>
      </c>
      <c r="Q74" s="3">
        <f t="shared" si="14"/>
        <v>0.85</v>
      </c>
      <c r="R74" s="3">
        <f t="shared" si="15"/>
        <v>0.2</v>
      </c>
      <c r="S74">
        <v>-74</v>
      </c>
      <c r="T74" s="4">
        <v>0.06</v>
      </c>
      <c r="U74">
        <v>102</v>
      </c>
      <c r="V74">
        <v>100</v>
      </c>
    </row>
    <row r="75" spans="1:22">
      <c r="A75">
        <v>71</v>
      </c>
      <c r="B75" s="2">
        <v>46298</v>
      </c>
      <c r="C75" t="s">
        <v>26</v>
      </c>
      <c r="D75" t="s">
        <v>31</v>
      </c>
      <c r="E75" t="s">
        <v>28</v>
      </c>
      <c r="F75">
        <v>9</v>
      </c>
      <c r="G75">
        <v>13</v>
      </c>
      <c r="H75" t="str">
        <f t="shared" si="8"/>
        <v>Loss</v>
      </c>
      <c r="I75">
        <f t="shared" si="9"/>
        <v>0</v>
      </c>
      <c r="J75">
        <f t="shared" si="10"/>
        <v>-4</v>
      </c>
      <c r="K75">
        <f t="shared" si="11"/>
        <v>22</v>
      </c>
      <c r="L75">
        <v>8</v>
      </c>
      <c r="M75">
        <v>15</v>
      </c>
      <c r="N75">
        <v>9</v>
      </c>
      <c r="O75" s="3">
        <f t="shared" si="12"/>
        <v>0.53333333333333333</v>
      </c>
      <c r="P75" s="3">
        <f t="shared" si="13"/>
        <v>0.36363636363636365</v>
      </c>
      <c r="Q75" s="3">
        <f t="shared" si="14"/>
        <v>0.68181818181818177</v>
      </c>
      <c r="R75" s="3">
        <f t="shared" si="15"/>
        <v>0.40909090909090912</v>
      </c>
      <c r="S75">
        <v>-60</v>
      </c>
      <c r="T75" s="4">
        <v>0.1</v>
      </c>
      <c r="U75">
        <v>91</v>
      </c>
      <c r="V75">
        <v>165</v>
      </c>
    </row>
    <row r="76" spans="1:22">
      <c r="A76">
        <v>72</v>
      </c>
      <c r="B76" s="2">
        <v>46298</v>
      </c>
      <c r="C76" t="s">
        <v>40</v>
      </c>
      <c r="D76" t="s">
        <v>31</v>
      </c>
      <c r="E76" t="s">
        <v>25</v>
      </c>
      <c r="F76">
        <v>6</v>
      </c>
      <c r="G76">
        <v>13</v>
      </c>
      <c r="H76" t="str">
        <f t="shared" si="8"/>
        <v>Loss</v>
      </c>
      <c r="I76">
        <f t="shared" si="9"/>
        <v>0</v>
      </c>
      <c r="J76">
        <f t="shared" si="10"/>
        <v>-7</v>
      </c>
      <c r="K76">
        <f t="shared" si="11"/>
        <v>19</v>
      </c>
      <c r="L76">
        <v>3</v>
      </c>
      <c r="M76">
        <v>17</v>
      </c>
      <c r="N76">
        <v>3</v>
      </c>
      <c r="O76" s="3">
        <f t="shared" si="12"/>
        <v>0.17647058823529413</v>
      </c>
      <c r="P76" s="3">
        <f t="shared" si="13"/>
        <v>0.15789473684210525</v>
      </c>
      <c r="Q76" s="3">
        <f t="shared" si="14"/>
        <v>0.89473684210526316</v>
      </c>
      <c r="R76" s="3">
        <f t="shared" si="15"/>
        <v>0.15789473684210525</v>
      </c>
      <c r="S76">
        <v>-126</v>
      </c>
      <c r="T76" s="4">
        <v>0.05</v>
      </c>
      <c r="U76">
        <v>48</v>
      </c>
      <c r="V76">
        <v>100</v>
      </c>
    </row>
    <row r="77" spans="1:22">
      <c r="A77">
        <v>73</v>
      </c>
      <c r="B77" s="2">
        <v>46298</v>
      </c>
      <c r="C77" t="s">
        <v>29</v>
      </c>
      <c r="D77" t="s">
        <v>30</v>
      </c>
      <c r="E77" t="s">
        <v>25</v>
      </c>
      <c r="F77">
        <v>13</v>
      </c>
      <c r="G77">
        <v>11</v>
      </c>
      <c r="H77" t="str">
        <f t="shared" si="8"/>
        <v>Win</v>
      </c>
      <c r="I77">
        <f t="shared" si="9"/>
        <v>1</v>
      </c>
      <c r="J77">
        <f t="shared" si="10"/>
        <v>2</v>
      </c>
      <c r="K77">
        <f t="shared" si="11"/>
        <v>24</v>
      </c>
      <c r="L77">
        <v>10</v>
      </c>
      <c r="M77">
        <v>16</v>
      </c>
      <c r="N77">
        <v>7</v>
      </c>
      <c r="O77" s="3">
        <f t="shared" si="12"/>
        <v>0.625</v>
      </c>
      <c r="P77" s="3">
        <f t="shared" si="13"/>
        <v>0.41666666666666669</v>
      </c>
      <c r="Q77" s="3">
        <f t="shared" si="14"/>
        <v>0.66666666666666663</v>
      </c>
      <c r="R77" s="3">
        <f t="shared" si="15"/>
        <v>0.29166666666666669</v>
      </c>
      <c r="S77">
        <v>-33</v>
      </c>
      <c r="T77" s="4">
        <v>0.11</v>
      </c>
      <c r="U77">
        <v>131</v>
      </c>
      <c r="V77">
        <v>308</v>
      </c>
    </row>
    <row r="78" spans="1:22">
      <c r="A78">
        <v>74</v>
      </c>
      <c r="B78" s="2">
        <v>46298</v>
      </c>
      <c r="C78" t="s">
        <v>34</v>
      </c>
      <c r="D78" t="s">
        <v>32</v>
      </c>
      <c r="E78" t="s">
        <v>25</v>
      </c>
      <c r="F78">
        <v>11</v>
      </c>
      <c r="G78">
        <v>13</v>
      </c>
      <c r="H78" t="str">
        <f t="shared" si="8"/>
        <v>Loss</v>
      </c>
      <c r="I78">
        <f t="shared" si="9"/>
        <v>0</v>
      </c>
      <c r="J78">
        <f t="shared" si="10"/>
        <v>-2</v>
      </c>
      <c r="K78">
        <f t="shared" si="11"/>
        <v>24</v>
      </c>
      <c r="L78">
        <v>14</v>
      </c>
      <c r="M78">
        <v>18</v>
      </c>
      <c r="N78">
        <v>7</v>
      </c>
      <c r="O78" s="3">
        <f t="shared" si="12"/>
        <v>0.77777777777777779</v>
      </c>
      <c r="P78" s="3">
        <f t="shared" si="13"/>
        <v>0.58333333333333337</v>
      </c>
      <c r="Q78" s="3">
        <f t="shared" si="14"/>
        <v>0.75</v>
      </c>
      <c r="R78" s="3">
        <f t="shared" si="15"/>
        <v>0.29166666666666669</v>
      </c>
      <c r="S78">
        <v>0</v>
      </c>
      <c r="T78" s="4">
        <v>0.16</v>
      </c>
      <c r="U78">
        <v>168</v>
      </c>
      <c r="V78">
        <v>369</v>
      </c>
    </row>
    <row r="79" spans="1:22">
      <c r="A79">
        <v>75</v>
      </c>
      <c r="B79" s="2">
        <v>46298</v>
      </c>
      <c r="C79" t="s">
        <v>40</v>
      </c>
      <c r="D79" t="s">
        <v>31</v>
      </c>
      <c r="E79" t="s">
        <v>25</v>
      </c>
      <c r="F79">
        <v>10</v>
      </c>
      <c r="G79">
        <v>13</v>
      </c>
      <c r="H79" t="str">
        <f t="shared" si="8"/>
        <v>Loss</v>
      </c>
      <c r="I79">
        <f t="shared" si="9"/>
        <v>0</v>
      </c>
      <c r="J79">
        <f t="shared" si="10"/>
        <v>-3</v>
      </c>
      <c r="K79">
        <f t="shared" si="11"/>
        <v>23</v>
      </c>
      <c r="L79">
        <v>5</v>
      </c>
      <c r="M79">
        <v>20</v>
      </c>
      <c r="N79">
        <v>3</v>
      </c>
      <c r="O79" s="3">
        <f t="shared" si="12"/>
        <v>0.25</v>
      </c>
      <c r="P79" s="3">
        <f t="shared" si="13"/>
        <v>0.21739130434782608</v>
      </c>
      <c r="Q79" s="3">
        <f t="shared" si="14"/>
        <v>0.86956521739130432</v>
      </c>
      <c r="R79" s="3">
        <f t="shared" si="15"/>
        <v>0.13043478260869565</v>
      </c>
      <c r="S79">
        <v>-80</v>
      </c>
      <c r="T79" s="4">
        <v>0.14000000000000001</v>
      </c>
      <c r="U79">
        <v>65</v>
      </c>
      <c r="V79">
        <v>107</v>
      </c>
    </row>
    <row r="80" spans="1:22">
      <c r="A80">
        <v>76</v>
      </c>
      <c r="B80" s="2">
        <v>46297</v>
      </c>
      <c r="C80" t="s">
        <v>29</v>
      </c>
      <c r="D80" t="s">
        <v>36</v>
      </c>
      <c r="E80" t="s">
        <v>25</v>
      </c>
      <c r="F80">
        <v>4</v>
      </c>
      <c r="G80">
        <v>13</v>
      </c>
      <c r="H80" t="str">
        <f t="shared" si="8"/>
        <v>Loss</v>
      </c>
      <c r="I80">
        <f t="shared" si="9"/>
        <v>0</v>
      </c>
      <c r="J80">
        <f t="shared" si="10"/>
        <v>-9</v>
      </c>
      <c r="K80">
        <f t="shared" si="11"/>
        <v>17</v>
      </c>
      <c r="L80">
        <v>10</v>
      </c>
      <c r="M80">
        <v>13</v>
      </c>
      <c r="N80">
        <v>1</v>
      </c>
      <c r="O80" s="3">
        <f t="shared" si="12"/>
        <v>0.76923076923076927</v>
      </c>
      <c r="P80" s="3">
        <f t="shared" si="13"/>
        <v>0.58823529411764708</v>
      </c>
      <c r="Q80" s="3">
        <f t="shared" si="14"/>
        <v>0.76470588235294112</v>
      </c>
      <c r="R80" s="3">
        <f t="shared" si="15"/>
        <v>5.8823529411764705E-2</v>
      </c>
      <c r="S80">
        <v>-29</v>
      </c>
      <c r="T80" s="4">
        <v>0.16</v>
      </c>
      <c r="U80">
        <v>177</v>
      </c>
      <c r="V80">
        <v>258</v>
      </c>
    </row>
    <row r="81" spans="1:22">
      <c r="A81">
        <v>77</v>
      </c>
      <c r="B81" s="2">
        <v>46297</v>
      </c>
      <c r="C81" t="s">
        <v>23</v>
      </c>
      <c r="D81" t="s">
        <v>24</v>
      </c>
      <c r="E81" t="s">
        <v>39</v>
      </c>
      <c r="F81">
        <v>15</v>
      </c>
      <c r="G81">
        <v>13</v>
      </c>
      <c r="H81" t="str">
        <f t="shared" si="8"/>
        <v>Win</v>
      </c>
      <c r="I81">
        <f t="shared" si="9"/>
        <v>1</v>
      </c>
      <c r="J81">
        <f t="shared" si="10"/>
        <v>2</v>
      </c>
      <c r="K81">
        <f t="shared" si="11"/>
        <v>28</v>
      </c>
      <c r="L81">
        <v>14</v>
      </c>
      <c r="M81">
        <v>21</v>
      </c>
      <c r="N81">
        <v>6</v>
      </c>
      <c r="O81" s="3">
        <f t="shared" si="12"/>
        <v>0.66666666666666663</v>
      </c>
      <c r="P81" s="3">
        <f t="shared" si="13"/>
        <v>0.5</v>
      </c>
      <c r="Q81" s="3">
        <f t="shared" si="14"/>
        <v>0.75</v>
      </c>
      <c r="R81" s="3">
        <f t="shared" si="15"/>
        <v>0.21428571428571427</v>
      </c>
      <c r="S81">
        <v>-47</v>
      </c>
      <c r="T81" s="4">
        <v>0.09</v>
      </c>
      <c r="U81">
        <v>147</v>
      </c>
      <c r="V81">
        <v>348</v>
      </c>
    </row>
    <row r="82" spans="1:22">
      <c r="A82">
        <v>78</v>
      </c>
      <c r="B82" s="2">
        <v>46297</v>
      </c>
      <c r="C82" t="s">
        <v>40</v>
      </c>
      <c r="D82" t="s">
        <v>46</v>
      </c>
      <c r="E82" t="s">
        <v>25</v>
      </c>
      <c r="F82">
        <v>7</v>
      </c>
      <c r="G82">
        <v>13</v>
      </c>
      <c r="H82" t="str">
        <f t="shared" si="8"/>
        <v>Loss</v>
      </c>
      <c r="I82">
        <f t="shared" si="9"/>
        <v>0</v>
      </c>
      <c r="J82">
        <f t="shared" si="10"/>
        <v>-6</v>
      </c>
      <c r="K82">
        <f t="shared" si="11"/>
        <v>20</v>
      </c>
      <c r="L82">
        <v>24</v>
      </c>
      <c r="M82">
        <v>16</v>
      </c>
      <c r="N82">
        <v>5</v>
      </c>
      <c r="O82" s="3">
        <f t="shared" si="12"/>
        <v>1.5</v>
      </c>
      <c r="P82" s="3">
        <f t="shared" si="13"/>
        <v>1.2</v>
      </c>
      <c r="Q82" s="3">
        <f t="shared" si="14"/>
        <v>0.8</v>
      </c>
      <c r="R82" s="3">
        <f t="shared" si="15"/>
        <v>0.25</v>
      </c>
      <c r="S82">
        <v>55</v>
      </c>
      <c r="T82" s="4">
        <v>0.15</v>
      </c>
      <c r="U82">
        <v>336</v>
      </c>
      <c r="V82">
        <v>861</v>
      </c>
    </row>
    <row r="83" spans="1:22">
      <c r="A83">
        <v>79</v>
      </c>
      <c r="B83" s="2">
        <v>46297</v>
      </c>
      <c r="C83" t="s">
        <v>29</v>
      </c>
      <c r="D83" t="s">
        <v>24</v>
      </c>
      <c r="E83" t="s">
        <v>25</v>
      </c>
      <c r="F83">
        <v>13</v>
      </c>
      <c r="G83">
        <v>8</v>
      </c>
      <c r="H83" t="str">
        <f t="shared" si="8"/>
        <v>Win</v>
      </c>
      <c r="I83">
        <f t="shared" si="9"/>
        <v>1</v>
      </c>
      <c r="J83">
        <f t="shared" si="10"/>
        <v>5</v>
      </c>
      <c r="K83">
        <f t="shared" si="11"/>
        <v>21</v>
      </c>
      <c r="L83">
        <v>14</v>
      </c>
      <c r="M83">
        <v>10</v>
      </c>
      <c r="N83">
        <v>7</v>
      </c>
      <c r="O83" s="3">
        <f t="shared" si="12"/>
        <v>1.4</v>
      </c>
      <c r="P83" s="3">
        <f t="shared" si="13"/>
        <v>0.66666666666666663</v>
      </c>
      <c r="Q83" s="3">
        <f t="shared" si="14"/>
        <v>0.47619047619047616</v>
      </c>
      <c r="R83" s="3">
        <f t="shared" si="15"/>
        <v>0.33333333333333331</v>
      </c>
      <c r="S83">
        <v>37</v>
      </c>
      <c r="T83" s="4">
        <v>0.13</v>
      </c>
      <c r="U83">
        <v>181</v>
      </c>
      <c r="V83">
        <v>765</v>
      </c>
    </row>
    <row r="84" spans="1:22">
      <c r="A84">
        <v>80</v>
      </c>
      <c r="B84" s="2">
        <v>46297</v>
      </c>
      <c r="C84" t="s">
        <v>35</v>
      </c>
      <c r="D84" t="s">
        <v>31</v>
      </c>
      <c r="E84" t="s">
        <v>38</v>
      </c>
      <c r="F84">
        <v>13</v>
      </c>
      <c r="G84">
        <v>7</v>
      </c>
      <c r="H84" t="str">
        <f t="shared" si="8"/>
        <v>Win</v>
      </c>
      <c r="I84">
        <f t="shared" si="9"/>
        <v>1</v>
      </c>
      <c r="J84">
        <f t="shared" si="10"/>
        <v>6</v>
      </c>
      <c r="K84">
        <f t="shared" si="11"/>
        <v>20</v>
      </c>
      <c r="L84">
        <v>5</v>
      </c>
      <c r="M84">
        <v>11</v>
      </c>
      <c r="N84">
        <v>6</v>
      </c>
      <c r="O84" s="3">
        <f t="shared" si="12"/>
        <v>0.45454545454545453</v>
      </c>
      <c r="P84" s="3">
        <f t="shared" si="13"/>
        <v>0.25</v>
      </c>
      <c r="Q84" s="3">
        <f t="shared" si="14"/>
        <v>0.55000000000000004</v>
      </c>
      <c r="R84" s="3">
        <f t="shared" si="15"/>
        <v>0.3</v>
      </c>
      <c r="S84">
        <v>-41</v>
      </c>
      <c r="T84" s="4">
        <v>0.13</v>
      </c>
      <c r="U84">
        <v>86</v>
      </c>
      <c r="V84">
        <v>353</v>
      </c>
    </row>
    <row r="85" spans="1:22">
      <c r="A85">
        <v>81</v>
      </c>
      <c r="B85" s="2">
        <v>46297</v>
      </c>
      <c r="C85" t="s">
        <v>35</v>
      </c>
      <c r="D85" t="s">
        <v>24</v>
      </c>
      <c r="E85" t="s">
        <v>38</v>
      </c>
      <c r="F85">
        <v>10</v>
      </c>
      <c r="G85">
        <v>13</v>
      </c>
      <c r="H85" t="str">
        <f t="shared" si="8"/>
        <v>Loss</v>
      </c>
      <c r="I85">
        <f t="shared" si="9"/>
        <v>0</v>
      </c>
      <c r="J85">
        <f t="shared" si="10"/>
        <v>-3</v>
      </c>
      <c r="K85">
        <f t="shared" si="11"/>
        <v>23</v>
      </c>
      <c r="L85">
        <v>12</v>
      </c>
      <c r="M85">
        <v>20</v>
      </c>
      <c r="N85">
        <v>7</v>
      </c>
      <c r="O85" s="3">
        <f t="shared" si="12"/>
        <v>0.6</v>
      </c>
      <c r="P85" s="3">
        <f t="shared" si="13"/>
        <v>0.52173913043478259</v>
      </c>
      <c r="Q85" s="3">
        <f t="shared" si="14"/>
        <v>0.86956521739130432</v>
      </c>
      <c r="R85" s="3">
        <f t="shared" si="15"/>
        <v>0.30434782608695654</v>
      </c>
      <c r="S85">
        <v>-43</v>
      </c>
      <c r="T85" s="4">
        <v>0.2</v>
      </c>
      <c r="U85">
        <v>161</v>
      </c>
      <c r="V85">
        <v>275</v>
      </c>
    </row>
    <row r="86" spans="1:22">
      <c r="A86">
        <v>82</v>
      </c>
      <c r="B86" s="2">
        <v>46297</v>
      </c>
      <c r="C86" t="s">
        <v>34</v>
      </c>
      <c r="D86" t="s">
        <v>24</v>
      </c>
      <c r="E86" t="s">
        <v>25</v>
      </c>
      <c r="F86">
        <v>11</v>
      </c>
      <c r="G86">
        <v>13</v>
      </c>
      <c r="H86" t="str">
        <f t="shared" si="8"/>
        <v>Loss</v>
      </c>
      <c r="I86">
        <f t="shared" si="9"/>
        <v>0</v>
      </c>
      <c r="J86">
        <f t="shared" si="10"/>
        <v>-2</v>
      </c>
      <c r="K86">
        <f t="shared" si="11"/>
        <v>24</v>
      </c>
      <c r="L86">
        <v>14</v>
      </c>
      <c r="M86">
        <v>19</v>
      </c>
      <c r="N86">
        <v>2</v>
      </c>
      <c r="O86" s="3">
        <f t="shared" si="12"/>
        <v>0.73684210526315785</v>
      </c>
      <c r="P86" s="3">
        <f t="shared" si="13"/>
        <v>0.58333333333333337</v>
      </c>
      <c r="Q86" s="3">
        <f t="shared" si="14"/>
        <v>0.79166666666666663</v>
      </c>
      <c r="R86" s="3">
        <f t="shared" si="15"/>
        <v>8.3333333333333329E-2</v>
      </c>
      <c r="S86">
        <v>-28</v>
      </c>
      <c r="T86" s="4">
        <v>0.1</v>
      </c>
      <c r="U86">
        <v>174</v>
      </c>
      <c r="V86">
        <v>321</v>
      </c>
    </row>
    <row r="87" spans="1:22">
      <c r="A87">
        <v>83</v>
      </c>
      <c r="B87" s="2">
        <v>46297</v>
      </c>
      <c r="C87" t="s">
        <v>23</v>
      </c>
      <c r="D87" t="s">
        <v>36</v>
      </c>
      <c r="E87" t="s">
        <v>25</v>
      </c>
      <c r="F87">
        <v>12</v>
      </c>
      <c r="G87">
        <v>14</v>
      </c>
      <c r="H87" t="str">
        <f t="shared" si="8"/>
        <v>Loss</v>
      </c>
      <c r="I87">
        <f t="shared" si="9"/>
        <v>0</v>
      </c>
      <c r="J87">
        <f t="shared" si="10"/>
        <v>-2</v>
      </c>
      <c r="K87">
        <f t="shared" si="11"/>
        <v>26</v>
      </c>
      <c r="L87">
        <v>17</v>
      </c>
      <c r="M87">
        <v>21</v>
      </c>
      <c r="N87">
        <v>2</v>
      </c>
      <c r="O87" s="3">
        <f t="shared" si="12"/>
        <v>0.80952380952380953</v>
      </c>
      <c r="P87" s="3">
        <f t="shared" si="13"/>
        <v>0.65384615384615385</v>
      </c>
      <c r="Q87" s="3">
        <f t="shared" si="14"/>
        <v>0.80769230769230771</v>
      </c>
      <c r="R87" s="3">
        <f t="shared" si="15"/>
        <v>7.6923076923076927E-2</v>
      </c>
      <c r="S87">
        <v>6</v>
      </c>
      <c r="T87" s="4">
        <v>0.13</v>
      </c>
      <c r="U87">
        <v>199</v>
      </c>
      <c r="V87">
        <v>436</v>
      </c>
    </row>
    <row r="88" spans="1:22">
      <c r="A88">
        <v>84</v>
      </c>
      <c r="B88" s="2">
        <v>46297</v>
      </c>
      <c r="C88" t="s">
        <v>41</v>
      </c>
      <c r="D88" t="s">
        <v>42</v>
      </c>
      <c r="E88" t="s">
        <v>25</v>
      </c>
      <c r="F88">
        <v>13</v>
      </c>
      <c r="G88">
        <v>0</v>
      </c>
      <c r="H88" t="str">
        <f t="shared" si="8"/>
        <v>Win</v>
      </c>
      <c r="I88">
        <f t="shared" si="9"/>
        <v>1</v>
      </c>
      <c r="J88">
        <f t="shared" si="10"/>
        <v>13</v>
      </c>
      <c r="K88">
        <f t="shared" si="11"/>
        <v>13</v>
      </c>
      <c r="L88">
        <v>11</v>
      </c>
      <c r="M88">
        <v>5</v>
      </c>
      <c r="N88">
        <v>7</v>
      </c>
      <c r="O88" s="3">
        <f t="shared" si="12"/>
        <v>2.2000000000000002</v>
      </c>
      <c r="P88" s="3">
        <f t="shared" si="13"/>
        <v>0.84615384615384615</v>
      </c>
      <c r="Q88" s="3">
        <f t="shared" si="14"/>
        <v>0.38461538461538464</v>
      </c>
      <c r="R88" s="3">
        <f t="shared" si="15"/>
        <v>0.53846153846153844</v>
      </c>
      <c r="S88">
        <v>78</v>
      </c>
      <c r="T88" s="4">
        <v>0.09</v>
      </c>
      <c r="U88">
        <v>259</v>
      </c>
      <c r="V88">
        <v>932</v>
      </c>
    </row>
    <row r="89" spans="1:22">
      <c r="A89">
        <v>85</v>
      </c>
      <c r="B89" s="2">
        <v>46297</v>
      </c>
      <c r="C89" t="s">
        <v>34</v>
      </c>
      <c r="D89" t="s">
        <v>24</v>
      </c>
      <c r="E89" t="s">
        <v>25</v>
      </c>
      <c r="F89">
        <v>7</v>
      </c>
      <c r="G89">
        <v>2</v>
      </c>
      <c r="H89" t="str">
        <f t="shared" si="8"/>
        <v>Win</v>
      </c>
      <c r="I89">
        <f t="shared" si="9"/>
        <v>1</v>
      </c>
      <c r="J89">
        <f t="shared" si="10"/>
        <v>5</v>
      </c>
      <c r="K89">
        <f t="shared" si="11"/>
        <v>9</v>
      </c>
      <c r="L89">
        <v>2</v>
      </c>
      <c r="M89">
        <v>6</v>
      </c>
      <c r="N89">
        <v>3</v>
      </c>
      <c r="O89" s="3">
        <f t="shared" si="12"/>
        <v>0.33333333333333331</v>
      </c>
      <c r="P89" s="3">
        <f t="shared" si="13"/>
        <v>0.22222222222222221</v>
      </c>
      <c r="Q89" s="3">
        <f t="shared" si="14"/>
        <v>0.66666666666666663</v>
      </c>
      <c r="R89" s="3">
        <f t="shared" si="15"/>
        <v>0.33333333333333331</v>
      </c>
      <c r="S89">
        <v>-24</v>
      </c>
      <c r="T89" s="4">
        <v>0.1</v>
      </c>
      <c r="U89">
        <v>108</v>
      </c>
      <c r="V89">
        <v>556</v>
      </c>
    </row>
    <row r="90" spans="1:22">
      <c r="A90">
        <v>86</v>
      </c>
      <c r="B90" s="2">
        <v>46297</v>
      </c>
      <c r="C90" t="s">
        <v>29</v>
      </c>
      <c r="D90" t="s">
        <v>32</v>
      </c>
      <c r="E90" t="s">
        <v>25</v>
      </c>
      <c r="F90">
        <v>13</v>
      </c>
      <c r="G90">
        <v>10</v>
      </c>
      <c r="H90" t="str">
        <f t="shared" si="8"/>
        <v>Win</v>
      </c>
      <c r="I90">
        <f t="shared" si="9"/>
        <v>1</v>
      </c>
      <c r="J90">
        <f t="shared" si="10"/>
        <v>3</v>
      </c>
      <c r="K90">
        <f t="shared" si="11"/>
        <v>23</v>
      </c>
      <c r="L90">
        <v>12</v>
      </c>
      <c r="M90">
        <v>15</v>
      </c>
      <c r="N90">
        <v>4</v>
      </c>
      <c r="O90" s="3">
        <f t="shared" si="12"/>
        <v>0.8</v>
      </c>
      <c r="P90" s="3">
        <f t="shared" si="13"/>
        <v>0.52173913043478259</v>
      </c>
      <c r="Q90" s="3">
        <f t="shared" si="14"/>
        <v>0.65217391304347827</v>
      </c>
      <c r="R90" s="3">
        <f t="shared" si="15"/>
        <v>0.17391304347826086</v>
      </c>
      <c r="S90">
        <v>-2</v>
      </c>
      <c r="T90" s="4">
        <v>0.14000000000000001</v>
      </c>
      <c r="U90">
        <v>155</v>
      </c>
      <c r="V90">
        <v>389</v>
      </c>
    </row>
    <row r="91" spans="1:22">
      <c r="A91">
        <v>87</v>
      </c>
      <c r="B91" s="2">
        <v>46297</v>
      </c>
      <c r="C91" t="s">
        <v>23</v>
      </c>
      <c r="D91" t="s">
        <v>32</v>
      </c>
      <c r="E91" t="s">
        <v>25</v>
      </c>
      <c r="F91">
        <v>13</v>
      </c>
      <c r="G91">
        <v>7</v>
      </c>
      <c r="H91" t="str">
        <f t="shared" si="8"/>
        <v>Win</v>
      </c>
      <c r="I91">
        <f t="shared" si="9"/>
        <v>1</v>
      </c>
      <c r="J91">
        <f t="shared" si="10"/>
        <v>6</v>
      </c>
      <c r="K91">
        <f t="shared" si="11"/>
        <v>20</v>
      </c>
      <c r="L91">
        <v>9</v>
      </c>
      <c r="M91">
        <v>15</v>
      </c>
      <c r="N91">
        <v>8</v>
      </c>
      <c r="O91" s="3">
        <f t="shared" si="12"/>
        <v>0.6</v>
      </c>
      <c r="P91" s="3">
        <f t="shared" si="13"/>
        <v>0.45</v>
      </c>
      <c r="Q91" s="3">
        <f t="shared" si="14"/>
        <v>0.75</v>
      </c>
      <c r="R91" s="3">
        <f t="shared" si="15"/>
        <v>0.4</v>
      </c>
      <c r="S91">
        <v>-52</v>
      </c>
      <c r="T91" s="4">
        <v>0.11</v>
      </c>
      <c r="U91">
        <v>121</v>
      </c>
      <c r="V91">
        <v>412</v>
      </c>
    </row>
    <row r="92" spans="1:22">
      <c r="A92">
        <v>88</v>
      </c>
      <c r="B92" s="2">
        <v>46297</v>
      </c>
      <c r="C92" t="s">
        <v>40</v>
      </c>
      <c r="D92" t="s">
        <v>42</v>
      </c>
      <c r="E92" t="s">
        <v>25</v>
      </c>
      <c r="F92">
        <v>13</v>
      </c>
      <c r="G92">
        <v>7</v>
      </c>
      <c r="H92" t="str">
        <f t="shared" si="8"/>
        <v>Win</v>
      </c>
      <c r="I92">
        <f t="shared" si="9"/>
        <v>1</v>
      </c>
      <c r="J92">
        <f t="shared" si="10"/>
        <v>6</v>
      </c>
      <c r="K92">
        <f t="shared" si="11"/>
        <v>20</v>
      </c>
      <c r="L92">
        <v>15</v>
      </c>
      <c r="M92">
        <v>14</v>
      </c>
      <c r="N92">
        <v>5</v>
      </c>
      <c r="O92" s="3">
        <f t="shared" si="12"/>
        <v>1.0714285714285714</v>
      </c>
      <c r="P92" s="3">
        <f t="shared" si="13"/>
        <v>0.75</v>
      </c>
      <c r="Q92" s="3">
        <f t="shared" si="14"/>
        <v>0.7</v>
      </c>
      <c r="R92" s="3">
        <f t="shared" si="15"/>
        <v>0.25</v>
      </c>
      <c r="S92">
        <v>17</v>
      </c>
      <c r="T92" s="4">
        <v>0.13</v>
      </c>
      <c r="U92">
        <v>219</v>
      </c>
      <c r="V92">
        <v>594</v>
      </c>
    </row>
    <row r="93" spans="1:22">
      <c r="A93">
        <v>89</v>
      </c>
      <c r="B93" s="2">
        <v>46296</v>
      </c>
      <c r="C93" t="s">
        <v>35</v>
      </c>
      <c r="D93" t="s">
        <v>46</v>
      </c>
      <c r="E93" t="s">
        <v>25</v>
      </c>
      <c r="F93">
        <v>13</v>
      </c>
      <c r="G93">
        <v>9</v>
      </c>
      <c r="H93" t="str">
        <f t="shared" si="8"/>
        <v>Win</v>
      </c>
      <c r="I93">
        <f t="shared" si="9"/>
        <v>1</v>
      </c>
      <c r="J93">
        <f t="shared" si="10"/>
        <v>4</v>
      </c>
      <c r="K93">
        <f t="shared" si="11"/>
        <v>22</v>
      </c>
      <c r="L93">
        <v>20</v>
      </c>
      <c r="M93">
        <v>14</v>
      </c>
      <c r="N93">
        <v>5</v>
      </c>
      <c r="O93" s="3">
        <f t="shared" si="12"/>
        <v>1.4285714285714286</v>
      </c>
      <c r="P93" s="3">
        <f t="shared" si="13"/>
        <v>0.90909090909090906</v>
      </c>
      <c r="Q93" s="3">
        <f t="shared" si="14"/>
        <v>0.63636363636363635</v>
      </c>
      <c r="R93" s="3">
        <f t="shared" si="15"/>
        <v>0.22727272727272727</v>
      </c>
      <c r="S93">
        <v>48</v>
      </c>
      <c r="T93" s="4">
        <v>0.11</v>
      </c>
      <c r="U93">
        <v>266</v>
      </c>
      <c r="V93">
        <v>781</v>
      </c>
    </row>
    <row r="94" spans="1:22">
      <c r="A94">
        <v>90</v>
      </c>
      <c r="B94" s="2">
        <v>46296</v>
      </c>
      <c r="C94" t="s">
        <v>29</v>
      </c>
      <c r="D94" t="s">
        <v>32</v>
      </c>
      <c r="E94" t="s">
        <v>25</v>
      </c>
      <c r="F94">
        <v>13</v>
      </c>
      <c r="G94">
        <v>9</v>
      </c>
      <c r="H94" t="str">
        <f t="shared" si="8"/>
        <v>Win</v>
      </c>
      <c r="I94">
        <f t="shared" si="9"/>
        <v>1</v>
      </c>
      <c r="J94">
        <f t="shared" si="10"/>
        <v>4</v>
      </c>
      <c r="K94">
        <f t="shared" si="11"/>
        <v>22</v>
      </c>
      <c r="L94">
        <v>11</v>
      </c>
      <c r="M94">
        <v>17</v>
      </c>
      <c r="N94">
        <v>8</v>
      </c>
      <c r="O94" s="3">
        <f t="shared" si="12"/>
        <v>0.6470588235294118</v>
      </c>
      <c r="P94" s="3">
        <f t="shared" si="13"/>
        <v>0.5</v>
      </c>
      <c r="Q94" s="3">
        <f t="shared" si="14"/>
        <v>0.77272727272727271</v>
      </c>
      <c r="R94" s="3">
        <f t="shared" si="15"/>
        <v>0.36363636363636365</v>
      </c>
      <c r="S94">
        <v>-43</v>
      </c>
      <c r="T94" s="4">
        <v>0.13</v>
      </c>
      <c r="U94">
        <v>145</v>
      </c>
      <c r="V94">
        <v>473</v>
      </c>
    </row>
    <row r="95" spans="1:22">
      <c r="A95">
        <v>91</v>
      </c>
      <c r="B95" s="2">
        <v>46296</v>
      </c>
      <c r="C95" t="s">
        <v>35</v>
      </c>
      <c r="D95" t="s">
        <v>32</v>
      </c>
      <c r="E95" t="s">
        <v>38</v>
      </c>
      <c r="F95">
        <v>13</v>
      </c>
      <c r="G95">
        <v>7</v>
      </c>
      <c r="H95" t="str">
        <f t="shared" si="8"/>
        <v>Win</v>
      </c>
      <c r="I95">
        <f t="shared" si="9"/>
        <v>1</v>
      </c>
      <c r="J95">
        <f t="shared" si="10"/>
        <v>6</v>
      </c>
      <c r="K95">
        <f t="shared" si="11"/>
        <v>20</v>
      </c>
      <c r="L95">
        <v>10</v>
      </c>
      <c r="M95">
        <v>13</v>
      </c>
      <c r="N95">
        <v>5</v>
      </c>
      <c r="O95" s="3">
        <f t="shared" si="12"/>
        <v>0.76923076923076927</v>
      </c>
      <c r="P95" s="3">
        <f t="shared" si="13"/>
        <v>0.5</v>
      </c>
      <c r="Q95" s="3">
        <f t="shared" si="14"/>
        <v>0.65</v>
      </c>
      <c r="R95" s="3">
        <f t="shared" si="15"/>
        <v>0.25</v>
      </c>
      <c r="S95">
        <v>-26</v>
      </c>
      <c r="T95" s="4">
        <v>0.21</v>
      </c>
      <c r="U95">
        <v>138</v>
      </c>
      <c r="V95">
        <v>425</v>
      </c>
    </row>
    <row r="96" spans="1:22">
      <c r="A96">
        <v>92</v>
      </c>
      <c r="B96" s="2">
        <v>46296</v>
      </c>
      <c r="C96" t="s">
        <v>23</v>
      </c>
      <c r="D96" t="s">
        <v>46</v>
      </c>
      <c r="E96" t="s">
        <v>39</v>
      </c>
      <c r="F96">
        <v>13</v>
      </c>
      <c r="G96">
        <v>5</v>
      </c>
      <c r="H96" t="str">
        <f t="shared" si="8"/>
        <v>Win</v>
      </c>
      <c r="I96">
        <f t="shared" si="9"/>
        <v>1</v>
      </c>
      <c r="J96">
        <f t="shared" si="10"/>
        <v>8</v>
      </c>
      <c r="K96">
        <f t="shared" si="11"/>
        <v>18</v>
      </c>
      <c r="L96">
        <v>16</v>
      </c>
      <c r="M96">
        <v>11</v>
      </c>
      <c r="N96">
        <v>5</v>
      </c>
      <c r="O96" s="3">
        <f t="shared" si="12"/>
        <v>1.4545454545454546</v>
      </c>
      <c r="P96" s="3">
        <f t="shared" si="13"/>
        <v>0.88888888888888884</v>
      </c>
      <c r="Q96" s="3">
        <f t="shared" si="14"/>
        <v>0.61111111111111116</v>
      </c>
      <c r="R96" s="3">
        <f t="shared" si="15"/>
        <v>0.27777777777777779</v>
      </c>
      <c r="S96">
        <v>47</v>
      </c>
      <c r="T96" s="4">
        <v>0.14000000000000001</v>
      </c>
      <c r="U96">
        <v>235</v>
      </c>
      <c r="V96">
        <v>869</v>
      </c>
    </row>
    <row r="97" spans="1:22">
      <c r="A97">
        <v>93</v>
      </c>
      <c r="B97" s="2">
        <v>46296</v>
      </c>
      <c r="C97" t="s">
        <v>40</v>
      </c>
      <c r="D97" t="s">
        <v>24</v>
      </c>
      <c r="E97" t="s">
        <v>25</v>
      </c>
      <c r="F97">
        <v>13</v>
      </c>
      <c r="G97">
        <v>9</v>
      </c>
      <c r="H97" t="str">
        <f t="shared" si="8"/>
        <v>Win</v>
      </c>
      <c r="I97">
        <f t="shared" si="9"/>
        <v>1</v>
      </c>
      <c r="J97">
        <f t="shared" si="10"/>
        <v>4</v>
      </c>
      <c r="K97">
        <f t="shared" si="11"/>
        <v>22</v>
      </c>
      <c r="L97">
        <v>13</v>
      </c>
      <c r="M97">
        <v>14</v>
      </c>
      <c r="N97">
        <v>7</v>
      </c>
      <c r="O97" s="3">
        <f t="shared" si="12"/>
        <v>0.9285714285714286</v>
      </c>
      <c r="P97" s="3">
        <f t="shared" si="13"/>
        <v>0.59090909090909094</v>
      </c>
      <c r="Q97" s="3">
        <f t="shared" si="14"/>
        <v>0.63636363636363635</v>
      </c>
      <c r="R97" s="3">
        <f t="shared" si="15"/>
        <v>0.31818181818181818</v>
      </c>
      <c r="S97">
        <v>21</v>
      </c>
      <c r="T97" s="4">
        <v>0.09</v>
      </c>
      <c r="U97">
        <v>199</v>
      </c>
      <c r="V97">
        <v>592</v>
      </c>
    </row>
    <row r="98" spans="1:22">
      <c r="A98">
        <v>94</v>
      </c>
      <c r="B98" s="2">
        <v>46296</v>
      </c>
      <c r="C98" t="s">
        <v>23</v>
      </c>
      <c r="D98" t="s">
        <v>32</v>
      </c>
      <c r="E98" t="s">
        <v>25</v>
      </c>
      <c r="F98">
        <v>10</v>
      </c>
      <c r="G98">
        <v>3</v>
      </c>
      <c r="H98" t="str">
        <f t="shared" si="8"/>
        <v>Win</v>
      </c>
      <c r="I98">
        <f t="shared" si="9"/>
        <v>1</v>
      </c>
      <c r="J98">
        <f t="shared" si="10"/>
        <v>7</v>
      </c>
      <c r="K98">
        <f t="shared" si="11"/>
        <v>13</v>
      </c>
      <c r="L98">
        <v>8</v>
      </c>
      <c r="M98">
        <v>7</v>
      </c>
      <c r="N98">
        <v>4</v>
      </c>
      <c r="O98" s="3">
        <f t="shared" si="12"/>
        <v>1.1428571428571428</v>
      </c>
      <c r="P98" s="3">
        <f t="shared" si="13"/>
        <v>0.61538461538461542</v>
      </c>
      <c r="Q98" s="3">
        <f t="shared" si="14"/>
        <v>0.53846153846153844</v>
      </c>
      <c r="R98" s="3">
        <f t="shared" si="15"/>
        <v>0.30769230769230771</v>
      </c>
      <c r="S98">
        <v>14</v>
      </c>
      <c r="T98" s="4">
        <v>0.28000000000000003</v>
      </c>
      <c r="U98">
        <v>145</v>
      </c>
      <c r="V98">
        <v>588</v>
      </c>
    </row>
    <row r="99" spans="1:22">
      <c r="A99">
        <v>95</v>
      </c>
      <c r="B99" s="2">
        <v>46296</v>
      </c>
      <c r="C99" t="s">
        <v>29</v>
      </c>
      <c r="D99" t="s">
        <v>36</v>
      </c>
      <c r="E99" t="s">
        <v>25</v>
      </c>
      <c r="F99">
        <v>14</v>
      </c>
      <c r="G99">
        <v>12</v>
      </c>
      <c r="H99" t="str">
        <f t="shared" si="8"/>
        <v>Win</v>
      </c>
      <c r="I99">
        <f t="shared" si="9"/>
        <v>1</v>
      </c>
      <c r="J99">
        <f t="shared" si="10"/>
        <v>2</v>
      </c>
      <c r="K99">
        <f t="shared" si="11"/>
        <v>26</v>
      </c>
      <c r="L99">
        <v>16</v>
      </c>
      <c r="M99">
        <v>20</v>
      </c>
      <c r="N99">
        <v>6</v>
      </c>
      <c r="O99" s="3">
        <f t="shared" si="12"/>
        <v>0.8</v>
      </c>
      <c r="P99" s="3">
        <f t="shared" si="13"/>
        <v>0.61538461538461542</v>
      </c>
      <c r="Q99" s="3">
        <f t="shared" si="14"/>
        <v>0.76923076923076927</v>
      </c>
      <c r="R99" s="3">
        <f t="shared" si="15"/>
        <v>0.23076923076923078</v>
      </c>
      <c r="S99">
        <v>-10</v>
      </c>
      <c r="T99" s="4">
        <v>0.1</v>
      </c>
      <c r="U99">
        <v>192</v>
      </c>
      <c r="V99">
        <v>421</v>
      </c>
    </row>
    <row r="100" spans="1:22">
      <c r="A100">
        <v>96</v>
      </c>
      <c r="B100" s="2">
        <v>46295</v>
      </c>
      <c r="C100" t="s">
        <v>35</v>
      </c>
      <c r="D100" t="s">
        <v>24</v>
      </c>
      <c r="E100" t="s">
        <v>25</v>
      </c>
      <c r="F100">
        <v>13</v>
      </c>
      <c r="G100">
        <v>7</v>
      </c>
      <c r="H100" t="str">
        <f t="shared" si="8"/>
        <v>Win</v>
      </c>
      <c r="I100">
        <f t="shared" si="9"/>
        <v>1</v>
      </c>
      <c r="J100">
        <f t="shared" si="10"/>
        <v>6</v>
      </c>
      <c r="K100">
        <f t="shared" si="11"/>
        <v>20</v>
      </c>
      <c r="L100">
        <v>13</v>
      </c>
      <c r="M100">
        <v>14</v>
      </c>
      <c r="N100">
        <v>8</v>
      </c>
      <c r="O100" s="3">
        <f t="shared" si="12"/>
        <v>0.9285714285714286</v>
      </c>
      <c r="P100" s="3">
        <f t="shared" si="13"/>
        <v>0.65</v>
      </c>
      <c r="Q100" s="3">
        <f t="shared" si="14"/>
        <v>0.7</v>
      </c>
      <c r="R100" s="3">
        <f t="shared" si="15"/>
        <v>0.4</v>
      </c>
      <c r="S100">
        <v>12</v>
      </c>
      <c r="T100" s="4">
        <v>0.12</v>
      </c>
      <c r="U100">
        <v>178</v>
      </c>
      <c r="V100">
        <v>608</v>
      </c>
    </row>
    <row r="101" spans="1:22">
      <c r="A101">
        <v>97</v>
      </c>
      <c r="B101" s="2">
        <v>46295</v>
      </c>
      <c r="C101" t="s">
        <v>35</v>
      </c>
      <c r="D101" t="s">
        <v>32</v>
      </c>
      <c r="E101" t="s">
        <v>38</v>
      </c>
      <c r="F101">
        <v>14</v>
      </c>
      <c r="G101">
        <v>12</v>
      </c>
      <c r="H101" t="str">
        <f t="shared" si="8"/>
        <v>Win</v>
      </c>
      <c r="I101">
        <f t="shared" si="9"/>
        <v>1</v>
      </c>
      <c r="J101">
        <f t="shared" si="10"/>
        <v>2</v>
      </c>
      <c r="K101">
        <f t="shared" si="11"/>
        <v>26</v>
      </c>
      <c r="L101">
        <v>18</v>
      </c>
      <c r="M101">
        <v>16</v>
      </c>
      <c r="N101">
        <v>7</v>
      </c>
      <c r="O101" s="3">
        <f t="shared" si="12"/>
        <v>1.125</v>
      </c>
      <c r="P101" s="3">
        <f t="shared" si="13"/>
        <v>0.69230769230769229</v>
      </c>
      <c r="Q101" s="3">
        <f t="shared" si="14"/>
        <v>0.61538461538461542</v>
      </c>
      <c r="R101" s="3">
        <f t="shared" si="15"/>
        <v>0.26923076923076922</v>
      </c>
      <c r="S101">
        <v>9</v>
      </c>
      <c r="T101" s="4">
        <v>0.17</v>
      </c>
      <c r="U101">
        <v>194</v>
      </c>
      <c r="V101">
        <v>651</v>
      </c>
    </row>
    <row r="102" spans="1:22">
      <c r="A102">
        <v>98</v>
      </c>
      <c r="B102" s="2">
        <v>46295</v>
      </c>
      <c r="C102" t="s">
        <v>29</v>
      </c>
      <c r="D102" t="s">
        <v>31</v>
      </c>
      <c r="E102" t="s">
        <v>45</v>
      </c>
      <c r="F102">
        <v>13</v>
      </c>
      <c r="G102">
        <v>6</v>
      </c>
      <c r="H102" t="str">
        <f t="shared" si="8"/>
        <v>Win</v>
      </c>
      <c r="I102">
        <f t="shared" si="9"/>
        <v>1</v>
      </c>
      <c r="J102">
        <f t="shared" si="10"/>
        <v>7</v>
      </c>
      <c r="K102">
        <f t="shared" si="11"/>
        <v>19</v>
      </c>
      <c r="L102">
        <v>8</v>
      </c>
      <c r="M102">
        <v>13</v>
      </c>
      <c r="N102">
        <v>20</v>
      </c>
      <c r="O102" s="3">
        <f t="shared" si="12"/>
        <v>0.61538461538461542</v>
      </c>
      <c r="P102" s="3">
        <f t="shared" si="13"/>
        <v>0.42105263157894735</v>
      </c>
      <c r="Q102" s="3">
        <f t="shared" si="14"/>
        <v>0.68421052631578949</v>
      </c>
      <c r="R102" s="3">
        <f t="shared" si="15"/>
        <v>1.0526315789473684</v>
      </c>
      <c r="S102">
        <v>-39</v>
      </c>
      <c r="T102" s="4">
        <v>0.08</v>
      </c>
      <c r="U102">
        <v>140</v>
      </c>
      <c r="V102">
        <v>490</v>
      </c>
    </row>
    <row r="103" spans="1:22">
      <c r="A103">
        <v>99</v>
      </c>
      <c r="B103" s="2">
        <v>46295</v>
      </c>
      <c r="C103" t="s">
        <v>40</v>
      </c>
      <c r="D103" t="s">
        <v>37</v>
      </c>
      <c r="E103" t="s">
        <v>25</v>
      </c>
      <c r="F103">
        <v>9</v>
      </c>
      <c r="G103">
        <v>13</v>
      </c>
      <c r="H103" t="str">
        <f t="shared" si="8"/>
        <v>Loss</v>
      </c>
      <c r="I103">
        <f t="shared" si="9"/>
        <v>0</v>
      </c>
      <c r="J103">
        <f t="shared" si="10"/>
        <v>-4</v>
      </c>
      <c r="K103">
        <f t="shared" si="11"/>
        <v>22</v>
      </c>
      <c r="L103">
        <v>14</v>
      </c>
      <c r="M103">
        <v>17</v>
      </c>
      <c r="N103">
        <v>5</v>
      </c>
      <c r="O103" s="3">
        <f t="shared" si="12"/>
        <v>0.82352941176470584</v>
      </c>
      <c r="P103" s="3">
        <f t="shared" si="13"/>
        <v>0.63636363636363635</v>
      </c>
      <c r="Q103" s="3">
        <f t="shared" si="14"/>
        <v>0.77272727272727271</v>
      </c>
      <c r="R103" s="3">
        <f t="shared" si="15"/>
        <v>0.22727272727272727</v>
      </c>
      <c r="S103">
        <v>14</v>
      </c>
      <c r="T103" s="4">
        <v>0.13</v>
      </c>
      <c r="U103">
        <v>208</v>
      </c>
      <c r="V103">
        <v>423</v>
      </c>
    </row>
    <row r="104" spans="1:22">
      <c r="A104">
        <v>100</v>
      </c>
      <c r="B104" s="2">
        <v>46295</v>
      </c>
      <c r="C104" t="s">
        <v>34</v>
      </c>
      <c r="D104" t="s">
        <v>32</v>
      </c>
      <c r="E104" t="s">
        <v>25</v>
      </c>
      <c r="F104">
        <v>10</v>
      </c>
      <c r="G104">
        <v>13</v>
      </c>
      <c r="H104" t="str">
        <f t="shared" si="8"/>
        <v>Loss</v>
      </c>
      <c r="I104">
        <f t="shared" si="9"/>
        <v>0</v>
      </c>
      <c r="J104">
        <f t="shared" si="10"/>
        <v>-3</v>
      </c>
      <c r="K104">
        <f t="shared" si="11"/>
        <v>23</v>
      </c>
      <c r="L104">
        <v>8</v>
      </c>
      <c r="M104">
        <v>19</v>
      </c>
      <c r="N104">
        <v>2</v>
      </c>
      <c r="O104" s="3">
        <f t="shared" si="12"/>
        <v>0.42105263157894735</v>
      </c>
      <c r="P104" s="3">
        <f t="shared" si="13"/>
        <v>0.34782608695652173</v>
      </c>
      <c r="Q104" s="3">
        <f t="shared" si="14"/>
        <v>0.82608695652173914</v>
      </c>
      <c r="R104" s="3">
        <f t="shared" si="15"/>
        <v>8.6956521739130432E-2</v>
      </c>
      <c r="S104">
        <v>-51</v>
      </c>
      <c r="T104" s="4">
        <v>0.05</v>
      </c>
      <c r="U104">
        <v>112</v>
      </c>
      <c r="V104">
        <v>173</v>
      </c>
    </row>
    <row r="105" spans="1:22">
      <c r="A105">
        <v>101</v>
      </c>
      <c r="B105" s="2">
        <v>46295</v>
      </c>
      <c r="C105" t="s">
        <v>23</v>
      </c>
      <c r="D105" t="s">
        <v>32</v>
      </c>
      <c r="E105" t="s">
        <v>25</v>
      </c>
      <c r="F105">
        <v>9</v>
      </c>
      <c r="G105">
        <v>13</v>
      </c>
      <c r="H105" t="str">
        <f t="shared" si="8"/>
        <v>Loss</v>
      </c>
      <c r="I105">
        <f t="shared" si="9"/>
        <v>0</v>
      </c>
      <c r="J105">
        <f t="shared" si="10"/>
        <v>-4</v>
      </c>
      <c r="K105">
        <f t="shared" si="11"/>
        <v>22</v>
      </c>
      <c r="L105">
        <v>12</v>
      </c>
      <c r="M105">
        <v>16</v>
      </c>
      <c r="N105">
        <v>5</v>
      </c>
      <c r="O105" s="3">
        <f t="shared" si="12"/>
        <v>0.75</v>
      </c>
      <c r="P105" s="3">
        <f t="shared" si="13"/>
        <v>0.54545454545454541</v>
      </c>
      <c r="Q105" s="3">
        <f t="shared" si="14"/>
        <v>0.72727272727272729</v>
      </c>
      <c r="R105" s="3">
        <f t="shared" si="15"/>
        <v>0.22727272727272727</v>
      </c>
      <c r="S105">
        <v>3</v>
      </c>
      <c r="T105" s="4">
        <v>0.09</v>
      </c>
      <c r="U105">
        <v>157</v>
      </c>
      <c r="V105">
        <v>337</v>
      </c>
    </row>
    <row r="106" spans="1:22">
      <c r="A106">
        <v>102</v>
      </c>
      <c r="B106" s="2">
        <v>46295</v>
      </c>
      <c r="C106" t="s">
        <v>41</v>
      </c>
      <c r="D106" t="s">
        <v>36</v>
      </c>
      <c r="E106" t="s">
        <v>28</v>
      </c>
      <c r="F106">
        <v>5</v>
      </c>
      <c r="G106">
        <v>13</v>
      </c>
      <c r="H106" t="str">
        <f t="shared" si="8"/>
        <v>Loss</v>
      </c>
      <c r="I106">
        <f t="shared" si="9"/>
        <v>0</v>
      </c>
      <c r="J106">
        <f t="shared" si="10"/>
        <v>-8</v>
      </c>
      <c r="K106">
        <f t="shared" si="11"/>
        <v>18</v>
      </c>
      <c r="L106">
        <v>11</v>
      </c>
      <c r="M106">
        <v>16</v>
      </c>
      <c r="N106">
        <v>5</v>
      </c>
      <c r="O106" s="3">
        <f t="shared" si="12"/>
        <v>0.6875</v>
      </c>
      <c r="P106" s="3">
        <f t="shared" si="13"/>
        <v>0.61111111111111116</v>
      </c>
      <c r="Q106" s="3">
        <f t="shared" si="14"/>
        <v>0.88888888888888884</v>
      </c>
      <c r="R106" s="3">
        <f t="shared" si="15"/>
        <v>0.27777777777777779</v>
      </c>
      <c r="S106">
        <v>-8</v>
      </c>
      <c r="T106" s="4">
        <v>0.23</v>
      </c>
      <c r="U106">
        <v>219</v>
      </c>
      <c r="V106">
        <v>428</v>
      </c>
    </row>
    <row r="107" spans="1:22">
      <c r="A107">
        <v>103</v>
      </c>
      <c r="B107" s="2">
        <v>46295</v>
      </c>
      <c r="C107" t="s">
        <v>41</v>
      </c>
      <c r="D107" t="s">
        <v>32</v>
      </c>
      <c r="E107" t="s">
        <v>25</v>
      </c>
      <c r="F107">
        <v>13</v>
      </c>
      <c r="G107">
        <v>10</v>
      </c>
      <c r="H107" t="str">
        <f t="shared" si="8"/>
        <v>Win</v>
      </c>
      <c r="I107">
        <f t="shared" si="9"/>
        <v>1</v>
      </c>
      <c r="J107">
        <f t="shared" si="10"/>
        <v>3</v>
      </c>
      <c r="K107">
        <f t="shared" si="11"/>
        <v>23</v>
      </c>
      <c r="L107">
        <v>13</v>
      </c>
      <c r="M107">
        <v>17</v>
      </c>
      <c r="N107">
        <v>3</v>
      </c>
      <c r="O107" s="3">
        <f t="shared" si="12"/>
        <v>0.76470588235294112</v>
      </c>
      <c r="P107" s="3">
        <f t="shared" si="13"/>
        <v>0.56521739130434778</v>
      </c>
      <c r="Q107" s="3">
        <f t="shared" si="14"/>
        <v>0.73913043478260865</v>
      </c>
      <c r="R107" s="3">
        <f t="shared" si="15"/>
        <v>0.13043478260869565</v>
      </c>
      <c r="S107">
        <v>-16</v>
      </c>
      <c r="T107" s="4">
        <v>0.2</v>
      </c>
      <c r="U107">
        <v>159</v>
      </c>
      <c r="V107">
        <v>460</v>
      </c>
    </row>
    <row r="108" spans="1:22">
      <c r="A108">
        <v>104</v>
      </c>
      <c r="B108" s="2">
        <v>46295</v>
      </c>
      <c r="C108" t="s">
        <v>34</v>
      </c>
      <c r="D108" t="s">
        <v>37</v>
      </c>
      <c r="E108" t="s">
        <v>25</v>
      </c>
      <c r="F108">
        <v>13</v>
      </c>
      <c r="G108">
        <v>6</v>
      </c>
      <c r="H108" t="str">
        <f t="shared" si="8"/>
        <v>Win</v>
      </c>
      <c r="I108">
        <f t="shared" si="9"/>
        <v>1</v>
      </c>
      <c r="J108">
        <f t="shared" si="10"/>
        <v>7</v>
      </c>
      <c r="K108">
        <f t="shared" si="11"/>
        <v>19</v>
      </c>
      <c r="L108">
        <v>15</v>
      </c>
      <c r="M108">
        <v>11</v>
      </c>
      <c r="N108">
        <v>3</v>
      </c>
      <c r="O108" s="3">
        <f t="shared" si="12"/>
        <v>1.3636363636363635</v>
      </c>
      <c r="P108" s="3">
        <f t="shared" si="13"/>
        <v>0.78947368421052633</v>
      </c>
      <c r="Q108" s="3">
        <f t="shared" si="14"/>
        <v>0.57894736842105265</v>
      </c>
      <c r="R108" s="3">
        <f t="shared" si="15"/>
        <v>0.15789473684210525</v>
      </c>
      <c r="S108">
        <v>11</v>
      </c>
      <c r="T108" s="4">
        <v>7.0000000000000007E-2</v>
      </c>
      <c r="U108">
        <v>217</v>
      </c>
      <c r="V108">
        <v>714</v>
      </c>
    </row>
    <row r="109" spans="1:22">
      <c r="A109">
        <v>105</v>
      </c>
      <c r="B109" s="2">
        <v>46295</v>
      </c>
      <c r="C109" t="s">
        <v>23</v>
      </c>
      <c r="D109" t="s">
        <v>27</v>
      </c>
      <c r="E109" t="s">
        <v>25</v>
      </c>
      <c r="F109">
        <v>5</v>
      </c>
      <c r="G109">
        <v>13</v>
      </c>
      <c r="H109" t="str">
        <f t="shared" si="8"/>
        <v>Loss</v>
      </c>
      <c r="I109">
        <f t="shared" si="9"/>
        <v>0</v>
      </c>
      <c r="J109">
        <f t="shared" si="10"/>
        <v>-8</v>
      </c>
      <c r="K109">
        <f t="shared" si="11"/>
        <v>18</v>
      </c>
      <c r="L109">
        <v>14</v>
      </c>
      <c r="M109">
        <v>17</v>
      </c>
      <c r="N109">
        <v>3</v>
      </c>
      <c r="O109" s="3">
        <f t="shared" si="12"/>
        <v>0.82352941176470584</v>
      </c>
      <c r="P109" s="3">
        <f t="shared" si="13"/>
        <v>0.77777777777777779</v>
      </c>
      <c r="Q109" s="3">
        <f t="shared" si="14"/>
        <v>0.94444444444444442</v>
      </c>
      <c r="R109" s="3">
        <f t="shared" si="15"/>
        <v>0.16666666666666666</v>
      </c>
      <c r="S109">
        <v>-8</v>
      </c>
      <c r="T109" s="4">
        <v>0.08</v>
      </c>
      <c r="U109">
        <v>235</v>
      </c>
      <c r="V109">
        <v>391</v>
      </c>
    </row>
    <row r="110" spans="1:22">
      <c r="A110">
        <v>106</v>
      </c>
      <c r="B110" s="2">
        <v>46294</v>
      </c>
      <c r="C110" t="s">
        <v>26</v>
      </c>
      <c r="D110" t="s">
        <v>37</v>
      </c>
      <c r="E110" t="s">
        <v>28</v>
      </c>
      <c r="F110">
        <v>13</v>
      </c>
      <c r="G110">
        <v>11</v>
      </c>
      <c r="H110" t="str">
        <f t="shared" si="8"/>
        <v>Win</v>
      </c>
      <c r="I110">
        <f t="shared" si="9"/>
        <v>1</v>
      </c>
      <c r="J110">
        <f t="shared" si="10"/>
        <v>2</v>
      </c>
      <c r="K110">
        <f t="shared" si="11"/>
        <v>24</v>
      </c>
      <c r="L110">
        <v>19</v>
      </c>
      <c r="M110">
        <v>19</v>
      </c>
      <c r="N110">
        <v>10</v>
      </c>
      <c r="O110" s="3">
        <f t="shared" si="12"/>
        <v>1</v>
      </c>
      <c r="P110" s="3">
        <f t="shared" si="13"/>
        <v>0.79166666666666663</v>
      </c>
      <c r="Q110" s="3">
        <f t="shared" si="14"/>
        <v>0.79166666666666663</v>
      </c>
      <c r="R110" s="3">
        <f t="shared" si="15"/>
        <v>0.41666666666666669</v>
      </c>
      <c r="S110">
        <v>18</v>
      </c>
      <c r="T110" s="4">
        <v>0.14000000000000001</v>
      </c>
      <c r="U110">
        <v>233</v>
      </c>
      <c r="V110">
        <v>725</v>
      </c>
    </row>
    <row r="111" spans="1:22">
      <c r="A111">
        <v>107</v>
      </c>
      <c r="B111" s="2">
        <v>46294</v>
      </c>
      <c r="C111" t="s">
        <v>23</v>
      </c>
      <c r="D111" t="s">
        <v>31</v>
      </c>
      <c r="E111" t="s">
        <v>39</v>
      </c>
      <c r="F111">
        <v>4</v>
      </c>
      <c r="G111">
        <v>13</v>
      </c>
      <c r="H111" t="str">
        <f t="shared" si="8"/>
        <v>Loss</v>
      </c>
      <c r="I111">
        <f t="shared" si="9"/>
        <v>0</v>
      </c>
      <c r="J111">
        <f t="shared" si="10"/>
        <v>-9</v>
      </c>
      <c r="K111">
        <f t="shared" si="11"/>
        <v>17</v>
      </c>
      <c r="L111">
        <v>3</v>
      </c>
      <c r="M111">
        <v>16</v>
      </c>
      <c r="N111">
        <v>1</v>
      </c>
      <c r="O111" s="3">
        <f t="shared" si="12"/>
        <v>0.1875</v>
      </c>
      <c r="P111" s="3">
        <f t="shared" si="13"/>
        <v>0.17647058823529413</v>
      </c>
      <c r="Q111" s="3">
        <f t="shared" si="14"/>
        <v>0.94117647058823528</v>
      </c>
      <c r="R111" s="3">
        <f t="shared" si="15"/>
        <v>5.8823529411764705E-2</v>
      </c>
      <c r="S111">
        <v>-108</v>
      </c>
      <c r="T111" s="4">
        <v>7.0000000000000007E-2</v>
      </c>
      <c r="U111">
        <v>54</v>
      </c>
      <c r="V111">
        <v>100</v>
      </c>
    </row>
    <row r="112" spans="1:22">
      <c r="A112">
        <v>108</v>
      </c>
      <c r="B112" s="2">
        <v>46294</v>
      </c>
      <c r="C112" t="s">
        <v>26</v>
      </c>
      <c r="D112" t="s">
        <v>32</v>
      </c>
      <c r="E112" t="s">
        <v>28</v>
      </c>
      <c r="F112">
        <v>13</v>
      </c>
      <c r="G112">
        <v>4</v>
      </c>
      <c r="H112" t="str">
        <f t="shared" si="8"/>
        <v>Win</v>
      </c>
      <c r="I112">
        <f t="shared" si="9"/>
        <v>1</v>
      </c>
      <c r="J112">
        <f t="shared" si="10"/>
        <v>9</v>
      </c>
      <c r="K112">
        <f t="shared" si="11"/>
        <v>17</v>
      </c>
      <c r="L112">
        <v>8</v>
      </c>
      <c r="M112">
        <v>7</v>
      </c>
      <c r="N112">
        <v>4</v>
      </c>
      <c r="O112" s="3">
        <f t="shared" si="12"/>
        <v>1.1428571428571428</v>
      </c>
      <c r="P112" s="3">
        <f t="shared" si="13"/>
        <v>0.47058823529411764</v>
      </c>
      <c r="Q112" s="3">
        <f t="shared" si="14"/>
        <v>0.41176470588235292</v>
      </c>
      <c r="R112" s="3">
        <f t="shared" si="15"/>
        <v>0.23529411764705882</v>
      </c>
      <c r="S112">
        <v>-3</v>
      </c>
      <c r="T112" s="4">
        <v>0.13</v>
      </c>
      <c r="U112">
        <v>124</v>
      </c>
      <c r="V112">
        <v>466</v>
      </c>
    </row>
    <row r="113" spans="1:22">
      <c r="A113">
        <v>109</v>
      </c>
      <c r="B113" s="2">
        <v>46294</v>
      </c>
      <c r="C113" t="s">
        <v>29</v>
      </c>
      <c r="D113" t="s">
        <v>31</v>
      </c>
      <c r="E113" t="s">
        <v>25</v>
      </c>
      <c r="F113">
        <v>13</v>
      </c>
      <c r="G113">
        <v>15</v>
      </c>
      <c r="H113" t="str">
        <f t="shared" si="8"/>
        <v>Loss</v>
      </c>
      <c r="I113">
        <f t="shared" si="9"/>
        <v>0</v>
      </c>
      <c r="J113">
        <f t="shared" si="10"/>
        <v>-2</v>
      </c>
      <c r="K113">
        <f t="shared" si="11"/>
        <v>28</v>
      </c>
      <c r="L113">
        <v>10</v>
      </c>
      <c r="M113">
        <v>23</v>
      </c>
      <c r="N113">
        <v>11</v>
      </c>
      <c r="O113" s="3">
        <f t="shared" si="12"/>
        <v>0.43478260869565216</v>
      </c>
      <c r="P113" s="3">
        <f t="shared" si="13"/>
        <v>0.35714285714285715</v>
      </c>
      <c r="Q113" s="3">
        <f t="shared" si="14"/>
        <v>0.8214285714285714</v>
      </c>
      <c r="R113" s="3">
        <f t="shared" si="15"/>
        <v>0.39285714285714285</v>
      </c>
      <c r="S113">
        <v>-47</v>
      </c>
      <c r="T113" s="4">
        <v>0.14000000000000001</v>
      </c>
      <c r="U113">
        <v>125</v>
      </c>
      <c r="V113">
        <v>201</v>
      </c>
    </row>
    <row r="114" spans="1:22">
      <c r="A114">
        <v>110</v>
      </c>
      <c r="B114" s="2">
        <v>46294</v>
      </c>
      <c r="C114" t="s">
        <v>29</v>
      </c>
      <c r="D114" t="s">
        <v>32</v>
      </c>
      <c r="E114" t="s">
        <v>25</v>
      </c>
      <c r="F114">
        <v>13</v>
      </c>
      <c r="G114">
        <v>10</v>
      </c>
      <c r="H114" t="str">
        <f t="shared" si="8"/>
        <v>Win</v>
      </c>
      <c r="I114">
        <f t="shared" si="9"/>
        <v>1</v>
      </c>
      <c r="J114">
        <f t="shared" si="10"/>
        <v>3</v>
      </c>
      <c r="K114">
        <f t="shared" si="11"/>
        <v>23</v>
      </c>
      <c r="L114">
        <v>10</v>
      </c>
      <c r="M114">
        <v>14</v>
      </c>
      <c r="N114">
        <v>9</v>
      </c>
      <c r="O114" s="3">
        <f t="shared" si="12"/>
        <v>0.7142857142857143</v>
      </c>
      <c r="P114" s="3">
        <f t="shared" si="13"/>
        <v>0.43478260869565216</v>
      </c>
      <c r="Q114" s="3">
        <f t="shared" si="14"/>
        <v>0.60869565217391308</v>
      </c>
      <c r="R114" s="3">
        <f t="shared" si="15"/>
        <v>0.39130434782608697</v>
      </c>
      <c r="S114">
        <v>-10</v>
      </c>
      <c r="T114" s="4">
        <v>0.09</v>
      </c>
      <c r="U114">
        <v>139</v>
      </c>
      <c r="V114">
        <v>399</v>
      </c>
    </row>
    <row r="115" spans="1:22">
      <c r="A115">
        <v>111</v>
      </c>
      <c r="B115" s="2">
        <v>46294</v>
      </c>
      <c r="C115" t="s">
        <v>35</v>
      </c>
      <c r="D115" t="s">
        <v>46</v>
      </c>
      <c r="E115" t="s">
        <v>25</v>
      </c>
      <c r="F115">
        <v>14</v>
      </c>
      <c r="G115">
        <v>14</v>
      </c>
      <c r="H115" t="str">
        <f t="shared" si="8"/>
        <v>Draw</v>
      </c>
      <c r="I115">
        <f t="shared" si="9"/>
        <v>0</v>
      </c>
      <c r="J115">
        <f t="shared" si="10"/>
        <v>0</v>
      </c>
      <c r="K115">
        <f t="shared" si="11"/>
        <v>28</v>
      </c>
      <c r="L115">
        <v>28</v>
      </c>
      <c r="M115">
        <v>18</v>
      </c>
      <c r="N115">
        <v>7</v>
      </c>
      <c r="O115" s="3">
        <f t="shared" si="12"/>
        <v>1.5555555555555556</v>
      </c>
      <c r="P115" s="3">
        <f t="shared" si="13"/>
        <v>1</v>
      </c>
      <c r="Q115" s="3">
        <f t="shared" si="14"/>
        <v>0.6428571428571429</v>
      </c>
      <c r="R115" s="3">
        <f t="shared" si="15"/>
        <v>0.25</v>
      </c>
      <c r="S115">
        <v>59</v>
      </c>
      <c r="T115" s="4">
        <v>0.21</v>
      </c>
      <c r="U115">
        <v>284</v>
      </c>
      <c r="V115">
        <v>861</v>
      </c>
    </row>
    <row r="116" spans="1:22">
      <c r="A116">
        <v>112</v>
      </c>
      <c r="B116" s="2">
        <v>46294</v>
      </c>
      <c r="C116" t="s">
        <v>26</v>
      </c>
      <c r="D116" t="s">
        <v>27</v>
      </c>
      <c r="E116" t="s">
        <v>28</v>
      </c>
      <c r="F116">
        <v>13</v>
      </c>
      <c r="G116">
        <v>4</v>
      </c>
      <c r="H116" t="str">
        <f t="shared" si="8"/>
        <v>Win</v>
      </c>
      <c r="I116">
        <f t="shared" si="9"/>
        <v>1</v>
      </c>
      <c r="J116">
        <f t="shared" si="10"/>
        <v>9</v>
      </c>
      <c r="K116">
        <f t="shared" si="11"/>
        <v>17</v>
      </c>
      <c r="L116">
        <v>15</v>
      </c>
      <c r="M116">
        <v>7</v>
      </c>
      <c r="N116">
        <v>5</v>
      </c>
      <c r="O116" s="3">
        <f t="shared" si="12"/>
        <v>2.1428571428571428</v>
      </c>
      <c r="P116" s="3">
        <f t="shared" si="13"/>
        <v>0.88235294117647056</v>
      </c>
      <c r="Q116" s="3">
        <f t="shared" si="14"/>
        <v>0.41176470588235292</v>
      </c>
      <c r="R116" s="3">
        <f t="shared" si="15"/>
        <v>0.29411764705882354</v>
      </c>
      <c r="S116">
        <v>60</v>
      </c>
      <c r="T116" s="4">
        <v>0.11</v>
      </c>
      <c r="U116">
        <v>235</v>
      </c>
      <c r="V116">
        <v>885</v>
      </c>
    </row>
    <row r="117" spans="1:22">
      <c r="A117">
        <v>113</v>
      </c>
      <c r="B117" s="2">
        <v>46293</v>
      </c>
      <c r="C117" t="s">
        <v>26</v>
      </c>
      <c r="D117" t="s">
        <v>31</v>
      </c>
      <c r="E117" t="s">
        <v>25</v>
      </c>
      <c r="F117">
        <v>6</v>
      </c>
      <c r="G117">
        <v>13</v>
      </c>
      <c r="H117" t="str">
        <f t="shared" si="8"/>
        <v>Loss</v>
      </c>
      <c r="I117">
        <f t="shared" si="9"/>
        <v>0</v>
      </c>
      <c r="J117">
        <f t="shared" si="10"/>
        <v>-7</v>
      </c>
      <c r="K117">
        <f t="shared" si="11"/>
        <v>19</v>
      </c>
      <c r="L117">
        <v>4</v>
      </c>
      <c r="M117">
        <v>17</v>
      </c>
      <c r="N117">
        <v>4</v>
      </c>
      <c r="O117" s="3">
        <f t="shared" si="12"/>
        <v>0.23529411764705882</v>
      </c>
      <c r="P117" s="3">
        <f t="shared" si="13"/>
        <v>0.21052631578947367</v>
      </c>
      <c r="Q117" s="3">
        <f t="shared" si="14"/>
        <v>0.89473684210526316</v>
      </c>
      <c r="R117" s="3">
        <f t="shared" si="15"/>
        <v>0.21052631578947367</v>
      </c>
      <c r="S117">
        <v>-62</v>
      </c>
      <c r="T117" s="4">
        <v>0.06</v>
      </c>
      <c r="U117">
        <v>88</v>
      </c>
      <c r="V117">
        <v>100</v>
      </c>
    </row>
    <row r="118" spans="1:22">
      <c r="A118">
        <v>114</v>
      </c>
      <c r="B118" s="2">
        <v>46293</v>
      </c>
      <c r="C118" t="s">
        <v>23</v>
      </c>
      <c r="D118" t="s">
        <v>36</v>
      </c>
      <c r="E118" t="s">
        <v>39</v>
      </c>
      <c r="F118">
        <v>4</v>
      </c>
      <c r="G118">
        <v>13</v>
      </c>
      <c r="H118" t="str">
        <f t="shared" si="8"/>
        <v>Loss</v>
      </c>
      <c r="I118">
        <f t="shared" si="9"/>
        <v>0</v>
      </c>
      <c r="J118">
        <f t="shared" si="10"/>
        <v>-9</v>
      </c>
      <c r="K118">
        <f t="shared" si="11"/>
        <v>17</v>
      </c>
      <c r="L118">
        <v>9</v>
      </c>
      <c r="M118">
        <v>15</v>
      </c>
      <c r="N118">
        <v>7</v>
      </c>
      <c r="O118" s="3">
        <f t="shared" si="12"/>
        <v>0.6</v>
      </c>
      <c r="P118" s="3">
        <f t="shared" si="13"/>
        <v>0.52941176470588236</v>
      </c>
      <c r="Q118" s="3">
        <f t="shared" si="14"/>
        <v>0.88235294117647056</v>
      </c>
      <c r="R118" s="3">
        <f t="shared" si="15"/>
        <v>0.41176470588235292</v>
      </c>
      <c r="S118">
        <v>-15</v>
      </c>
      <c r="T118" s="4">
        <v>0.1</v>
      </c>
      <c r="U118">
        <v>178</v>
      </c>
      <c r="V118">
        <v>383</v>
      </c>
    </row>
    <row r="119" spans="1:22">
      <c r="A119">
        <v>115</v>
      </c>
      <c r="B119" s="2">
        <v>46293</v>
      </c>
      <c r="C119" t="s">
        <v>35</v>
      </c>
      <c r="D119" t="s">
        <v>32</v>
      </c>
      <c r="E119" t="s">
        <v>25</v>
      </c>
      <c r="F119">
        <v>9</v>
      </c>
      <c r="G119">
        <v>13</v>
      </c>
      <c r="H119" t="str">
        <f t="shared" si="8"/>
        <v>Loss</v>
      </c>
      <c r="I119">
        <f t="shared" si="9"/>
        <v>0</v>
      </c>
      <c r="J119">
        <f t="shared" si="10"/>
        <v>-4</v>
      </c>
      <c r="K119">
        <f t="shared" si="11"/>
        <v>22</v>
      </c>
      <c r="L119">
        <v>12</v>
      </c>
      <c r="M119">
        <v>16</v>
      </c>
      <c r="N119">
        <v>2</v>
      </c>
      <c r="O119" s="3">
        <f t="shared" si="12"/>
        <v>0.75</v>
      </c>
      <c r="P119" s="3">
        <f t="shared" si="13"/>
        <v>0.54545454545454541</v>
      </c>
      <c r="Q119" s="3">
        <f t="shared" si="14"/>
        <v>0.72727272727272729</v>
      </c>
      <c r="R119" s="3">
        <f t="shared" si="15"/>
        <v>9.0909090909090912E-2</v>
      </c>
      <c r="S119">
        <v>-25</v>
      </c>
      <c r="T119" s="4">
        <v>0.17</v>
      </c>
      <c r="U119">
        <v>148</v>
      </c>
      <c r="V119">
        <v>335</v>
      </c>
    </row>
    <row r="120" spans="1:22">
      <c r="A120">
        <v>116</v>
      </c>
      <c r="B120" s="2">
        <v>46293</v>
      </c>
      <c r="C120" t="s">
        <v>40</v>
      </c>
      <c r="D120" t="s">
        <v>30</v>
      </c>
      <c r="E120" t="s">
        <v>25</v>
      </c>
      <c r="F120">
        <v>13</v>
      </c>
      <c r="G120">
        <v>8</v>
      </c>
      <c r="H120" t="str">
        <f t="shared" si="8"/>
        <v>Win</v>
      </c>
      <c r="I120">
        <f t="shared" si="9"/>
        <v>1</v>
      </c>
      <c r="J120">
        <f t="shared" si="10"/>
        <v>5</v>
      </c>
      <c r="K120">
        <f t="shared" si="11"/>
        <v>21</v>
      </c>
      <c r="L120">
        <v>13</v>
      </c>
      <c r="M120">
        <v>17</v>
      </c>
      <c r="N120">
        <v>4</v>
      </c>
      <c r="O120" s="3">
        <f t="shared" si="12"/>
        <v>0.76470588235294112</v>
      </c>
      <c r="P120" s="3">
        <f t="shared" si="13"/>
        <v>0.61904761904761907</v>
      </c>
      <c r="Q120" s="3">
        <f t="shared" si="14"/>
        <v>0.80952380952380953</v>
      </c>
      <c r="R120" s="3">
        <f t="shared" si="15"/>
        <v>0.19047619047619047</v>
      </c>
      <c r="S120">
        <v>-3</v>
      </c>
      <c r="T120" s="4">
        <v>0.15</v>
      </c>
      <c r="U120">
        <v>173</v>
      </c>
      <c r="V120">
        <v>488</v>
      </c>
    </row>
    <row r="121" spans="1:22">
      <c r="A121">
        <v>117</v>
      </c>
      <c r="B121" s="2">
        <v>46293</v>
      </c>
      <c r="C121" t="s">
        <v>41</v>
      </c>
      <c r="D121" t="s">
        <v>36</v>
      </c>
      <c r="E121" t="s">
        <v>25</v>
      </c>
      <c r="F121">
        <v>13</v>
      </c>
      <c r="G121">
        <v>10</v>
      </c>
      <c r="H121" t="str">
        <f t="shared" si="8"/>
        <v>Win</v>
      </c>
      <c r="I121">
        <f t="shared" si="9"/>
        <v>1</v>
      </c>
      <c r="J121">
        <f t="shared" si="10"/>
        <v>3</v>
      </c>
      <c r="K121">
        <f t="shared" si="11"/>
        <v>23</v>
      </c>
      <c r="L121">
        <v>16</v>
      </c>
      <c r="M121">
        <v>16</v>
      </c>
      <c r="N121">
        <v>7</v>
      </c>
      <c r="O121" s="3">
        <f t="shared" si="12"/>
        <v>1</v>
      </c>
      <c r="P121" s="3">
        <f t="shared" si="13"/>
        <v>0.69565217391304346</v>
      </c>
      <c r="Q121" s="3">
        <f t="shared" si="14"/>
        <v>0.69565217391304346</v>
      </c>
      <c r="R121" s="3">
        <f t="shared" si="15"/>
        <v>0.30434782608695654</v>
      </c>
      <c r="S121">
        <v>13</v>
      </c>
      <c r="T121" s="4">
        <v>0.09</v>
      </c>
      <c r="U121">
        <v>217</v>
      </c>
      <c r="V121">
        <v>653</v>
      </c>
    </row>
    <row r="122" spans="1:22">
      <c r="A122">
        <v>118</v>
      </c>
      <c r="B122" s="2">
        <v>46293</v>
      </c>
      <c r="C122" t="s">
        <v>41</v>
      </c>
      <c r="D122" t="s">
        <v>36</v>
      </c>
      <c r="E122" t="s">
        <v>25</v>
      </c>
      <c r="F122">
        <v>8</v>
      </c>
      <c r="G122">
        <v>13</v>
      </c>
      <c r="H122" t="str">
        <f t="shared" si="8"/>
        <v>Loss</v>
      </c>
      <c r="I122">
        <f t="shared" si="9"/>
        <v>0</v>
      </c>
      <c r="J122">
        <f t="shared" si="10"/>
        <v>-5</v>
      </c>
      <c r="K122">
        <f t="shared" si="11"/>
        <v>21</v>
      </c>
      <c r="L122">
        <v>16</v>
      </c>
      <c r="M122">
        <v>16</v>
      </c>
      <c r="N122">
        <v>3</v>
      </c>
      <c r="O122" s="3">
        <f t="shared" si="12"/>
        <v>1</v>
      </c>
      <c r="P122" s="3">
        <f t="shared" si="13"/>
        <v>0.76190476190476186</v>
      </c>
      <c r="Q122" s="3">
        <f t="shared" si="14"/>
        <v>0.76190476190476186</v>
      </c>
      <c r="R122" s="3">
        <f t="shared" si="15"/>
        <v>0.14285714285714285</v>
      </c>
      <c r="S122">
        <v>-2</v>
      </c>
      <c r="T122" s="4">
        <v>0.14000000000000001</v>
      </c>
      <c r="U122">
        <v>206</v>
      </c>
      <c r="V122">
        <v>390</v>
      </c>
    </row>
    <row r="123" spans="1:22">
      <c r="A123">
        <v>119</v>
      </c>
      <c r="B123" s="2">
        <v>46292</v>
      </c>
      <c r="C123" t="s">
        <v>35</v>
      </c>
      <c r="D123" t="s">
        <v>37</v>
      </c>
      <c r="E123" t="s">
        <v>25</v>
      </c>
      <c r="F123">
        <v>5</v>
      </c>
      <c r="G123">
        <v>13</v>
      </c>
      <c r="H123" t="str">
        <f t="shared" si="8"/>
        <v>Loss</v>
      </c>
      <c r="I123">
        <f t="shared" si="9"/>
        <v>0</v>
      </c>
      <c r="J123">
        <f t="shared" si="10"/>
        <v>-8</v>
      </c>
      <c r="K123">
        <f t="shared" si="11"/>
        <v>18</v>
      </c>
      <c r="L123">
        <v>14</v>
      </c>
      <c r="M123">
        <v>15</v>
      </c>
      <c r="N123">
        <v>7</v>
      </c>
      <c r="O123" s="3">
        <f t="shared" si="12"/>
        <v>0.93333333333333335</v>
      </c>
      <c r="P123" s="3">
        <f t="shared" si="13"/>
        <v>0.77777777777777779</v>
      </c>
      <c r="Q123" s="3">
        <f t="shared" si="14"/>
        <v>0.83333333333333337</v>
      </c>
      <c r="R123" s="3">
        <f t="shared" si="15"/>
        <v>0.3888888888888889</v>
      </c>
      <c r="S123">
        <v>19</v>
      </c>
      <c r="T123" s="4">
        <v>0.19</v>
      </c>
      <c r="U123">
        <v>240</v>
      </c>
      <c r="V123">
        <v>574</v>
      </c>
    </row>
    <row r="124" spans="1:22">
      <c r="A124">
        <v>120</v>
      </c>
      <c r="B124" s="2">
        <v>46292</v>
      </c>
      <c r="C124" t="s">
        <v>29</v>
      </c>
      <c r="D124" t="s">
        <v>31</v>
      </c>
      <c r="E124" t="s">
        <v>25</v>
      </c>
      <c r="F124">
        <v>11</v>
      </c>
      <c r="G124">
        <v>13</v>
      </c>
      <c r="H124" t="str">
        <f t="shared" si="8"/>
        <v>Loss</v>
      </c>
      <c r="I124">
        <f t="shared" si="9"/>
        <v>0</v>
      </c>
      <c r="J124">
        <f t="shared" si="10"/>
        <v>-2</v>
      </c>
      <c r="K124">
        <f t="shared" si="11"/>
        <v>24</v>
      </c>
      <c r="L124">
        <v>7</v>
      </c>
      <c r="M124">
        <v>20</v>
      </c>
      <c r="N124">
        <v>6</v>
      </c>
      <c r="O124" s="3">
        <f t="shared" si="12"/>
        <v>0.35</v>
      </c>
      <c r="P124" s="3">
        <f t="shared" si="13"/>
        <v>0.29166666666666669</v>
      </c>
      <c r="Q124" s="3">
        <f t="shared" si="14"/>
        <v>0.83333333333333337</v>
      </c>
      <c r="R124" s="3">
        <f t="shared" si="15"/>
        <v>0.25</v>
      </c>
      <c r="S124">
        <v>-51</v>
      </c>
      <c r="T124" s="4">
        <v>0.16</v>
      </c>
      <c r="U124">
        <v>114</v>
      </c>
      <c r="V124">
        <v>229</v>
      </c>
    </row>
    <row r="125" spans="1:22">
      <c r="A125">
        <v>121</v>
      </c>
      <c r="B125" s="2">
        <v>46292</v>
      </c>
      <c r="C125" t="s">
        <v>23</v>
      </c>
      <c r="D125" t="s">
        <v>32</v>
      </c>
      <c r="E125" t="s">
        <v>39</v>
      </c>
      <c r="F125">
        <v>13</v>
      </c>
      <c r="G125">
        <v>9</v>
      </c>
      <c r="H125" t="str">
        <f t="shared" si="8"/>
        <v>Win</v>
      </c>
      <c r="I125">
        <f t="shared" si="9"/>
        <v>1</v>
      </c>
      <c r="J125">
        <f t="shared" si="10"/>
        <v>4</v>
      </c>
      <c r="K125">
        <f t="shared" si="11"/>
        <v>22</v>
      </c>
      <c r="L125">
        <v>14</v>
      </c>
      <c r="M125">
        <v>17</v>
      </c>
      <c r="N125">
        <v>9</v>
      </c>
      <c r="O125" s="3">
        <f t="shared" si="12"/>
        <v>0.82352941176470584</v>
      </c>
      <c r="P125" s="3">
        <f t="shared" si="13"/>
        <v>0.63636363636363635</v>
      </c>
      <c r="Q125" s="3">
        <f t="shared" si="14"/>
        <v>0.77272727272727271</v>
      </c>
      <c r="R125" s="3">
        <f t="shared" si="15"/>
        <v>0.40909090909090912</v>
      </c>
      <c r="S125">
        <v>-19</v>
      </c>
      <c r="T125" s="4">
        <v>0.19</v>
      </c>
      <c r="U125">
        <v>174</v>
      </c>
      <c r="V125">
        <v>520</v>
      </c>
    </row>
    <row r="126" spans="1:22">
      <c r="A126">
        <v>122</v>
      </c>
      <c r="B126" s="2">
        <v>46292</v>
      </c>
      <c r="C126" t="s">
        <v>40</v>
      </c>
      <c r="D126" t="s">
        <v>32</v>
      </c>
      <c r="E126" t="s">
        <v>25</v>
      </c>
      <c r="F126">
        <v>13</v>
      </c>
      <c r="G126">
        <v>9</v>
      </c>
      <c r="H126" t="str">
        <f t="shared" si="8"/>
        <v>Win</v>
      </c>
      <c r="I126">
        <f t="shared" si="9"/>
        <v>1</v>
      </c>
      <c r="J126">
        <f t="shared" si="10"/>
        <v>4</v>
      </c>
      <c r="K126">
        <f t="shared" si="11"/>
        <v>22</v>
      </c>
      <c r="L126">
        <v>8</v>
      </c>
      <c r="M126">
        <v>18</v>
      </c>
      <c r="N126">
        <v>3</v>
      </c>
      <c r="O126" s="3">
        <f t="shared" si="12"/>
        <v>0.44444444444444442</v>
      </c>
      <c r="P126" s="3">
        <f t="shared" si="13"/>
        <v>0.36363636363636365</v>
      </c>
      <c r="Q126" s="3">
        <f t="shared" si="14"/>
        <v>0.81818181818181823</v>
      </c>
      <c r="R126" s="3">
        <f t="shared" si="15"/>
        <v>0.13636363636363635</v>
      </c>
      <c r="S126">
        <v>-51</v>
      </c>
      <c r="T126" s="4">
        <v>0.18</v>
      </c>
      <c r="U126">
        <v>106</v>
      </c>
      <c r="V126">
        <v>268</v>
      </c>
    </row>
    <row r="127" spans="1:22">
      <c r="A127">
        <v>123</v>
      </c>
      <c r="B127" s="2">
        <v>46292</v>
      </c>
      <c r="C127" t="s">
        <v>29</v>
      </c>
      <c r="D127" t="s">
        <v>42</v>
      </c>
      <c r="E127" t="s">
        <v>25</v>
      </c>
      <c r="F127">
        <v>4</v>
      </c>
      <c r="G127">
        <v>13</v>
      </c>
      <c r="H127" t="str">
        <f t="shared" si="8"/>
        <v>Loss</v>
      </c>
      <c r="I127">
        <f t="shared" si="9"/>
        <v>0</v>
      </c>
      <c r="J127">
        <f t="shared" si="10"/>
        <v>-9</v>
      </c>
      <c r="K127">
        <f t="shared" si="11"/>
        <v>17</v>
      </c>
      <c r="L127">
        <v>14</v>
      </c>
      <c r="M127">
        <v>13</v>
      </c>
      <c r="N127">
        <v>2</v>
      </c>
      <c r="O127" s="3">
        <f t="shared" si="12"/>
        <v>1.0769230769230769</v>
      </c>
      <c r="P127" s="3">
        <f t="shared" si="13"/>
        <v>0.82352941176470584</v>
      </c>
      <c r="Q127" s="3">
        <f t="shared" si="14"/>
        <v>0.76470588235294112</v>
      </c>
      <c r="R127" s="3">
        <f t="shared" si="15"/>
        <v>0.11764705882352941</v>
      </c>
      <c r="S127">
        <v>25</v>
      </c>
      <c r="T127" s="4">
        <v>0.18</v>
      </c>
      <c r="U127">
        <v>232</v>
      </c>
      <c r="V127">
        <v>456</v>
      </c>
    </row>
    <row r="128" spans="1:22">
      <c r="A128">
        <v>124</v>
      </c>
      <c r="B128" s="2">
        <v>46292</v>
      </c>
      <c r="C128" t="s">
        <v>41</v>
      </c>
      <c r="D128" t="s">
        <v>46</v>
      </c>
      <c r="E128" t="s">
        <v>25</v>
      </c>
      <c r="F128">
        <v>10</v>
      </c>
      <c r="G128">
        <v>4</v>
      </c>
      <c r="H128" t="str">
        <f t="shared" si="8"/>
        <v>Win</v>
      </c>
      <c r="I128">
        <f t="shared" si="9"/>
        <v>1</v>
      </c>
      <c r="J128">
        <f t="shared" si="10"/>
        <v>6</v>
      </c>
      <c r="K128">
        <f t="shared" si="11"/>
        <v>14</v>
      </c>
      <c r="L128">
        <v>14</v>
      </c>
      <c r="M128">
        <v>7</v>
      </c>
      <c r="N128">
        <v>4</v>
      </c>
      <c r="O128" s="3">
        <f t="shared" si="12"/>
        <v>2</v>
      </c>
      <c r="P128" s="3">
        <f t="shared" si="13"/>
        <v>1</v>
      </c>
      <c r="Q128" s="3">
        <f t="shared" si="14"/>
        <v>0.5</v>
      </c>
      <c r="R128" s="3">
        <f t="shared" si="15"/>
        <v>0.2857142857142857</v>
      </c>
      <c r="S128">
        <v>90</v>
      </c>
      <c r="T128" s="4">
        <v>0.11</v>
      </c>
      <c r="U128">
        <v>283</v>
      </c>
      <c r="V128">
        <v>887</v>
      </c>
    </row>
    <row r="129" spans="1:22">
      <c r="A129">
        <v>125</v>
      </c>
      <c r="B129" s="2">
        <v>46292</v>
      </c>
      <c r="C129" t="s">
        <v>26</v>
      </c>
      <c r="D129" t="s">
        <v>31</v>
      </c>
      <c r="E129" t="s">
        <v>25</v>
      </c>
      <c r="F129">
        <v>13</v>
      </c>
      <c r="G129">
        <v>3</v>
      </c>
      <c r="H129" t="str">
        <f t="shared" si="8"/>
        <v>Win</v>
      </c>
      <c r="I129">
        <f t="shared" si="9"/>
        <v>1</v>
      </c>
      <c r="J129">
        <f t="shared" si="10"/>
        <v>10</v>
      </c>
      <c r="K129">
        <f t="shared" si="11"/>
        <v>16</v>
      </c>
      <c r="L129">
        <v>8</v>
      </c>
      <c r="M129">
        <v>10</v>
      </c>
      <c r="N129">
        <v>7</v>
      </c>
      <c r="O129" s="3">
        <f t="shared" si="12"/>
        <v>0.8</v>
      </c>
      <c r="P129" s="3">
        <f t="shared" si="13"/>
        <v>0.5</v>
      </c>
      <c r="Q129" s="3">
        <f t="shared" si="14"/>
        <v>0.625</v>
      </c>
      <c r="R129" s="3">
        <f t="shared" si="15"/>
        <v>0.4375</v>
      </c>
      <c r="S129">
        <v>-22</v>
      </c>
      <c r="T129" s="4">
        <v>0.06</v>
      </c>
      <c r="U129">
        <v>130</v>
      </c>
      <c r="V129">
        <v>581</v>
      </c>
    </row>
    <row r="130" spans="1:22">
      <c r="A130">
        <v>126</v>
      </c>
      <c r="B130" s="2">
        <v>46292</v>
      </c>
      <c r="C130" t="s">
        <v>29</v>
      </c>
      <c r="D130" t="s">
        <v>42</v>
      </c>
      <c r="E130" t="s">
        <v>25</v>
      </c>
      <c r="F130">
        <v>12</v>
      </c>
      <c r="G130">
        <v>14</v>
      </c>
      <c r="H130" t="str">
        <f t="shared" si="8"/>
        <v>Loss</v>
      </c>
      <c r="I130">
        <f t="shared" si="9"/>
        <v>0</v>
      </c>
      <c r="J130">
        <f t="shared" si="10"/>
        <v>-2</v>
      </c>
      <c r="K130">
        <f t="shared" si="11"/>
        <v>26</v>
      </c>
      <c r="L130">
        <v>25</v>
      </c>
      <c r="M130">
        <v>19</v>
      </c>
      <c r="N130">
        <v>5</v>
      </c>
      <c r="O130" s="3">
        <f t="shared" si="12"/>
        <v>1.3157894736842106</v>
      </c>
      <c r="P130" s="3">
        <f t="shared" si="13"/>
        <v>0.96153846153846156</v>
      </c>
      <c r="Q130" s="3">
        <f t="shared" si="14"/>
        <v>0.73076923076923073</v>
      </c>
      <c r="R130" s="3">
        <f t="shared" si="15"/>
        <v>0.19230769230769232</v>
      </c>
      <c r="S130">
        <v>51</v>
      </c>
      <c r="T130" s="4">
        <v>0.14000000000000001</v>
      </c>
      <c r="U130">
        <v>276</v>
      </c>
      <c r="V130">
        <v>700</v>
      </c>
    </row>
    <row r="131" spans="1:22">
      <c r="A131">
        <v>127</v>
      </c>
      <c r="B131" s="2">
        <v>46291</v>
      </c>
      <c r="C131" t="s">
        <v>35</v>
      </c>
      <c r="D131" t="s">
        <v>31</v>
      </c>
      <c r="E131" t="s">
        <v>50</v>
      </c>
      <c r="F131">
        <v>13</v>
      </c>
      <c r="G131">
        <v>9</v>
      </c>
      <c r="H131" t="str">
        <f t="shared" si="8"/>
        <v>Win</v>
      </c>
      <c r="I131">
        <f t="shared" si="9"/>
        <v>1</v>
      </c>
      <c r="J131">
        <f t="shared" si="10"/>
        <v>4</v>
      </c>
      <c r="K131">
        <f t="shared" si="11"/>
        <v>22</v>
      </c>
      <c r="L131">
        <v>4</v>
      </c>
      <c r="M131">
        <v>18</v>
      </c>
      <c r="N131">
        <v>5</v>
      </c>
      <c r="O131" s="3">
        <f t="shared" si="12"/>
        <v>0.22222222222222221</v>
      </c>
      <c r="P131" s="3">
        <f t="shared" si="13"/>
        <v>0.18181818181818182</v>
      </c>
      <c r="Q131" s="3">
        <f t="shared" si="14"/>
        <v>0.81818181818181823</v>
      </c>
      <c r="R131" s="3">
        <f t="shared" si="15"/>
        <v>0.22727272727272727</v>
      </c>
      <c r="S131">
        <v>-66</v>
      </c>
      <c r="T131" s="4">
        <v>0.05</v>
      </c>
      <c r="U131">
        <v>82</v>
      </c>
      <c r="V131">
        <v>241</v>
      </c>
    </row>
    <row r="132" spans="1:22">
      <c r="A132">
        <v>128</v>
      </c>
      <c r="B132" s="2">
        <v>46291</v>
      </c>
      <c r="C132" t="s">
        <v>41</v>
      </c>
      <c r="D132" t="s">
        <v>31</v>
      </c>
      <c r="E132" t="s">
        <v>25</v>
      </c>
      <c r="F132">
        <v>9</v>
      </c>
      <c r="G132">
        <v>13</v>
      </c>
      <c r="H132" t="str">
        <f t="shared" si="8"/>
        <v>Loss</v>
      </c>
      <c r="I132">
        <f t="shared" si="9"/>
        <v>0</v>
      </c>
      <c r="J132">
        <f t="shared" si="10"/>
        <v>-4</v>
      </c>
      <c r="K132">
        <f t="shared" si="11"/>
        <v>22</v>
      </c>
      <c r="L132">
        <v>10</v>
      </c>
      <c r="M132">
        <v>21</v>
      </c>
      <c r="N132">
        <v>6</v>
      </c>
      <c r="O132" s="3">
        <f t="shared" si="12"/>
        <v>0.47619047619047616</v>
      </c>
      <c r="P132" s="3">
        <f t="shared" si="13"/>
        <v>0.45454545454545453</v>
      </c>
      <c r="Q132" s="3">
        <f t="shared" si="14"/>
        <v>0.95454545454545459</v>
      </c>
      <c r="R132" s="3">
        <f t="shared" si="15"/>
        <v>0.27272727272727271</v>
      </c>
      <c r="S132">
        <v>-32</v>
      </c>
      <c r="T132" s="4">
        <v>0.15</v>
      </c>
      <c r="U132">
        <v>151</v>
      </c>
      <c r="V132">
        <v>216</v>
      </c>
    </row>
    <row r="133" spans="1:22">
      <c r="A133">
        <v>129</v>
      </c>
      <c r="B133" s="2">
        <v>46291</v>
      </c>
      <c r="C133" t="s">
        <v>23</v>
      </c>
      <c r="D133" t="s">
        <v>32</v>
      </c>
      <c r="E133" t="s">
        <v>25</v>
      </c>
      <c r="F133">
        <v>13</v>
      </c>
      <c r="G133">
        <v>8</v>
      </c>
      <c r="H133" t="str">
        <f t="shared" ref="H133:H196" si="16">IF(F133&gt;G133,"Win",IF(F133&lt;G133,"Loss","Draw"))</f>
        <v>Win</v>
      </c>
      <c r="I133">
        <f t="shared" ref="I133:I196" si="17">IF(H133="Win",1,0)</f>
        <v>1</v>
      </c>
      <c r="J133">
        <f t="shared" ref="J133:J196" si="18">F133-G133</f>
        <v>5</v>
      </c>
      <c r="K133">
        <f t="shared" ref="K133:K196" si="19">F133+G133</f>
        <v>21</v>
      </c>
      <c r="L133">
        <v>11</v>
      </c>
      <c r="M133">
        <v>14</v>
      </c>
      <c r="N133">
        <v>6</v>
      </c>
      <c r="O133" s="3">
        <f t="shared" ref="O133:O196" si="20">IFERROR(L133/M133,0)</f>
        <v>0.7857142857142857</v>
      </c>
      <c r="P133" s="3">
        <f t="shared" ref="P133:P196" si="21">IFERROR(L133/K133,0)</f>
        <v>0.52380952380952384</v>
      </c>
      <c r="Q133" s="3">
        <f t="shared" ref="Q133:Q196" si="22">IFERROR(M133/K133,0)</f>
        <v>0.66666666666666663</v>
      </c>
      <c r="R133" s="3">
        <f t="shared" ref="R133:R196" si="23">IFERROR(N133/K133,0)</f>
        <v>0.2857142857142857</v>
      </c>
      <c r="S133">
        <v>-22</v>
      </c>
      <c r="T133" s="4">
        <v>7.0000000000000007E-2</v>
      </c>
      <c r="U133">
        <v>149</v>
      </c>
      <c r="V133">
        <v>511</v>
      </c>
    </row>
    <row r="134" spans="1:22">
      <c r="A134">
        <v>130</v>
      </c>
      <c r="B134" s="2">
        <v>46291</v>
      </c>
      <c r="C134" t="s">
        <v>41</v>
      </c>
      <c r="D134" t="s">
        <v>42</v>
      </c>
      <c r="E134" t="s">
        <v>28</v>
      </c>
      <c r="F134">
        <v>4</v>
      </c>
      <c r="G134">
        <v>13</v>
      </c>
      <c r="H134" t="str">
        <f t="shared" si="16"/>
        <v>Loss</v>
      </c>
      <c r="I134">
        <f t="shared" si="17"/>
        <v>0</v>
      </c>
      <c r="J134">
        <f t="shared" si="18"/>
        <v>-9</v>
      </c>
      <c r="K134">
        <f t="shared" si="19"/>
        <v>17</v>
      </c>
      <c r="L134">
        <v>15</v>
      </c>
      <c r="M134">
        <v>14</v>
      </c>
      <c r="N134">
        <v>5</v>
      </c>
      <c r="O134" s="3">
        <f t="shared" si="20"/>
        <v>1.0714285714285714</v>
      </c>
      <c r="P134" s="3">
        <f t="shared" si="21"/>
        <v>0.88235294117647056</v>
      </c>
      <c r="Q134" s="3">
        <f t="shared" si="22"/>
        <v>0.82352941176470584</v>
      </c>
      <c r="R134" s="3">
        <f t="shared" si="23"/>
        <v>0.29411764705882354</v>
      </c>
      <c r="S134">
        <v>52</v>
      </c>
      <c r="T134" s="4">
        <v>0.16</v>
      </c>
      <c r="U134">
        <v>266</v>
      </c>
      <c r="V134">
        <v>686</v>
      </c>
    </row>
    <row r="135" spans="1:22">
      <c r="A135">
        <v>131</v>
      </c>
      <c r="B135" s="2">
        <v>46291</v>
      </c>
      <c r="C135" t="s">
        <v>29</v>
      </c>
      <c r="D135" t="s">
        <v>31</v>
      </c>
      <c r="E135" t="s">
        <v>25</v>
      </c>
      <c r="F135">
        <v>13</v>
      </c>
      <c r="G135">
        <v>9</v>
      </c>
      <c r="H135" t="str">
        <f t="shared" si="16"/>
        <v>Win</v>
      </c>
      <c r="I135">
        <f t="shared" si="17"/>
        <v>1</v>
      </c>
      <c r="J135">
        <f t="shared" si="18"/>
        <v>4</v>
      </c>
      <c r="K135">
        <f t="shared" si="19"/>
        <v>22</v>
      </c>
      <c r="L135">
        <v>7</v>
      </c>
      <c r="M135">
        <v>17</v>
      </c>
      <c r="N135">
        <v>6</v>
      </c>
      <c r="O135" s="3">
        <f t="shared" si="20"/>
        <v>0.41176470588235292</v>
      </c>
      <c r="P135" s="3">
        <f t="shared" si="21"/>
        <v>0.31818181818181818</v>
      </c>
      <c r="Q135" s="3">
        <f t="shared" si="22"/>
        <v>0.77272727272727271</v>
      </c>
      <c r="R135" s="3">
        <f t="shared" si="23"/>
        <v>0.27272727272727271</v>
      </c>
      <c r="S135">
        <v>-54</v>
      </c>
      <c r="T135" s="4">
        <v>0.1</v>
      </c>
      <c r="U135">
        <v>95</v>
      </c>
      <c r="V135">
        <v>238</v>
      </c>
    </row>
    <row r="136" spans="1:22">
      <c r="A136">
        <v>132</v>
      </c>
      <c r="B136" s="2">
        <v>46291</v>
      </c>
      <c r="C136" t="s">
        <v>40</v>
      </c>
      <c r="D136" t="s">
        <v>27</v>
      </c>
      <c r="E136" t="s">
        <v>25</v>
      </c>
      <c r="F136">
        <v>5</v>
      </c>
      <c r="G136">
        <v>13</v>
      </c>
      <c r="H136" t="str">
        <f t="shared" si="16"/>
        <v>Loss</v>
      </c>
      <c r="I136">
        <f t="shared" si="17"/>
        <v>0</v>
      </c>
      <c r="J136">
        <f t="shared" si="18"/>
        <v>-8</v>
      </c>
      <c r="K136">
        <f t="shared" si="19"/>
        <v>18</v>
      </c>
      <c r="L136">
        <v>12</v>
      </c>
      <c r="M136">
        <v>14</v>
      </c>
      <c r="N136">
        <v>5</v>
      </c>
      <c r="O136" s="3">
        <f t="shared" si="20"/>
        <v>0.8571428571428571</v>
      </c>
      <c r="P136" s="3">
        <f t="shared" si="21"/>
        <v>0.66666666666666663</v>
      </c>
      <c r="Q136" s="3">
        <f t="shared" si="22"/>
        <v>0.77777777777777779</v>
      </c>
      <c r="R136" s="3">
        <f t="shared" si="23"/>
        <v>0.27777777777777779</v>
      </c>
      <c r="S136">
        <v>12</v>
      </c>
      <c r="T136" s="4">
        <v>0.2</v>
      </c>
      <c r="U136">
        <v>193</v>
      </c>
      <c r="V136">
        <v>577</v>
      </c>
    </row>
    <row r="137" spans="1:22">
      <c r="A137">
        <v>133</v>
      </c>
      <c r="B137" s="2">
        <v>46291</v>
      </c>
      <c r="C137" t="s">
        <v>29</v>
      </c>
      <c r="D137" t="s">
        <v>27</v>
      </c>
      <c r="E137" t="s">
        <v>25</v>
      </c>
      <c r="F137">
        <v>13</v>
      </c>
      <c r="G137">
        <v>9</v>
      </c>
      <c r="H137" t="str">
        <f t="shared" si="16"/>
        <v>Win</v>
      </c>
      <c r="I137">
        <f t="shared" si="17"/>
        <v>1</v>
      </c>
      <c r="J137">
        <f t="shared" si="18"/>
        <v>4</v>
      </c>
      <c r="K137">
        <f t="shared" si="19"/>
        <v>22</v>
      </c>
      <c r="L137">
        <v>15</v>
      </c>
      <c r="M137">
        <v>14</v>
      </c>
      <c r="N137">
        <v>7</v>
      </c>
      <c r="O137" s="3">
        <f t="shared" si="20"/>
        <v>1.0714285714285714</v>
      </c>
      <c r="P137" s="3">
        <f t="shared" si="21"/>
        <v>0.68181818181818177</v>
      </c>
      <c r="Q137" s="3">
        <f t="shared" si="22"/>
        <v>0.63636363636363635</v>
      </c>
      <c r="R137" s="3">
        <f t="shared" si="23"/>
        <v>0.31818181818181818</v>
      </c>
      <c r="S137">
        <v>30</v>
      </c>
      <c r="T137" s="4">
        <v>0.15</v>
      </c>
      <c r="U137">
        <v>199</v>
      </c>
      <c r="V137">
        <v>742</v>
      </c>
    </row>
    <row r="138" spans="1:22">
      <c r="A138">
        <v>134</v>
      </c>
      <c r="B138" s="2">
        <v>46291</v>
      </c>
      <c r="C138" t="s">
        <v>34</v>
      </c>
      <c r="D138" t="s">
        <v>27</v>
      </c>
      <c r="E138" t="s">
        <v>25</v>
      </c>
      <c r="F138">
        <v>10</v>
      </c>
      <c r="G138">
        <v>13</v>
      </c>
      <c r="H138" t="str">
        <f t="shared" si="16"/>
        <v>Loss</v>
      </c>
      <c r="I138">
        <f t="shared" si="17"/>
        <v>0</v>
      </c>
      <c r="J138">
        <f t="shared" si="18"/>
        <v>-3</v>
      </c>
      <c r="K138">
        <f t="shared" si="19"/>
        <v>23</v>
      </c>
      <c r="L138">
        <v>14</v>
      </c>
      <c r="M138">
        <v>19</v>
      </c>
      <c r="N138">
        <v>5</v>
      </c>
      <c r="O138" s="3">
        <f t="shared" si="20"/>
        <v>0.73684210526315785</v>
      </c>
      <c r="P138" s="3">
        <f t="shared" si="21"/>
        <v>0.60869565217391308</v>
      </c>
      <c r="Q138" s="3">
        <f t="shared" si="22"/>
        <v>0.82608695652173914</v>
      </c>
      <c r="R138" s="3">
        <f t="shared" si="23"/>
        <v>0.21739130434782608</v>
      </c>
      <c r="S138">
        <v>-19</v>
      </c>
      <c r="T138" s="4">
        <v>0.09</v>
      </c>
      <c r="U138">
        <v>195</v>
      </c>
      <c r="V138">
        <v>381</v>
      </c>
    </row>
    <row r="139" spans="1:22">
      <c r="A139">
        <v>135</v>
      </c>
      <c r="B139" s="2">
        <v>46291</v>
      </c>
      <c r="C139" t="s">
        <v>35</v>
      </c>
      <c r="D139" t="s">
        <v>27</v>
      </c>
      <c r="E139" t="s">
        <v>28</v>
      </c>
      <c r="F139">
        <v>13</v>
      </c>
      <c r="G139">
        <v>15</v>
      </c>
      <c r="H139" t="str">
        <f t="shared" si="16"/>
        <v>Loss</v>
      </c>
      <c r="I139">
        <f t="shared" si="17"/>
        <v>0</v>
      </c>
      <c r="J139">
        <f t="shared" si="18"/>
        <v>-2</v>
      </c>
      <c r="K139">
        <f t="shared" si="19"/>
        <v>28</v>
      </c>
      <c r="L139">
        <v>20</v>
      </c>
      <c r="M139">
        <v>18</v>
      </c>
      <c r="N139">
        <v>9</v>
      </c>
      <c r="O139" s="3">
        <f t="shared" si="20"/>
        <v>1.1111111111111112</v>
      </c>
      <c r="P139" s="3">
        <f t="shared" si="21"/>
        <v>0.7142857142857143</v>
      </c>
      <c r="Q139" s="3">
        <f t="shared" si="22"/>
        <v>0.6428571428571429</v>
      </c>
      <c r="R139" s="3">
        <f t="shared" si="23"/>
        <v>0.32142857142857145</v>
      </c>
      <c r="S139">
        <v>27</v>
      </c>
      <c r="T139" s="4">
        <v>0.19</v>
      </c>
      <c r="U139">
        <v>209</v>
      </c>
      <c r="V139">
        <v>601</v>
      </c>
    </row>
    <row r="140" spans="1:22">
      <c r="A140">
        <v>136</v>
      </c>
      <c r="B140" s="2">
        <v>46291</v>
      </c>
      <c r="C140" t="s">
        <v>26</v>
      </c>
      <c r="D140" t="s">
        <v>30</v>
      </c>
      <c r="E140" t="s">
        <v>28</v>
      </c>
      <c r="F140">
        <v>13</v>
      </c>
      <c r="G140">
        <v>10</v>
      </c>
      <c r="H140" t="str">
        <f t="shared" si="16"/>
        <v>Win</v>
      </c>
      <c r="I140">
        <f t="shared" si="17"/>
        <v>1</v>
      </c>
      <c r="J140">
        <f t="shared" si="18"/>
        <v>3</v>
      </c>
      <c r="K140">
        <f t="shared" si="19"/>
        <v>23</v>
      </c>
      <c r="L140">
        <v>13</v>
      </c>
      <c r="M140">
        <v>16</v>
      </c>
      <c r="N140">
        <v>10</v>
      </c>
      <c r="O140" s="3">
        <f t="shared" si="20"/>
        <v>0.8125</v>
      </c>
      <c r="P140" s="3">
        <f t="shared" si="21"/>
        <v>0.56521739130434778</v>
      </c>
      <c r="Q140" s="3">
        <f t="shared" si="22"/>
        <v>0.69565217391304346</v>
      </c>
      <c r="R140" s="3">
        <f t="shared" si="23"/>
        <v>0.43478260869565216</v>
      </c>
      <c r="S140">
        <v>-30</v>
      </c>
      <c r="T140" s="4">
        <v>0.16</v>
      </c>
      <c r="U140">
        <v>160</v>
      </c>
      <c r="V140">
        <v>432</v>
      </c>
    </row>
    <row r="141" spans="1:22">
      <c r="A141">
        <v>137</v>
      </c>
      <c r="B141" s="2">
        <v>46291</v>
      </c>
      <c r="C141" t="s">
        <v>29</v>
      </c>
      <c r="D141" t="s">
        <v>32</v>
      </c>
      <c r="E141" t="s">
        <v>25</v>
      </c>
      <c r="F141">
        <v>13</v>
      </c>
      <c r="G141">
        <v>6</v>
      </c>
      <c r="H141" t="str">
        <f t="shared" si="16"/>
        <v>Win</v>
      </c>
      <c r="I141">
        <f t="shared" si="17"/>
        <v>1</v>
      </c>
      <c r="J141">
        <f t="shared" si="18"/>
        <v>7</v>
      </c>
      <c r="K141">
        <f t="shared" si="19"/>
        <v>19</v>
      </c>
      <c r="L141">
        <v>8</v>
      </c>
      <c r="M141">
        <v>15</v>
      </c>
      <c r="N141">
        <v>2</v>
      </c>
      <c r="O141" s="3">
        <f t="shared" si="20"/>
        <v>0.53333333333333333</v>
      </c>
      <c r="P141" s="3">
        <f t="shared" si="21"/>
        <v>0.42105263157894735</v>
      </c>
      <c r="Q141" s="3">
        <f t="shared" si="22"/>
        <v>0.78947368421052633</v>
      </c>
      <c r="R141" s="3">
        <f t="shared" si="23"/>
        <v>0.10526315789473684</v>
      </c>
      <c r="S141">
        <v>-62</v>
      </c>
      <c r="T141" s="4">
        <v>0.17</v>
      </c>
      <c r="U141">
        <v>109</v>
      </c>
      <c r="V141">
        <v>250</v>
      </c>
    </row>
    <row r="142" spans="1:22">
      <c r="A142">
        <v>138</v>
      </c>
      <c r="B142" s="2">
        <v>46290</v>
      </c>
      <c r="C142" t="s">
        <v>23</v>
      </c>
      <c r="D142" t="s">
        <v>27</v>
      </c>
      <c r="E142" t="s">
        <v>39</v>
      </c>
      <c r="F142">
        <v>2</v>
      </c>
      <c r="G142">
        <v>13</v>
      </c>
      <c r="H142" t="str">
        <f t="shared" si="16"/>
        <v>Loss</v>
      </c>
      <c r="I142">
        <f t="shared" si="17"/>
        <v>0</v>
      </c>
      <c r="J142">
        <f t="shared" si="18"/>
        <v>-11</v>
      </c>
      <c r="K142">
        <f t="shared" si="19"/>
        <v>15</v>
      </c>
      <c r="L142">
        <v>11</v>
      </c>
      <c r="M142">
        <v>14</v>
      </c>
      <c r="N142">
        <v>1</v>
      </c>
      <c r="O142" s="3">
        <f t="shared" si="20"/>
        <v>0.7857142857142857</v>
      </c>
      <c r="P142" s="3">
        <f t="shared" si="21"/>
        <v>0.73333333333333328</v>
      </c>
      <c r="Q142" s="3">
        <f t="shared" si="22"/>
        <v>0.93333333333333335</v>
      </c>
      <c r="R142" s="3">
        <f t="shared" si="23"/>
        <v>6.6666666666666666E-2</v>
      </c>
      <c r="S142">
        <v>14</v>
      </c>
      <c r="T142" s="4">
        <v>0.14000000000000001</v>
      </c>
      <c r="U142">
        <v>237</v>
      </c>
      <c r="V142">
        <v>439</v>
      </c>
    </row>
    <row r="143" spans="1:22">
      <c r="A143">
        <v>139</v>
      </c>
      <c r="B143" s="2">
        <v>46290</v>
      </c>
      <c r="C143" t="s">
        <v>26</v>
      </c>
      <c r="D143" t="s">
        <v>32</v>
      </c>
      <c r="E143" t="s">
        <v>51</v>
      </c>
      <c r="F143">
        <v>8</v>
      </c>
      <c r="G143">
        <v>13</v>
      </c>
      <c r="H143" t="str">
        <f t="shared" si="16"/>
        <v>Loss</v>
      </c>
      <c r="I143">
        <f t="shared" si="17"/>
        <v>0</v>
      </c>
      <c r="J143">
        <f t="shared" si="18"/>
        <v>-5</v>
      </c>
      <c r="K143">
        <f t="shared" si="19"/>
        <v>21</v>
      </c>
      <c r="L143">
        <v>10</v>
      </c>
      <c r="M143">
        <v>17</v>
      </c>
      <c r="N143">
        <v>7</v>
      </c>
      <c r="O143" s="3">
        <f t="shared" si="20"/>
        <v>0.58823529411764708</v>
      </c>
      <c r="P143" s="3">
        <f t="shared" si="21"/>
        <v>0.47619047619047616</v>
      </c>
      <c r="Q143" s="3">
        <f t="shared" si="22"/>
        <v>0.80952380952380953</v>
      </c>
      <c r="R143" s="3">
        <f t="shared" si="23"/>
        <v>0.33333333333333331</v>
      </c>
      <c r="S143">
        <v>-33</v>
      </c>
      <c r="T143" s="4">
        <v>0.16</v>
      </c>
      <c r="U143">
        <v>152</v>
      </c>
      <c r="V143">
        <v>436</v>
      </c>
    </row>
    <row r="144" spans="1:22">
      <c r="A144">
        <v>140</v>
      </c>
      <c r="B144" s="2">
        <v>46290</v>
      </c>
      <c r="C144" t="s">
        <v>29</v>
      </c>
      <c r="D144" t="s">
        <v>31</v>
      </c>
      <c r="E144" t="s">
        <v>38</v>
      </c>
      <c r="F144">
        <v>2</v>
      </c>
      <c r="G144">
        <v>13</v>
      </c>
      <c r="H144" t="str">
        <f t="shared" si="16"/>
        <v>Loss</v>
      </c>
      <c r="I144">
        <f t="shared" si="17"/>
        <v>0</v>
      </c>
      <c r="J144">
        <f t="shared" si="18"/>
        <v>-11</v>
      </c>
      <c r="K144">
        <f t="shared" si="19"/>
        <v>15</v>
      </c>
      <c r="L144">
        <v>1</v>
      </c>
      <c r="M144">
        <v>15</v>
      </c>
      <c r="N144">
        <v>4</v>
      </c>
      <c r="O144" s="3">
        <f t="shared" si="20"/>
        <v>6.6666666666666666E-2</v>
      </c>
      <c r="P144" s="3">
        <f t="shared" si="21"/>
        <v>6.6666666666666666E-2</v>
      </c>
      <c r="Q144" s="3">
        <f t="shared" si="22"/>
        <v>1</v>
      </c>
      <c r="R144" s="3">
        <f t="shared" si="23"/>
        <v>0.26666666666666666</v>
      </c>
      <c r="S144">
        <v>-115</v>
      </c>
      <c r="T144" s="4">
        <v>0.19</v>
      </c>
      <c r="U144">
        <v>44</v>
      </c>
      <c r="V144">
        <v>100</v>
      </c>
    </row>
    <row r="145" spans="1:22">
      <c r="A145">
        <v>141</v>
      </c>
      <c r="B145" s="2">
        <v>46290</v>
      </c>
      <c r="C145" t="s">
        <v>35</v>
      </c>
      <c r="D145" t="s">
        <v>36</v>
      </c>
      <c r="E145" t="s">
        <v>25</v>
      </c>
      <c r="F145">
        <v>13</v>
      </c>
      <c r="G145">
        <v>9</v>
      </c>
      <c r="H145" t="str">
        <f t="shared" si="16"/>
        <v>Win</v>
      </c>
      <c r="I145">
        <f t="shared" si="17"/>
        <v>1</v>
      </c>
      <c r="J145">
        <f t="shared" si="18"/>
        <v>4</v>
      </c>
      <c r="K145">
        <f t="shared" si="19"/>
        <v>22</v>
      </c>
      <c r="L145">
        <v>17</v>
      </c>
      <c r="M145">
        <v>14</v>
      </c>
      <c r="N145">
        <v>5</v>
      </c>
      <c r="O145" s="3">
        <f t="shared" si="20"/>
        <v>1.2142857142857142</v>
      </c>
      <c r="P145" s="3">
        <f t="shared" si="21"/>
        <v>0.77272727272727271</v>
      </c>
      <c r="Q145" s="3">
        <f t="shared" si="22"/>
        <v>0.63636363636363635</v>
      </c>
      <c r="R145" s="3">
        <f t="shared" si="23"/>
        <v>0.22727272727272727</v>
      </c>
      <c r="S145">
        <v>26</v>
      </c>
      <c r="T145" s="4">
        <v>0.1</v>
      </c>
      <c r="U145">
        <v>219</v>
      </c>
      <c r="V145">
        <v>637</v>
      </c>
    </row>
    <row r="146" spans="1:22">
      <c r="A146">
        <v>142</v>
      </c>
      <c r="B146" s="2">
        <v>46290</v>
      </c>
      <c r="C146" t="s">
        <v>34</v>
      </c>
      <c r="D146" t="s">
        <v>24</v>
      </c>
      <c r="E146" t="s">
        <v>25</v>
      </c>
      <c r="F146">
        <v>13</v>
      </c>
      <c r="G146">
        <v>9</v>
      </c>
      <c r="H146" t="str">
        <f t="shared" si="16"/>
        <v>Win</v>
      </c>
      <c r="I146">
        <f t="shared" si="17"/>
        <v>1</v>
      </c>
      <c r="J146">
        <f t="shared" si="18"/>
        <v>4</v>
      </c>
      <c r="K146">
        <f t="shared" si="19"/>
        <v>22</v>
      </c>
      <c r="L146">
        <v>12</v>
      </c>
      <c r="M146">
        <v>18</v>
      </c>
      <c r="N146">
        <v>3</v>
      </c>
      <c r="O146" s="3">
        <f t="shared" si="20"/>
        <v>0.66666666666666663</v>
      </c>
      <c r="P146" s="3">
        <f t="shared" si="21"/>
        <v>0.54545454545454541</v>
      </c>
      <c r="Q146" s="3">
        <f t="shared" si="22"/>
        <v>0.81818181818181823</v>
      </c>
      <c r="R146" s="3">
        <f t="shared" si="23"/>
        <v>0.13636363636363635</v>
      </c>
      <c r="S146">
        <v>-43</v>
      </c>
      <c r="T146" s="4">
        <v>0.06</v>
      </c>
      <c r="U146">
        <v>159</v>
      </c>
      <c r="V146">
        <v>303</v>
      </c>
    </row>
    <row r="147" spans="1:22">
      <c r="A147">
        <v>143</v>
      </c>
      <c r="B147" s="2">
        <v>46290</v>
      </c>
      <c r="C147" t="s">
        <v>40</v>
      </c>
      <c r="D147" t="s">
        <v>32</v>
      </c>
      <c r="E147" t="s">
        <v>25</v>
      </c>
      <c r="F147">
        <v>13</v>
      </c>
      <c r="G147">
        <v>9</v>
      </c>
      <c r="H147" t="str">
        <f t="shared" si="16"/>
        <v>Win</v>
      </c>
      <c r="I147">
        <f t="shared" si="17"/>
        <v>1</v>
      </c>
      <c r="J147">
        <f t="shared" si="18"/>
        <v>4</v>
      </c>
      <c r="K147">
        <f t="shared" si="19"/>
        <v>22</v>
      </c>
      <c r="L147">
        <v>7</v>
      </c>
      <c r="M147">
        <v>15</v>
      </c>
      <c r="N147">
        <v>4</v>
      </c>
      <c r="O147" s="3">
        <f t="shared" si="20"/>
        <v>0.46666666666666667</v>
      </c>
      <c r="P147" s="3">
        <f t="shared" si="21"/>
        <v>0.31818181818181818</v>
      </c>
      <c r="Q147" s="3">
        <f t="shared" si="22"/>
        <v>0.68181818181818177</v>
      </c>
      <c r="R147" s="3">
        <f t="shared" si="23"/>
        <v>0.18181818181818182</v>
      </c>
      <c r="S147">
        <v>-50</v>
      </c>
      <c r="T147" s="4">
        <v>0.16</v>
      </c>
      <c r="U147">
        <v>103</v>
      </c>
      <c r="V147">
        <v>334</v>
      </c>
    </row>
    <row r="148" spans="1:22">
      <c r="A148">
        <v>144</v>
      </c>
      <c r="B148" s="2">
        <v>46289</v>
      </c>
      <c r="C148" t="s">
        <v>40</v>
      </c>
      <c r="D148" t="s">
        <v>27</v>
      </c>
      <c r="E148" t="s">
        <v>25</v>
      </c>
      <c r="F148">
        <v>13</v>
      </c>
      <c r="G148">
        <v>7</v>
      </c>
      <c r="H148" t="str">
        <f t="shared" si="16"/>
        <v>Win</v>
      </c>
      <c r="I148">
        <f t="shared" si="17"/>
        <v>1</v>
      </c>
      <c r="J148">
        <f t="shared" si="18"/>
        <v>6</v>
      </c>
      <c r="K148">
        <f t="shared" si="19"/>
        <v>20</v>
      </c>
      <c r="L148">
        <v>13</v>
      </c>
      <c r="M148">
        <v>15</v>
      </c>
      <c r="N148">
        <v>5</v>
      </c>
      <c r="O148" s="3">
        <f t="shared" si="20"/>
        <v>0.8666666666666667</v>
      </c>
      <c r="P148" s="3">
        <f t="shared" si="21"/>
        <v>0.65</v>
      </c>
      <c r="Q148" s="3">
        <f t="shared" si="22"/>
        <v>0.75</v>
      </c>
      <c r="R148" s="3">
        <f t="shared" si="23"/>
        <v>0.25</v>
      </c>
      <c r="S148">
        <v>13</v>
      </c>
      <c r="T148" s="4">
        <v>0.09</v>
      </c>
      <c r="U148">
        <v>199</v>
      </c>
      <c r="V148">
        <v>520</v>
      </c>
    </row>
    <row r="149" spans="1:22">
      <c r="A149">
        <v>145</v>
      </c>
      <c r="B149" s="2">
        <v>46289</v>
      </c>
      <c r="C149" t="s">
        <v>29</v>
      </c>
      <c r="D149" t="s">
        <v>27</v>
      </c>
      <c r="E149" t="s">
        <v>25</v>
      </c>
      <c r="F149">
        <v>13</v>
      </c>
      <c r="G149">
        <v>11</v>
      </c>
      <c r="H149" t="str">
        <f t="shared" si="16"/>
        <v>Win</v>
      </c>
      <c r="I149">
        <f t="shared" si="17"/>
        <v>1</v>
      </c>
      <c r="J149">
        <f t="shared" si="18"/>
        <v>2</v>
      </c>
      <c r="K149">
        <f t="shared" si="19"/>
        <v>24</v>
      </c>
      <c r="L149">
        <v>19</v>
      </c>
      <c r="M149">
        <v>18</v>
      </c>
      <c r="N149">
        <v>6</v>
      </c>
      <c r="O149" s="3">
        <f t="shared" si="20"/>
        <v>1.0555555555555556</v>
      </c>
      <c r="P149" s="3">
        <f t="shared" si="21"/>
        <v>0.79166666666666663</v>
      </c>
      <c r="Q149" s="3">
        <f t="shared" si="22"/>
        <v>0.75</v>
      </c>
      <c r="R149" s="3">
        <f t="shared" si="23"/>
        <v>0.25</v>
      </c>
      <c r="S149">
        <v>10</v>
      </c>
      <c r="T149" s="4">
        <v>0.11</v>
      </c>
      <c r="U149">
        <v>242</v>
      </c>
      <c r="V149">
        <v>566</v>
      </c>
    </row>
    <row r="150" spans="1:22">
      <c r="A150">
        <v>146</v>
      </c>
      <c r="B150" s="2">
        <v>46289</v>
      </c>
      <c r="C150" t="s">
        <v>23</v>
      </c>
      <c r="D150" t="s">
        <v>32</v>
      </c>
      <c r="E150" t="s">
        <v>39</v>
      </c>
      <c r="F150">
        <v>11</v>
      </c>
      <c r="G150">
        <v>13</v>
      </c>
      <c r="H150" t="str">
        <f t="shared" si="16"/>
        <v>Loss</v>
      </c>
      <c r="I150">
        <f t="shared" si="17"/>
        <v>0</v>
      </c>
      <c r="J150">
        <f t="shared" si="18"/>
        <v>-2</v>
      </c>
      <c r="K150">
        <f t="shared" si="19"/>
        <v>24</v>
      </c>
      <c r="L150">
        <v>14</v>
      </c>
      <c r="M150">
        <v>21</v>
      </c>
      <c r="N150">
        <v>4</v>
      </c>
      <c r="O150" s="3">
        <f t="shared" si="20"/>
        <v>0.66666666666666663</v>
      </c>
      <c r="P150" s="3">
        <f t="shared" si="21"/>
        <v>0.58333333333333337</v>
      </c>
      <c r="Q150" s="3">
        <f t="shared" si="22"/>
        <v>0.875</v>
      </c>
      <c r="R150" s="3">
        <f t="shared" si="23"/>
        <v>0.16666666666666666</v>
      </c>
      <c r="S150">
        <v>-14</v>
      </c>
      <c r="T150" s="4">
        <v>0.1</v>
      </c>
      <c r="U150">
        <v>175</v>
      </c>
      <c r="V150">
        <v>375</v>
      </c>
    </row>
    <row r="151" spans="1:22">
      <c r="A151">
        <v>147</v>
      </c>
      <c r="B151" s="2">
        <v>46289</v>
      </c>
      <c r="C151" t="s">
        <v>35</v>
      </c>
      <c r="D151" t="s">
        <v>36</v>
      </c>
      <c r="E151" t="s">
        <v>50</v>
      </c>
      <c r="F151">
        <v>2</v>
      </c>
      <c r="G151">
        <v>13</v>
      </c>
      <c r="H151" t="str">
        <f t="shared" si="16"/>
        <v>Loss</v>
      </c>
      <c r="I151">
        <f t="shared" si="17"/>
        <v>0</v>
      </c>
      <c r="J151">
        <f t="shared" si="18"/>
        <v>-11</v>
      </c>
      <c r="K151">
        <f t="shared" si="19"/>
        <v>15</v>
      </c>
      <c r="L151">
        <v>9</v>
      </c>
      <c r="M151">
        <v>13</v>
      </c>
      <c r="N151">
        <v>2</v>
      </c>
      <c r="O151" s="3">
        <f t="shared" si="20"/>
        <v>0.69230769230769229</v>
      </c>
      <c r="P151" s="3">
        <f t="shared" si="21"/>
        <v>0.6</v>
      </c>
      <c r="Q151" s="3">
        <f t="shared" si="22"/>
        <v>0.8666666666666667</v>
      </c>
      <c r="R151" s="3">
        <f t="shared" si="23"/>
        <v>0.13333333333333333</v>
      </c>
      <c r="S151">
        <v>-9</v>
      </c>
      <c r="T151" s="4">
        <v>0.18</v>
      </c>
      <c r="U151">
        <v>198</v>
      </c>
      <c r="V151">
        <v>282</v>
      </c>
    </row>
    <row r="152" spans="1:22">
      <c r="A152">
        <v>148</v>
      </c>
      <c r="B152" s="2">
        <v>46289</v>
      </c>
      <c r="C152" t="s">
        <v>23</v>
      </c>
      <c r="D152" t="s">
        <v>24</v>
      </c>
      <c r="E152" t="s">
        <v>39</v>
      </c>
      <c r="F152">
        <v>14</v>
      </c>
      <c r="G152">
        <v>14</v>
      </c>
      <c r="H152" t="str">
        <f t="shared" si="16"/>
        <v>Draw</v>
      </c>
      <c r="I152">
        <f t="shared" si="17"/>
        <v>0</v>
      </c>
      <c r="J152">
        <f t="shared" si="18"/>
        <v>0</v>
      </c>
      <c r="K152">
        <f t="shared" si="19"/>
        <v>28</v>
      </c>
      <c r="L152">
        <v>17</v>
      </c>
      <c r="M152">
        <v>20</v>
      </c>
      <c r="N152">
        <v>4</v>
      </c>
      <c r="O152" s="3">
        <f t="shared" si="20"/>
        <v>0.85</v>
      </c>
      <c r="P152" s="3">
        <f t="shared" si="21"/>
        <v>0.6071428571428571</v>
      </c>
      <c r="Q152" s="3">
        <f t="shared" si="22"/>
        <v>0.7142857142857143</v>
      </c>
      <c r="R152" s="3">
        <f t="shared" si="23"/>
        <v>0.14285714285714285</v>
      </c>
      <c r="S152">
        <v>3</v>
      </c>
      <c r="T152" s="4">
        <v>0.16</v>
      </c>
      <c r="U152">
        <v>175</v>
      </c>
      <c r="V152">
        <v>549</v>
      </c>
    </row>
    <row r="153" spans="1:22">
      <c r="A153">
        <v>149</v>
      </c>
      <c r="B153" s="2">
        <v>46289</v>
      </c>
      <c r="C153" t="s">
        <v>34</v>
      </c>
      <c r="D153" t="s">
        <v>37</v>
      </c>
      <c r="E153" t="s">
        <v>25</v>
      </c>
      <c r="F153">
        <v>9</v>
      </c>
      <c r="G153">
        <v>13</v>
      </c>
      <c r="H153" t="str">
        <f t="shared" si="16"/>
        <v>Loss</v>
      </c>
      <c r="I153">
        <f t="shared" si="17"/>
        <v>0</v>
      </c>
      <c r="J153">
        <f t="shared" si="18"/>
        <v>-4</v>
      </c>
      <c r="K153">
        <f t="shared" si="19"/>
        <v>22</v>
      </c>
      <c r="L153">
        <v>18</v>
      </c>
      <c r="M153">
        <v>16</v>
      </c>
      <c r="N153">
        <v>6</v>
      </c>
      <c r="O153" s="3">
        <f t="shared" si="20"/>
        <v>1.125</v>
      </c>
      <c r="P153" s="3">
        <f t="shared" si="21"/>
        <v>0.81818181818181823</v>
      </c>
      <c r="Q153" s="3">
        <f t="shared" si="22"/>
        <v>0.72727272727272729</v>
      </c>
      <c r="R153" s="3">
        <f t="shared" si="23"/>
        <v>0.27272727272727271</v>
      </c>
      <c r="S153">
        <v>14</v>
      </c>
      <c r="T153" s="4">
        <v>0.09</v>
      </c>
      <c r="U153">
        <v>247</v>
      </c>
      <c r="V153">
        <v>620</v>
      </c>
    </row>
    <row r="154" spans="1:22">
      <c r="A154">
        <v>150</v>
      </c>
      <c r="B154" s="2">
        <v>46289</v>
      </c>
      <c r="C154" t="s">
        <v>35</v>
      </c>
      <c r="D154" t="s">
        <v>32</v>
      </c>
      <c r="E154" t="s">
        <v>25</v>
      </c>
      <c r="F154">
        <v>0</v>
      </c>
      <c r="G154">
        <v>13</v>
      </c>
      <c r="H154" t="str">
        <f t="shared" si="16"/>
        <v>Loss</v>
      </c>
      <c r="I154">
        <f t="shared" si="17"/>
        <v>0</v>
      </c>
      <c r="J154">
        <f t="shared" si="18"/>
        <v>-13</v>
      </c>
      <c r="K154">
        <f t="shared" si="19"/>
        <v>13</v>
      </c>
      <c r="L154">
        <v>3</v>
      </c>
      <c r="M154">
        <v>13</v>
      </c>
      <c r="N154">
        <v>3</v>
      </c>
      <c r="O154" s="3">
        <f t="shared" si="20"/>
        <v>0.23076923076923078</v>
      </c>
      <c r="P154" s="3">
        <f t="shared" si="21"/>
        <v>0.23076923076923078</v>
      </c>
      <c r="Q154" s="3">
        <f t="shared" si="22"/>
        <v>1</v>
      </c>
      <c r="R154" s="3">
        <f t="shared" si="23"/>
        <v>0.23076923076923078</v>
      </c>
      <c r="S154">
        <v>-83</v>
      </c>
      <c r="T154" s="4">
        <v>7.0000000000000007E-2</v>
      </c>
      <c r="U154">
        <v>92</v>
      </c>
      <c r="V154">
        <v>100</v>
      </c>
    </row>
    <row r="155" spans="1:22">
      <c r="A155">
        <v>151</v>
      </c>
      <c r="B155" s="2">
        <v>46289</v>
      </c>
      <c r="C155" t="s">
        <v>34</v>
      </c>
      <c r="D155" t="s">
        <v>37</v>
      </c>
      <c r="E155" t="s">
        <v>25</v>
      </c>
      <c r="F155">
        <v>13</v>
      </c>
      <c r="G155">
        <v>7</v>
      </c>
      <c r="H155" t="str">
        <f t="shared" si="16"/>
        <v>Win</v>
      </c>
      <c r="I155">
        <f t="shared" si="17"/>
        <v>1</v>
      </c>
      <c r="J155">
        <f t="shared" si="18"/>
        <v>6</v>
      </c>
      <c r="K155">
        <f t="shared" si="19"/>
        <v>20</v>
      </c>
      <c r="L155">
        <v>17</v>
      </c>
      <c r="M155">
        <v>14</v>
      </c>
      <c r="N155">
        <v>5</v>
      </c>
      <c r="O155" s="3">
        <f t="shared" si="20"/>
        <v>1.2142857142857142</v>
      </c>
      <c r="P155" s="3">
        <f t="shared" si="21"/>
        <v>0.85</v>
      </c>
      <c r="Q155" s="3">
        <f t="shared" si="22"/>
        <v>0.7</v>
      </c>
      <c r="R155" s="3">
        <f t="shared" si="23"/>
        <v>0.25</v>
      </c>
      <c r="S155">
        <v>63</v>
      </c>
      <c r="T155" s="4">
        <v>0.18</v>
      </c>
      <c r="U155">
        <v>249</v>
      </c>
      <c r="V155">
        <v>700</v>
      </c>
    </row>
    <row r="156" spans="1:22">
      <c r="A156">
        <v>152</v>
      </c>
      <c r="B156" s="2">
        <v>46289</v>
      </c>
      <c r="C156" t="s">
        <v>26</v>
      </c>
      <c r="D156" t="s">
        <v>36</v>
      </c>
      <c r="E156" t="s">
        <v>28</v>
      </c>
      <c r="F156">
        <v>9</v>
      </c>
      <c r="G156">
        <v>13</v>
      </c>
      <c r="H156" t="str">
        <f t="shared" si="16"/>
        <v>Loss</v>
      </c>
      <c r="I156">
        <f t="shared" si="17"/>
        <v>0</v>
      </c>
      <c r="J156">
        <f t="shared" si="18"/>
        <v>-4</v>
      </c>
      <c r="K156">
        <f t="shared" si="19"/>
        <v>22</v>
      </c>
      <c r="L156">
        <v>12</v>
      </c>
      <c r="M156">
        <v>15</v>
      </c>
      <c r="N156">
        <v>4</v>
      </c>
      <c r="O156" s="3">
        <f t="shared" si="20"/>
        <v>0.8</v>
      </c>
      <c r="P156" s="3">
        <f t="shared" si="21"/>
        <v>0.54545454545454541</v>
      </c>
      <c r="Q156" s="3">
        <f t="shared" si="22"/>
        <v>0.68181818181818177</v>
      </c>
      <c r="R156" s="3">
        <f t="shared" si="23"/>
        <v>0.18181818181818182</v>
      </c>
      <c r="S156">
        <v>-5</v>
      </c>
      <c r="T156" s="4">
        <v>0.13</v>
      </c>
      <c r="U156">
        <v>176</v>
      </c>
      <c r="V156">
        <v>333</v>
      </c>
    </row>
    <row r="157" spans="1:22">
      <c r="A157">
        <v>153</v>
      </c>
      <c r="B157" s="2">
        <v>46288</v>
      </c>
      <c r="C157" t="s">
        <v>35</v>
      </c>
      <c r="D157" t="s">
        <v>27</v>
      </c>
      <c r="E157" t="s">
        <v>28</v>
      </c>
      <c r="F157">
        <v>13</v>
      </c>
      <c r="G157">
        <v>9</v>
      </c>
      <c r="H157" t="str">
        <f t="shared" si="16"/>
        <v>Win</v>
      </c>
      <c r="I157">
        <f t="shared" si="17"/>
        <v>1</v>
      </c>
      <c r="J157">
        <f t="shared" si="18"/>
        <v>4</v>
      </c>
      <c r="K157">
        <f t="shared" si="19"/>
        <v>22</v>
      </c>
      <c r="L157">
        <v>9</v>
      </c>
      <c r="M157">
        <v>16</v>
      </c>
      <c r="N157">
        <v>11</v>
      </c>
      <c r="O157" s="3">
        <f t="shared" si="20"/>
        <v>0.5625</v>
      </c>
      <c r="P157" s="3">
        <f t="shared" si="21"/>
        <v>0.40909090909090912</v>
      </c>
      <c r="Q157" s="3">
        <f t="shared" si="22"/>
        <v>0.72727272727272729</v>
      </c>
      <c r="R157" s="3">
        <f t="shared" si="23"/>
        <v>0.5</v>
      </c>
      <c r="S157">
        <v>-42</v>
      </c>
      <c r="T157" s="4">
        <v>0.16</v>
      </c>
      <c r="U157">
        <v>142</v>
      </c>
      <c r="V157">
        <v>428</v>
      </c>
    </row>
    <row r="158" spans="1:22">
      <c r="A158">
        <v>154</v>
      </c>
      <c r="B158" s="2">
        <v>46288</v>
      </c>
      <c r="C158" t="s">
        <v>26</v>
      </c>
      <c r="D158" t="s">
        <v>30</v>
      </c>
      <c r="E158" t="s">
        <v>51</v>
      </c>
      <c r="F158">
        <v>7</v>
      </c>
      <c r="G158">
        <v>13</v>
      </c>
      <c r="H158" t="str">
        <f t="shared" si="16"/>
        <v>Loss</v>
      </c>
      <c r="I158">
        <f t="shared" si="17"/>
        <v>0</v>
      </c>
      <c r="J158">
        <f t="shared" si="18"/>
        <v>-6</v>
      </c>
      <c r="K158">
        <f t="shared" si="19"/>
        <v>20</v>
      </c>
      <c r="L158">
        <v>11</v>
      </c>
      <c r="M158">
        <v>16</v>
      </c>
      <c r="N158">
        <v>3</v>
      </c>
      <c r="O158" s="3">
        <f t="shared" si="20"/>
        <v>0.6875</v>
      </c>
      <c r="P158" s="3">
        <f t="shared" si="21"/>
        <v>0.55000000000000004</v>
      </c>
      <c r="Q158" s="3">
        <f t="shared" si="22"/>
        <v>0.8</v>
      </c>
      <c r="R158" s="3">
        <f t="shared" si="23"/>
        <v>0.15</v>
      </c>
      <c r="S158">
        <v>-22</v>
      </c>
      <c r="T158" s="4">
        <v>0.19</v>
      </c>
      <c r="U158">
        <v>175</v>
      </c>
      <c r="V158">
        <v>299</v>
      </c>
    </row>
    <row r="159" spans="1:22">
      <c r="A159">
        <v>155</v>
      </c>
      <c r="B159" s="2">
        <v>46288</v>
      </c>
      <c r="C159" t="s">
        <v>29</v>
      </c>
      <c r="D159" t="s">
        <v>32</v>
      </c>
      <c r="E159" t="s">
        <v>25</v>
      </c>
      <c r="F159">
        <v>7</v>
      </c>
      <c r="G159">
        <v>13</v>
      </c>
      <c r="H159" t="str">
        <f t="shared" si="16"/>
        <v>Loss</v>
      </c>
      <c r="I159">
        <f t="shared" si="17"/>
        <v>0</v>
      </c>
      <c r="J159">
        <f t="shared" si="18"/>
        <v>-6</v>
      </c>
      <c r="K159">
        <f t="shared" si="19"/>
        <v>20</v>
      </c>
      <c r="L159">
        <v>7</v>
      </c>
      <c r="M159">
        <v>15</v>
      </c>
      <c r="N159">
        <v>6</v>
      </c>
      <c r="O159" s="3">
        <f t="shared" si="20"/>
        <v>0.46666666666666667</v>
      </c>
      <c r="P159" s="3">
        <f t="shared" si="21"/>
        <v>0.35</v>
      </c>
      <c r="Q159" s="3">
        <f t="shared" si="22"/>
        <v>0.75</v>
      </c>
      <c r="R159" s="3">
        <f t="shared" si="23"/>
        <v>0.3</v>
      </c>
      <c r="S159">
        <v>-27</v>
      </c>
      <c r="T159" s="4">
        <v>0.12</v>
      </c>
      <c r="U159">
        <v>115</v>
      </c>
      <c r="V159">
        <v>210</v>
      </c>
    </row>
    <row r="160" spans="1:22">
      <c r="A160">
        <v>156</v>
      </c>
      <c r="B160" s="2">
        <v>46288</v>
      </c>
      <c r="C160" t="s">
        <v>35</v>
      </c>
      <c r="D160" t="s">
        <v>24</v>
      </c>
      <c r="E160" t="s">
        <v>52</v>
      </c>
      <c r="F160">
        <v>13</v>
      </c>
      <c r="G160">
        <v>8</v>
      </c>
      <c r="H160" t="str">
        <f t="shared" si="16"/>
        <v>Win</v>
      </c>
      <c r="I160">
        <f t="shared" si="17"/>
        <v>1</v>
      </c>
      <c r="J160">
        <f t="shared" si="18"/>
        <v>5</v>
      </c>
      <c r="K160">
        <f t="shared" si="19"/>
        <v>21</v>
      </c>
      <c r="L160">
        <v>10</v>
      </c>
      <c r="M160">
        <v>14</v>
      </c>
      <c r="N160">
        <v>3</v>
      </c>
      <c r="O160" s="3">
        <f t="shared" si="20"/>
        <v>0.7142857142857143</v>
      </c>
      <c r="P160" s="3">
        <f t="shared" si="21"/>
        <v>0.47619047619047616</v>
      </c>
      <c r="Q160" s="3">
        <f t="shared" si="22"/>
        <v>0.66666666666666663</v>
      </c>
      <c r="R160" s="3">
        <f t="shared" si="23"/>
        <v>0.14285714285714285</v>
      </c>
      <c r="S160">
        <v>-11</v>
      </c>
      <c r="T160" s="4">
        <v>0.2</v>
      </c>
      <c r="U160">
        <v>140</v>
      </c>
      <c r="V160">
        <v>560</v>
      </c>
    </row>
    <row r="161" spans="1:22">
      <c r="A161">
        <v>157</v>
      </c>
      <c r="B161" s="2">
        <v>46288</v>
      </c>
      <c r="C161" t="s">
        <v>34</v>
      </c>
      <c r="D161" t="s">
        <v>37</v>
      </c>
      <c r="E161" t="s">
        <v>25</v>
      </c>
      <c r="F161">
        <v>7</v>
      </c>
      <c r="G161">
        <v>13</v>
      </c>
      <c r="H161" t="str">
        <f t="shared" si="16"/>
        <v>Loss</v>
      </c>
      <c r="I161">
        <f t="shared" si="17"/>
        <v>0</v>
      </c>
      <c r="J161">
        <f t="shared" si="18"/>
        <v>-6</v>
      </c>
      <c r="K161">
        <f t="shared" si="19"/>
        <v>20</v>
      </c>
      <c r="L161">
        <v>14</v>
      </c>
      <c r="M161">
        <v>16</v>
      </c>
      <c r="N161">
        <v>3</v>
      </c>
      <c r="O161" s="3">
        <f t="shared" si="20"/>
        <v>0.875</v>
      </c>
      <c r="P161" s="3">
        <f t="shared" si="21"/>
        <v>0.7</v>
      </c>
      <c r="Q161" s="3">
        <f t="shared" si="22"/>
        <v>0.8</v>
      </c>
      <c r="R161" s="3">
        <f t="shared" si="23"/>
        <v>0.15</v>
      </c>
      <c r="S161">
        <v>-16</v>
      </c>
      <c r="T161" s="4">
        <v>0.05</v>
      </c>
      <c r="U161">
        <v>184</v>
      </c>
      <c r="V161">
        <v>328</v>
      </c>
    </row>
    <row r="162" spans="1:22">
      <c r="A162">
        <v>158</v>
      </c>
      <c r="B162" s="2">
        <v>46288</v>
      </c>
      <c r="C162" t="s">
        <v>40</v>
      </c>
      <c r="D162" t="s">
        <v>31</v>
      </c>
      <c r="E162" t="s">
        <v>25</v>
      </c>
      <c r="F162">
        <v>4</v>
      </c>
      <c r="G162">
        <v>13</v>
      </c>
      <c r="H162" t="str">
        <f t="shared" si="16"/>
        <v>Loss</v>
      </c>
      <c r="I162">
        <f t="shared" si="17"/>
        <v>0</v>
      </c>
      <c r="J162">
        <f t="shared" si="18"/>
        <v>-9</v>
      </c>
      <c r="K162">
        <f t="shared" si="19"/>
        <v>17</v>
      </c>
      <c r="L162">
        <v>10</v>
      </c>
      <c r="M162">
        <v>15</v>
      </c>
      <c r="N162">
        <v>0</v>
      </c>
      <c r="O162" s="3">
        <f t="shared" si="20"/>
        <v>0.66666666666666663</v>
      </c>
      <c r="P162" s="3">
        <f t="shared" si="21"/>
        <v>0.58823529411764708</v>
      </c>
      <c r="Q162" s="3">
        <f t="shared" si="22"/>
        <v>0.88235294117647056</v>
      </c>
      <c r="R162" s="3">
        <f t="shared" si="23"/>
        <v>0</v>
      </c>
      <c r="S162">
        <v>-43</v>
      </c>
      <c r="T162" s="4">
        <v>7.0000000000000007E-2</v>
      </c>
      <c r="U162">
        <v>153</v>
      </c>
      <c r="V162">
        <v>147</v>
      </c>
    </row>
    <row r="163" spans="1:22">
      <c r="A163">
        <v>159</v>
      </c>
      <c r="B163" s="2">
        <v>46288</v>
      </c>
      <c r="C163" t="s">
        <v>26</v>
      </c>
      <c r="D163" t="s">
        <v>37</v>
      </c>
      <c r="E163" t="s">
        <v>25</v>
      </c>
      <c r="F163">
        <v>13</v>
      </c>
      <c r="G163">
        <v>6</v>
      </c>
      <c r="H163" t="str">
        <f t="shared" si="16"/>
        <v>Win</v>
      </c>
      <c r="I163">
        <f t="shared" si="17"/>
        <v>1</v>
      </c>
      <c r="J163">
        <f t="shared" si="18"/>
        <v>7</v>
      </c>
      <c r="K163">
        <f t="shared" si="19"/>
        <v>19</v>
      </c>
      <c r="L163">
        <v>13</v>
      </c>
      <c r="M163">
        <v>12</v>
      </c>
      <c r="N163">
        <v>3</v>
      </c>
      <c r="O163" s="3">
        <f t="shared" si="20"/>
        <v>1.0833333333333333</v>
      </c>
      <c r="P163" s="3">
        <f t="shared" si="21"/>
        <v>0.68421052631578949</v>
      </c>
      <c r="Q163" s="3">
        <f t="shared" si="22"/>
        <v>0.63157894736842102</v>
      </c>
      <c r="R163" s="3">
        <f t="shared" si="23"/>
        <v>0.15789473684210525</v>
      </c>
      <c r="S163">
        <v>24</v>
      </c>
      <c r="T163" s="4">
        <v>0.13</v>
      </c>
      <c r="U163">
        <v>206</v>
      </c>
      <c r="V163">
        <v>538</v>
      </c>
    </row>
    <row r="164" spans="1:22">
      <c r="A164">
        <v>160</v>
      </c>
      <c r="B164" s="2">
        <v>46288</v>
      </c>
      <c r="C164" t="s">
        <v>29</v>
      </c>
      <c r="D164" t="s">
        <v>42</v>
      </c>
      <c r="E164" t="s">
        <v>25</v>
      </c>
      <c r="F164">
        <v>10</v>
      </c>
      <c r="G164">
        <v>5</v>
      </c>
      <c r="H164" t="str">
        <f t="shared" si="16"/>
        <v>Win</v>
      </c>
      <c r="I164">
        <f t="shared" si="17"/>
        <v>1</v>
      </c>
      <c r="J164">
        <f t="shared" si="18"/>
        <v>5</v>
      </c>
      <c r="K164">
        <f t="shared" si="19"/>
        <v>15</v>
      </c>
      <c r="L164">
        <v>17</v>
      </c>
      <c r="M164">
        <v>8</v>
      </c>
      <c r="N164">
        <v>3</v>
      </c>
      <c r="O164" s="3">
        <f t="shared" si="20"/>
        <v>2.125</v>
      </c>
      <c r="P164" s="3">
        <f t="shared" si="21"/>
        <v>1.1333333333333333</v>
      </c>
      <c r="Q164" s="3">
        <f t="shared" si="22"/>
        <v>0.53333333333333333</v>
      </c>
      <c r="R164" s="3">
        <f t="shared" si="23"/>
        <v>0.2</v>
      </c>
      <c r="S164">
        <v>79</v>
      </c>
      <c r="T164" s="4">
        <v>0.11</v>
      </c>
      <c r="U164">
        <v>303</v>
      </c>
      <c r="V164">
        <v>954</v>
      </c>
    </row>
    <row r="165" spans="1:22">
      <c r="A165">
        <v>161</v>
      </c>
      <c r="B165" s="2">
        <v>46288</v>
      </c>
      <c r="C165" t="s">
        <v>40</v>
      </c>
      <c r="D165" t="s">
        <v>46</v>
      </c>
      <c r="E165" t="s">
        <v>25</v>
      </c>
      <c r="F165">
        <v>13</v>
      </c>
      <c r="G165">
        <v>9</v>
      </c>
      <c r="H165" t="str">
        <f t="shared" si="16"/>
        <v>Win</v>
      </c>
      <c r="I165">
        <f t="shared" si="17"/>
        <v>1</v>
      </c>
      <c r="J165">
        <f t="shared" si="18"/>
        <v>4</v>
      </c>
      <c r="K165">
        <f t="shared" si="19"/>
        <v>22</v>
      </c>
      <c r="L165">
        <v>27</v>
      </c>
      <c r="M165">
        <v>15</v>
      </c>
      <c r="N165">
        <v>9</v>
      </c>
      <c r="O165" s="3">
        <f t="shared" si="20"/>
        <v>1.8</v>
      </c>
      <c r="P165" s="3">
        <f t="shared" si="21"/>
        <v>1.2272727272727273</v>
      </c>
      <c r="Q165" s="3">
        <f t="shared" si="22"/>
        <v>0.68181818181818177</v>
      </c>
      <c r="R165" s="3">
        <f t="shared" si="23"/>
        <v>0.40909090909090912</v>
      </c>
      <c r="S165">
        <v>80</v>
      </c>
      <c r="T165" s="4">
        <v>0.11</v>
      </c>
      <c r="U165">
        <v>346</v>
      </c>
      <c r="V165">
        <v>945</v>
      </c>
    </row>
    <row r="166" spans="1:22">
      <c r="A166">
        <v>162</v>
      </c>
      <c r="B166" s="2">
        <v>46288</v>
      </c>
      <c r="C166" t="s">
        <v>41</v>
      </c>
      <c r="D166" t="s">
        <v>46</v>
      </c>
      <c r="E166" t="s">
        <v>51</v>
      </c>
      <c r="F166">
        <v>7</v>
      </c>
      <c r="G166">
        <v>13</v>
      </c>
      <c r="H166" t="str">
        <f t="shared" si="16"/>
        <v>Loss</v>
      </c>
      <c r="I166">
        <f t="shared" si="17"/>
        <v>0</v>
      </c>
      <c r="J166">
        <f t="shared" si="18"/>
        <v>-6</v>
      </c>
      <c r="K166">
        <f t="shared" si="19"/>
        <v>20</v>
      </c>
      <c r="L166">
        <v>19</v>
      </c>
      <c r="M166">
        <v>16</v>
      </c>
      <c r="N166">
        <v>3</v>
      </c>
      <c r="O166" s="3">
        <f t="shared" si="20"/>
        <v>1.1875</v>
      </c>
      <c r="P166" s="3">
        <f t="shared" si="21"/>
        <v>0.95</v>
      </c>
      <c r="Q166" s="3">
        <f t="shared" si="22"/>
        <v>0.8</v>
      </c>
      <c r="R166" s="3">
        <f t="shared" si="23"/>
        <v>0.15</v>
      </c>
      <c r="S166">
        <v>60</v>
      </c>
      <c r="T166" s="4">
        <v>7.0000000000000007E-2</v>
      </c>
      <c r="U166">
        <v>308</v>
      </c>
      <c r="V166">
        <v>738</v>
      </c>
    </row>
    <row r="167" spans="1:22">
      <c r="A167">
        <v>163</v>
      </c>
      <c r="B167" s="2">
        <v>46288</v>
      </c>
      <c r="C167" t="s">
        <v>26</v>
      </c>
      <c r="D167" t="s">
        <v>32</v>
      </c>
      <c r="E167" t="s">
        <v>25</v>
      </c>
      <c r="F167">
        <v>4</v>
      </c>
      <c r="G167">
        <v>13</v>
      </c>
      <c r="H167" t="str">
        <f t="shared" si="16"/>
        <v>Loss</v>
      </c>
      <c r="I167">
        <f t="shared" si="17"/>
        <v>0</v>
      </c>
      <c r="J167">
        <f t="shared" si="18"/>
        <v>-9</v>
      </c>
      <c r="K167">
        <f t="shared" si="19"/>
        <v>17</v>
      </c>
      <c r="L167">
        <v>9</v>
      </c>
      <c r="M167">
        <v>15</v>
      </c>
      <c r="N167">
        <v>6</v>
      </c>
      <c r="O167" s="3">
        <f t="shared" si="20"/>
        <v>0.6</v>
      </c>
      <c r="P167" s="3">
        <f t="shared" si="21"/>
        <v>0.52941176470588236</v>
      </c>
      <c r="Q167" s="3">
        <f t="shared" si="22"/>
        <v>0.88235294117647056</v>
      </c>
      <c r="R167" s="3">
        <f t="shared" si="23"/>
        <v>0.35294117647058826</v>
      </c>
      <c r="S167">
        <v>-46</v>
      </c>
      <c r="T167" s="4">
        <v>0.12</v>
      </c>
      <c r="U167">
        <v>169</v>
      </c>
      <c r="V167">
        <v>188</v>
      </c>
    </row>
    <row r="168" spans="1:22">
      <c r="A168">
        <v>164</v>
      </c>
      <c r="B168" s="2">
        <v>46288</v>
      </c>
      <c r="C168" t="s">
        <v>35</v>
      </c>
      <c r="D168" t="s">
        <v>27</v>
      </c>
      <c r="E168" t="s">
        <v>25</v>
      </c>
      <c r="F168">
        <v>13</v>
      </c>
      <c r="G168">
        <v>7</v>
      </c>
      <c r="H168" t="str">
        <f t="shared" si="16"/>
        <v>Win</v>
      </c>
      <c r="I168">
        <f t="shared" si="17"/>
        <v>1</v>
      </c>
      <c r="J168">
        <f t="shared" si="18"/>
        <v>6</v>
      </c>
      <c r="K168">
        <f t="shared" si="19"/>
        <v>20</v>
      </c>
      <c r="L168">
        <v>13</v>
      </c>
      <c r="M168">
        <v>12</v>
      </c>
      <c r="N168">
        <v>6</v>
      </c>
      <c r="O168" s="3">
        <f t="shared" si="20"/>
        <v>1.0833333333333333</v>
      </c>
      <c r="P168" s="3">
        <f t="shared" si="21"/>
        <v>0.65</v>
      </c>
      <c r="Q168" s="3">
        <f t="shared" si="22"/>
        <v>0.6</v>
      </c>
      <c r="R168" s="3">
        <f t="shared" si="23"/>
        <v>0.3</v>
      </c>
      <c r="S168">
        <v>3</v>
      </c>
      <c r="T168" s="4">
        <v>0.15</v>
      </c>
      <c r="U168">
        <v>199</v>
      </c>
      <c r="V168">
        <v>676</v>
      </c>
    </row>
    <row r="169" spans="1:22">
      <c r="A169">
        <v>165</v>
      </c>
      <c r="B169" s="2">
        <v>46288</v>
      </c>
      <c r="C169" t="s">
        <v>34</v>
      </c>
      <c r="D169" t="s">
        <v>27</v>
      </c>
      <c r="E169" t="s">
        <v>25</v>
      </c>
      <c r="F169">
        <v>13</v>
      </c>
      <c r="G169">
        <v>6</v>
      </c>
      <c r="H169" t="str">
        <f t="shared" si="16"/>
        <v>Win</v>
      </c>
      <c r="I169">
        <f t="shared" si="17"/>
        <v>1</v>
      </c>
      <c r="J169">
        <f t="shared" si="18"/>
        <v>7</v>
      </c>
      <c r="K169">
        <f t="shared" si="19"/>
        <v>19</v>
      </c>
      <c r="L169">
        <v>15</v>
      </c>
      <c r="M169">
        <v>13</v>
      </c>
      <c r="N169">
        <v>2</v>
      </c>
      <c r="O169" s="3">
        <f t="shared" si="20"/>
        <v>1.1538461538461537</v>
      </c>
      <c r="P169" s="3">
        <f t="shared" si="21"/>
        <v>0.78947368421052633</v>
      </c>
      <c r="Q169" s="3">
        <f t="shared" si="22"/>
        <v>0.68421052631578949</v>
      </c>
      <c r="R169" s="3">
        <f t="shared" si="23"/>
        <v>0.10526315789473684</v>
      </c>
      <c r="S169">
        <v>18</v>
      </c>
      <c r="T169" s="4">
        <v>0.14000000000000001</v>
      </c>
      <c r="U169">
        <v>213</v>
      </c>
      <c r="V169">
        <v>615</v>
      </c>
    </row>
    <row r="170" spans="1:22">
      <c r="A170">
        <v>166</v>
      </c>
      <c r="B170" s="2">
        <v>46287</v>
      </c>
      <c r="C170" t="s">
        <v>26</v>
      </c>
      <c r="D170" t="s">
        <v>32</v>
      </c>
      <c r="E170" t="s">
        <v>28</v>
      </c>
      <c r="F170">
        <v>7</v>
      </c>
      <c r="G170">
        <v>13</v>
      </c>
      <c r="H170" t="str">
        <f t="shared" si="16"/>
        <v>Loss</v>
      </c>
      <c r="I170">
        <f t="shared" si="17"/>
        <v>0</v>
      </c>
      <c r="J170">
        <f t="shared" si="18"/>
        <v>-6</v>
      </c>
      <c r="K170">
        <f t="shared" si="19"/>
        <v>20</v>
      </c>
      <c r="L170">
        <v>8</v>
      </c>
      <c r="M170">
        <v>17</v>
      </c>
      <c r="N170">
        <v>7</v>
      </c>
      <c r="O170" s="3">
        <f t="shared" si="20"/>
        <v>0.47058823529411764</v>
      </c>
      <c r="P170" s="3">
        <f t="shared" si="21"/>
        <v>0.4</v>
      </c>
      <c r="Q170" s="3">
        <f t="shared" si="22"/>
        <v>0.85</v>
      </c>
      <c r="R170" s="3">
        <f t="shared" si="23"/>
        <v>0.35</v>
      </c>
      <c r="S170">
        <v>-36</v>
      </c>
      <c r="T170" s="4">
        <v>0.1</v>
      </c>
      <c r="U170">
        <v>149</v>
      </c>
      <c r="V170">
        <v>264</v>
      </c>
    </row>
    <row r="171" spans="1:22">
      <c r="A171">
        <v>167</v>
      </c>
      <c r="B171" s="2">
        <v>46287</v>
      </c>
      <c r="C171" t="s">
        <v>40</v>
      </c>
      <c r="D171" t="s">
        <v>30</v>
      </c>
      <c r="E171" t="s">
        <v>25</v>
      </c>
      <c r="F171">
        <v>12</v>
      </c>
      <c r="G171">
        <v>14</v>
      </c>
      <c r="H171" t="str">
        <f t="shared" si="16"/>
        <v>Loss</v>
      </c>
      <c r="I171">
        <f t="shared" si="17"/>
        <v>0</v>
      </c>
      <c r="J171">
        <f t="shared" si="18"/>
        <v>-2</v>
      </c>
      <c r="K171">
        <f t="shared" si="19"/>
        <v>26</v>
      </c>
      <c r="L171">
        <v>17</v>
      </c>
      <c r="M171">
        <v>22</v>
      </c>
      <c r="N171">
        <v>6</v>
      </c>
      <c r="O171" s="3">
        <f t="shared" si="20"/>
        <v>0.77272727272727271</v>
      </c>
      <c r="P171" s="3">
        <f t="shared" si="21"/>
        <v>0.65384615384615385</v>
      </c>
      <c r="Q171" s="3">
        <f t="shared" si="22"/>
        <v>0.84615384615384615</v>
      </c>
      <c r="R171" s="3">
        <f t="shared" si="23"/>
        <v>0.23076923076923078</v>
      </c>
      <c r="S171">
        <v>-2</v>
      </c>
      <c r="T171" s="4">
        <v>0.11</v>
      </c>
      <c r="U171">
        <v>208</v>
      </c>
      <c r="V171">
        <v>519</v>
      </c>
    </row>
    <row r="172" spans="1:22">
      <c r="A172">
        <v>168</v>
      </c>
      <c r="B172" s="2">
        <v>46287</v>
      </c>
      <c r="C172" t="s">
        <v>41</v>
      </c>
      <c r="D172" t="s">
        <v>27</v>
      </c>
      <c r="E172" t="s">
        <v>51</v>
      </c>
      <c r="F172">
        <v>13</v>
      </c>
      <c r="G172">
        <v>5</v>
      </c>
      <c r="H172" t="str">
        <f t="shared" si="16"/>
        <v>Win</v>
      </c>
      <c r="I172">
        <f t="shared" si="17"/>
        <v>1</v>
      </c>
      <c r="J172">
        <f t="shared" si="18"/>
        <v>8</v>
      </c>
      <c r="K172">
        <f t="shared" si="19"/>
        <v>18</v>
      </c>
      <c r="L172">
        <v>12</v>
      </c>
      <c r="M172">
        <v>10</v>
      </c>
      <c r="N172">
        <v>2</v>
      </c>
      <c r="O172" s="3">
        <f t="shared" si="20"/>
        <v>1.2</v>
      </c>
      <c r="P172" s="3">
        <f t="shared" si="21"/>
        <v>0.66666666666666663</v>
      </c>
      <c r="Q172" s="3">
        <f t="shared" si="22"/>
        <v>0.55555555555555558</v>
      </c>
      <c r="R172" s="3">
        <f t="shared" si="23"/>
        <v>0.1111111111111111</v>
      </c>
      <c r="S172">
        <v>5</v>
      </c>
      <c r="T172" s="4">
        <v>0.16</v>
      </c>
      <c r="U172">
        <v>178</v>
      </c>
      <c r="V172">
        <v>473</v>
      </c>
    </row>
    <row r="173" spans="1:22">
      <c r="A173">
        <v>169</v>
      </c>
      <c r="B173" s="2">
        <v>46287</v>
      </c>
      <c r="C173" t="s">
        <v>34</v>
      </c>
      <c r="D173" t="s">
        <v>36</v>
      </c>
      <c r="E173" t="s">
        <v>25</v>
      </c>
      <c r="F173">
        <v>13</v>
      </c>
      <c r="G173">
        <v>7</v>
      </c>
      <c r="H173" t="str">
        <f t="shared" si="16"/>
        <v>Win</v>
      </c>
      <c r="I173">
        <f t="shared" si="17"/>
        <v>1</v>
      </c>
      <c r="J173">
        <f t="shared" si="18"/>
        <v>6</v>
      </c>
      <c r="K173">
        <f t="shared" si="19"/>
        <v>20</v>
      </c>
      <c r="L173">
        <v>17</v>
      </c>
      <c r="M173">
        <v>14</v>
      </c>
      <c r="N173">
        <v>1</v>
      </c>
      <c r="O173" s="3">
        <f t="shared" si="20"/>
        <v>1.2142857142857142</v>
      </c>
      <c r="P173" s="3">
        <f t="shared" si="21"/>
        <v>0.85</v>
      </c>
      <c r="Q173" s="3">
        <f t="shared" si="22"/>
        <v>0.7</v>
      </c>
      <c r="R173" s="3">
        <f t="shared" si="23"/>
        <v>0.05</v>
      </c>
      <c r="S173">
        <v>15</v>
      </c>
      <c r="T173" s="4">
        <v>0.11</v>
      </c>
      <c r="U173">
        <v>205</v>
      </c>
      <c r="V173">
        <v>660</v>
      </c>
    </row>
    <row r="174" spans="1:22">
      <c r="A174">
        <v>170</v>
      </c>
      <c r="B174" s="2">
        <v>46287</v>
      </c>
      <c r="C174" t="s">
        <v>35</v>
      </c>
      <c r="D174" t="s">
        <v>31</v>
      </c>
      <c r="E174" t="s">
        <v>53</v>
      </c>
      <c r="F174">
        <v>10</v>
      </c>
      <c r="G174">
        <v>13</v>
      </c>
      <c r="H174" t="str">
        <f t="shared" si="16"/>
        <v>Loss</v>
      </c>
      <c r="I174">
        <f t="shared" si="17"/>
        <v>0</v>
      </c>
      <c r="J174">
        <f t="shared" si="18"/>
        <v>-3</v>
      </c>
      <c r="K174">
        <f t="shared" si="19"/>
        <v>23</v>
      </c>
      <c r="L174">
        <v>10</v>
      </c>
      <c r="M174">
        <v>19</v>
      </c>
      <c r="N174">
        <v>3</v>
      </c>
      <c r="O174" s="3">
        <f t="shared" si="20"/>
        <v>0.52631578947368418</v>
      </c>
      <c r="P174" s="3">
        <f t="shared" si="21"/>
        <v>0.43478260869565216</v>
      </c>
      <c r="Q174" s="3">
        <f t="shared" si="22"/>
        <v>0.82608695652173914</v>
      </c>
      <c r="R174" s="3">
        <f t="shared" si="23"/>
        <v>0.13043478260869565</v>
      </c>
      <c r="S174">
        <v>-41</v>
      </c>
      <c r="T174" s="4">
        <v>0.23</v>
      </c>
      <c r="U174">
        <v>122</v>
      </c>
      <c r="V174">
        <v>177</v>
      </c>
    </row>
    <row r="175" spans="1:22">
      <c r="A175">
        <v>171</v>
      </c>
      <c r="B175" s="2">
        <v>46287</v>
      </c>
      <c r="C175" t="s">
        <v>26</v>
      </c>
      <c r="D175" t="s">
        <v>36</v>
      </c>
      <c r="E175" t="s">
        <v>28</v>
      </c>
      <c r="F175">
        <v>13</v>
      </c>
      <c r="G175">
        <v>11</v>
      </c>
      <c r="H175" t="str">
        <f t="shared" si="16"/>
        <v>Win</v>
      </c>
      <c r="I175">
        <f t="shared" si="17"/>
        <v>1</v>
      </c>
      <c r="J175">
        <f t="shared" si="18"/>
        <v>2</v>
      </c>
      <c r="K175">
        <f t="shared" si="19"/>
        <v>24</v>
      </c>
      <c r="L175">
        <v>15</v>
      </c>
      <c r="M175">
        <v>17</v>
      </c>
      <c r="N175">
        <v>10</v>
      </c>
      <c r="O175" s="3">
        <f t="shared" si="20"/>
        <v>0.88235294117647056</v>
      </c>
      <c r="P175" s="3">
        <f t="shared" si="21"/>
        <v>0.625</v>
      </c>
      <c r="Q175" s="3">
        <f t="shared" si="22"/>
        <v>0.70833333333333337</v>
      </c>
      <c r="R175" s="3">
        <f t="shared" si="23"/>
        <v>0.41666666666666669</v>
      </c>
      <c r="S175">
        <v>14</v>
      </c>
      <c r="T175" s="4">
        <v>0.17</v>
      </c>
      <c r="U175">
        <v>198</v>
      </c>
      <c r="V175">
        <v>658</v>
      </c>
    </row>
    <row r="176" spans="1:22">
      <c r="A176">
        <v>172</v>
      </c>
      <c r="B176" s="2">
        <v>46287</v>
      </c>
      <c r="C176" t="s">
        <v>41</v>
      </c>
      <c r="D176" t="s">
        <v>27</v>
      </c>
      <c r="E176" t="s">
        <v>28</v>
      </c>
      <c r="F176">
        <v>8</v>
      </c>
      <c r="G176">
        <v>13</v>
      </c>
      <c r="H176" t="str">
        <f t="shared" si="16"/>
        <v>Loss</v>
      </c>
      <c r="I176">
        <f t="shared" si="17"/>
        <v>0</v>
      </c>
      <c r="J176">
        <f t="shared" si="18"/>
        <v>-5</v>
      </c>
      <c r="K176">
        <f t="shared" si="19"/>
        <v>21</v>
      </c>
      <c r="L176">
        <v>17</v>
      </c>
      <c r="M176">
        <v>16</v>
      </c>
      <c r="N176">
        <v>5</v>
      </c>
      <c r="O176" s="3">
        <f t="shared" si="20"/>
        <v>1.0625</v>
      </c>
      <c r="P176" s="3">
        <f t="shared" si="21"/>
        <v>0.80952380952380953</v>
      </c>
      <c r="Q176" s="3">
        <f t="shared" si="22"/>
        <v>0.76190476190476186</v>
      </c>
      <c r="R176" s="3">
        <f t="shared" si="23"/>
        <v>0.23809523809523808</v>
      </c>
      <c r="S176">
        <v>-6</v>
      </c>
      <c r="T176" s="4">
        <v>0.21</v>
      </c>
      <c r="U176">
        <v>235</v>
      </c>
      <c r="V176">
        <v>535</v>
      </c>
    </row>
    <row r="177" spans="1:22">
      <c r="A177">
        <v>173</v>
      </c>
      <c r="B177" s="2">
        <v>46287</v>
      </c>
      <c r="C177" t="s">
        <v>29</v>
      </c>
      <c r="D177" t="s">
        <v>31</v>
      </c>
      <c r="E177" t="s">
        <v>25</v>
      </c>
      <c r="F177">
        <v>13</v>
      </c>
      <c r="G177">
        <v>10</v>
      </c>
      <c r="H177" t="str">
        <f t="shared" si="16"/>
        <v>Win</v>
      </c>
      <c r="I177">
        <f t="shared" si="17"/>
        <v>1</v>
      </c>
      <c r="J177">
        <f t="shared" si="18"/>
        <v>3</v>
      </c>
      <c r="K177">
        <f t="shared" si="19"/>
        <v>23</v>
      </c>
      <c r="L177">
        <v>12</v>
      </c>
      <c r="M177">
        <v>16</v>
      </c>
      <c r="N177">
        <v>4</v>
      </c>
      <c r="O177" s="3">
        <f t="shared" si="20"/>
        <v>0.75</v>
      </c>
      <c r="P177" s="3">
        <f t="shared" si="21"/>
        <v>0.52173913043478259</v>
      </c>
      <c r="Q177" s="3">
        <f t="shared" si="22"/>
        <v>0.69565217391304346</v>
      </c>
      <c r="R177" s="3">
        <f t="shared" si="23"/>
        <v>0.17391304347826086</v>
      </c>
      <c r="S177">
        <v>-11</v>
      </c>
      <c r="T177" s="4">
        <v>0.13</v>
      </c>
      <c r="U177">
        <v>152</v>
      </c>
      <c r="V177">
        <v>364</v>
      </c>
    </row>
    <row r="178" spans="1:22">
      <c r="A178">
        <v>174</v>
      </c>
      <c r="B178" s="2">
        <v>46287</v>
      </c>
      <c r="C178" t="s">
        <v>29</v>
      </c>
      <c r="D178" t="s">
        <v>42</v>
      </c>
      <c r="E178" t="s">
        <v>25</v>
      </c>
      <c r="F178">
        <v>12</v>
      </c>
      <c r="G178">
        <v>14</v>
      </c>
      <c r="H178" t="str">
        <f t="shared" si="16"/>
        <v>Loss</v>
      </c>
      <c r="I178">
        <f t="shared" si="17"/>
        <v>0</v>
      </c>
      <c r="J178">
        <f t="shared" si="18"/>
        <v>-2</v>
      </c>
      <c r="K178">
        <f t="shared" si="19"/>
        <v>26</v>
      </c>
      <c r="L178">
        <v>19</v>
      </c>
      <c r="M178">
        <v>22</v>
      </c>
      <c r="N178">
        <v>8</v>
      </c>
      <c r="O178" s="3">
        <f t="shared" si="20"/>
        <v>0.86363636363636365</v>
      </c>
      <c r="P178" s="3">
        <f t="shared" si="21"/>
        <v>0.73076923076923073</v>
      </c>
      <c r="Q178" s="3">
        <f t="shared" si="22"/>
        <v>0.84615384615384615</v>
      </c>
      <c r="R178" s="3">
        <f t="shared" si="23"/>
        <v>0.30769230769230771</v>
      </c>
      <c r="S178">
        <v>-8</v>
      </c>
      <c r="T178" s="4">
        <v>0.15</v>
      </c>
      <c r="U178">
        <v>232</v>
      </c>
      <c r="V178">
        <v>507</v>
      </c>
    </row>
    <row r="179" spans="1:22">
      <c r="A179">
        <v>175</v>
      </c>
      <c r="B179" s="2">
        <v>46286</v>
      </c>
      <c r="C179" t="s">
        <v>34</v>
      </c>
      <c r="D179" t="s">
        <v>42</v>
      </c>
      <c r="E179" t="s">
        <v>25</v>
      </c>
      <c r="F179">
        <v>11</v>
      </c>
      <c r="G179">
        <v>13</v>
      </c>
      <c r="H179" t="str">
        <f t="shared" si="16"/>
        <v>Loss</v>
      </c>
      <c r="I179">
        <f t="shared" si="17"/>
        <v>0</v>
      </c>
      <c r="J179">
        <f t="shared" si="18"/>
        <v>-2</v>
      </c>
      <c r="K179">
        <f t="shared" si="19"/>
        <v>24</v>
      </c>
      <c r="L179">
        <v>22</v>
      </c>
      <c r="M179">
        <v>20</v>
      </c>
      <c r="N179">
        <v>7</v>
      </c>
      <c r="O179" s="3">
        <f t="shared" si="20"/>
        <v>1.1000000000000001</v>
      </c>
      <c r="P179" s="3">
        <f t="shared" si="21"/>
        <v>0.91666666666666663</v>
      </c>
      <c r="Q179" s="3">
        <f t="shared" si="22"/>
        <v>0.83333333333333337</v>
      </c>
      <c r="R179" s="3">
        <f t="shared" si="23"/>
        <v>0.29166666666666669</v>
      </c>
      <c r="S179">
        <v>42</v>
      </c>
      <c r="T179" s="4">
        <v>0.08</v>
      </c>
      <c r="U179">
        <v>275</v>
      </c>
      <c r="V179">
        <v>605</v>
      </c>
    </row>
    <row r="180" spans="1:22">
      <c r="A180">
        <v>176</v>
      </c>
      <c r="B180" s="2">
        <v>46286</v>
      </c>
      <c r="C180" t="s">
        <v>40</v>
      </c>
      <c r="D180" t="s">
        <v>37</v>
      </c>
      <c r="E180" t="s">
        <v>45</v>
      </c>
      <c r="F180">
        <v>9</v>
      </c>
      <c r="G180">
        <v>13</v>
      </c>
      <c r="H180" t="str">
        <f t="shared" si="16"/>
        <v>Loss</v>
      </c>
      <c r="I180">
        <f t="shared" si="17"/>
        <v>0</v>
      </c>
      <c r="J180">
        <f t="shared" si="18"/>
        <v>-4</v>
      </c>
      <c r="K180">
        <f t="shared" si="19"/>
        <v>22</v>
      </c>
      <c r="L180">
        <v>19</v>
      </c>
      <c r="M180">
        <v>17</v>
      </c>
      <c r="N180">
        <v>6</v>
      </c>
      <c r="O180" s="3">
        <f t="shared" si="20"/>
        <v>1.1176470588235294</v>
      </c>
      <c r="P180" s="3">
        <f t="shared" si="21"/>
        <v>0.86363636363636365</v>
      </c>
      <c r="Q180" s="3">
        <f t="shared" si="22"/>
        <v>0.77272727272727271</v>
      </c>
      <c r="R180" s="3">
        <f t="shared" si="23"/>
        <v>0.27272727272727271</v>
      </c>
      <c r="S180">
        <v>24</v>
      </c>
      <c r="T180" s="4">
        <v>0.1</v>
      </c>
      <c r="U180">
        <v>264</v>
      </c>
      <c r="V180">
        <v>657</v>
      </c>
    </row>
    <row r="181" spans="1:22">
      <c r="A181">
        <v>177</v>
      </c>
      <c r="B181" s="2">
        <v>46286</v>
      </c>
      <c r="C181" t="s">
        <v>23</v>
      </c>
      <c r="D181" t="s">
        <v>46</v>
      </c>
      <c r="E181" t="s">
        <v>39</v>
      </c>
      <c r="F181">
        <v>11</v>
      </c>
      <c r="G181">
        <v>13</v>
      </c>
      <c r="H181" t="str">
        <f t="shared" si="16"/>
        <v>Loss</v>
      </c>
      <c r="I181">
        <f t="shared" si="17"/>
        <v>0</v>
      </c>
      <c r="J181">
        <f t="shared" si="18"/>
        <v>-2</v>
      </c>
      <c r="K181">
        <f t="shared" si="19"/>
        <v>24</v>
      </c>
      <c r="L181">
        <v>26</v>
      </c>
      <c r="M181">
        <v>15</v>
      </c>
      <c r="N181">
        <v>4</v>
      </c>
      <c r="O181" s="3">
        <f t="shared" si="20"/>
        <v>1.7333333333333334</v>
      </c>
      <c r="P181" s="3">
        <f t="shared" si="21"/>
        <v>1.0833333333333333</v>
      </c>
      <c r="Q181" s="3">
        <f t="shared" si="22"/>
        <v>0.625</v>
      </c>
      <c r="R181" s="3">
        <f t="shared" si="23"/>
        <v>0.16666666666666666</v>
      </c>
      <c r="S181">
        <v>90</v>
      </c>
      <c r="T181" s="4">
        <v>0.1</v>
      </c>
      <c r="U181">
        <v>321</v>
      </c>
      <c r="V181">
        <v>732</v>
      </c>
    </row>
    <row r="182" spans="1:22">
      <c r="A182">
        <v>178</v>
      </c>
      <c r="B182" s="2">
        <v>46286</v>
      </c>
      <c r="C182" t="s">
        <v>34</v>
      </c>
      <c r="D182" t="s">
        <v>30</v>
      </c>
      <c r="E182" t="s">
        <v>51</v>
      </c>
      <c r="F182">
        <v>13</v>
      </c>
      <c r="G182">
        <v>8</v>
      </c>
      <c r="H182" t="str">
        <f t="shared" si="16"/>
        <v>Win</v>
      </c>
      <c r="I182">
        <f t="shared" si="17"/>
        <v>1</v>
      </c>
      <c r="J182">
        <f t="shared" si="18"/>
        <v>5</v>
      </c>
      <c r="K182">
        <f t="shared" si="19"/>
        <v>21</v>
      </c>
      <c r="L182">
        <v>7</v>
      </c>
      <c r="M182">
        <v>13</v>
      </c>
      <c r="N182">
        <v>0</v>
      </c>
      <c r="O182" s="3">
        <f t="shared" si="20"/>
        <v>0.53846153846153844</v>
      </c>
      <c r="P182" s="3">
        <f t="shared" si="21"/>
        <v>0.33333333333333331</v>
      </c>
      <c r="Q182" s="3">
        <f t="shared" si="22"/>
        <v>0.61904761904761907</v>
      </c>
      <c r="R182" s="3">
        <f t="shared" si="23"/>
        <v>0</v>
      </c>
      <c r="S182">
        <v>-47</v>
      </c>
      <c r="T182" s="4">
        <v>0.12</v>
      </c>
      <c r="U182">
        <v>87</v>
      </c>
      <c r="V182">
        <v>227</v>
      </c>
    </row>
    <row r="183" spans="1:22">
      <c r="A183">
        <v>179</v>
      </c>
      <c r="B183" s="2">
        <v>46286</v>
      </c>
      <c r="C183" t="s">
        <v>41</v>
      </c>
      <c r="D183" t="s">
        <v>27</v>
      </c>
      <c r="E183" t="s">
        <v>28</v>
      </c>
      <c r="F183">
        <v>13</v>
      </c>
      <c r="G183">
        <v>11</v>
      </c>
      <c r="H183" t="str">
        <f t="shared" si="16"/>
        <v>Win</v>
      </c>
      <c r="I183">
        <f t="shared" si="17"/>
        <v>1</v>
      </c>
      <c r="J183">
        <f t="shared" si="18"/>
        <v>2</v>
      </c>
      <c r="K183">
        <f t="shared" si="19"/>
        <v>24</v>
      </c>
      <c r="L183">
        <v>16</v>
      </c>
      <c r="M183">
        <v>17</v>
      </c>
      <c r="N183">
        <v>2</v>
      </c>
      <c r="O183" s="3">
        <f t="shared" si="20"/>
        <v>0.94117647058823528</v>
      </c>
      <c r="P183" s="3">
        <f t="shared" si="21"/>
        <v>0.66666666666666663</v>
      </c>
      <c r="Q183" s="3">
        <f t="shared" si="22"/>
        <v>0.70833333333333337</v>
      </c>
      <c r="R183" s="3">
        <f t="shared" si="23"/>
        <v>8.3333333333333329E-2</v>
      </c>
      <c r="S183">
        <v>-19</v>
      </c>
      <c r="T183" s="4">
        <v>0.14000000000000001</v>
      </c>
      <c r="U183">
        <v>193</v>
      </c>
      <c r="V183">
        <v>462</v>
      </c>
    </row>
    <row r="184" spans="1:22">
      <c r="A184">
        <v>180</v>
      </c>
      <c r="B184" s="2">
        <v>46286</v>
      </c>
      <c r="C184" t="s">
        <v>35</v>
      </c>
      <c r="D184" t="s">
        <v>27</v>
      </c>
      <c r="E184" t="s">
        <v>28</v>
      </c>
      <c r="F184">
        <v>7</v>
      </c>
      <c r="G184">
        <v>13</v>
      </c>
      <c r="H184" t="str">
        <f t="shared" si="16"/>
        <v>Loss</v>
      </c>
      <c r="I184">
        <f t="shared" si="17"/>
        <v>0</v>
      </c>
      <c r="J184">
        <f t="shared" si="18"/>
        <v>-6</v>
      </c>
      <c r="K184">
        <f t="shared" si="19"/>
        <v>20</v>
      </c>
      <c r="L184">
        <v>12</v>
      </c>
      <c r="M184">
        <v>16</v>
      </c>
      <c r="N184">
        <v>10</v>
      </c>
      <c r="O184" s="3">
        <f t="shared" si="20"/>
        <v>0.75</v>
      </c>
      <c r="P184" s="3">
        <f t="shared" si="21"/>
        <v>0.6</v>
      </c>
      <c r="Q184" s="3">
        <f t="shared" si="22"/>
        <v>0.8</v>
      </c>
      <c r="R184" s="3">
        <f t="shared" si="23"/>
        <v>0.5</v>
      </c>
      <c r="S184">
        <v>23</v>
      </c>
      <c r="T184" s="4">
        <v>0.12</v>
      </c>
      <c r="U184">
        <v>225</v>
      </c>
      <c r="V184">
        <v>550</v>
      </c>
    </row>
    <row r="185" spans="1:22">
      <c r="A185">
        <v>181</v>
      </c>
      <c r="B185" s="2">
        <v>46285</v>
      </c>
      <c r="C185" t="s">
        <v>23</v>
      </c>
      <c r="D185" t="s">
        <v>24</v>
      </c>
      <c r="E185" t="s">
        <v>25</v>
      </c>
      <c r="F185">
        <v>9</v>
      </c>
      <c r="G185">
        <v>13</v>
      </c>
      <c r="H185" t="str">
        <f t="shared" si="16"/>
        <v>Loss</v>
      </c>
      <c r="I185">
        <f t="shared" si="17"/>
        <v>0</v>
      </c>
      <c r="J185">
        <f t="shared" si="18"/>
        <v>-4</v>
      </c>
      <c r="K185">
        <f t="shared" si="19"/>
        <v>22</v>
      </c>
      <c r="L185">
        <v>14</v>
      </c>
      <c r="M185">
        <v>13</v>
      </c>
      <c r="N185">
        <v>4</v>
      </c>
      <c r="O185" s="3">
        <f t="shared" si="20"/>
        <v>1.0769230769230769</v>
      </c>
      <c r="P185" s="3">
        <f t="shared" si="21"/>
        <v>0.63636363636363635</v>
      </c>
      <c r="Q185" s="3">
        <f t="shared" si="22"/>
        <v>0.59090909090909094</v>
      </c>
      <c r="R185" s="3">
        <f t="shared" si="23"/>
        <v>0.18181818181818182</v>
      </c>
      <c r="S185">
        <v>-1</v>
      </c>
      <c r="T185" s="4">
        <v>0.11</v>
      </c>
      <c r="U185">
        <v>172</v>
      </c>
      <c r="V185">
        <v>469</v>
      </c>
    </row>
    <row r="186" spans="1:22">
      <c r="A186">
        <v>182</v>
      </c>
      <c r="B186" s="2">
        <v>46285</v>
      </c>
      <c r="C186" t="s">
        <v>34</v>
      </c>
      <c r="D186" t="s">
        <v>32</v>
      </c>
      <c r="E186" t="s">
        <v>25</v>
      </c>
      <c r="F186">
        <v>3</v>
      </c>
      <c r="G186">
        <v>13</v>
      </c>
      <c r="H186" t="str">
        <f t="shared" si="16"/>
        <v>Loss</v>
      </c>
      <c r="I186">
        <f t="shared" si="17"/>
        <v>0</v>
      </c>
      <c r="J186">
        <f t="shared" si="18"/>
        <v>-10</v>
      </c>
      <c r="K186">
        <f t="shared" si="19"/>
        <v>16</v>
      </c>
      <c r="L186">
        <v>7</v>
      </c>
      <c r="M186">
        <v>17</v>
      </c>
      <c r="N186">
        <v>3</v>
      </c>
      <c r="O186" s="3">
        <f t="shared" si="20"/>
        <v>0.41176470588235292</v>
      </c>
      <c r="P186" s="3">
        <f t="shared" si="21"/>
        <v>0.4375</v>
      </c>
      <c r="Q186" s="3">
        <f t="shared" si="22"/>
        <v>1.0625</v>
      </c>
      <c r="R186" s="3">
        <f t="shared" si="23"/>
        <v>0.1875</v>
      </c>
      <c r="S186">
        <v>-49</v>
      </c>
      <c r="T186" s="4">
        <v>0.04</v>
      </c>
      <c r="U186">
        <v>163</v>
      </c>
      <c r="V186">
        <v>154</v>
      </c>
    </row>
    <row r="187" spans="1:22">
      <c r="A187">
        <v>183</v>
      </c>
      <c r="B187" s="2">
        <v>46285</v>
      </c>
      <c r="C187" t="s">
        <v>26</v>
      </c>
      <c r="D187" t="s">
        <v>36</v>
      </c>
      <c r="E187" t="s">
        <v>47</v>
      </c>
      <c r="F187">
        <v>11</v>
      </c>
      <c r="G187">
        <v>13</v>
      </c>
      <c r="H187" t="str">
        <f t="shared" si="16"/>
        <v>Loss</v>
      </c>
      <c r="I187">
        <f t="shared" si="17"/>
        <v>0</v>
      </c>
      <c r="J187">
        <f t="shared" si="18"/>
        <v>-2</v>
      </c>
      <c r="K187">
        <f t="shared" si="19"/>
        <v>24</v>
      </c>
      <c r="L187">
        <v>17</v>
      </c>
      <c r="M187">
        <v>20</v>
      </c>
      <c r="N187">
        <v>1</v>
      </c>
      <c r="O187" s="3">
        <f t="shared" si="20"/>
        <v>0.85</v>
      </c>
      <c r="P187" s="3">
        <f t="shared" si="21"/>
        <v>0.70833333333333337</v>
      </c>
      <c r="Q187" s="3">
        <f t="shared" si="22"/>
        <v>0.83333333333333337</v>
      </c>
      <c r="R187" s="3">
        <f t="shared" si="23"/>
        <v>4.1666666666666664E-2</v>
      </c>
      <c r="S187">
        <v>-30</v>
      </c>
      <c r="T187" s="4">
        <v>0.2</v>
      </c>
      <c r="U187">
        <v>205</v>
      </c>
      <c r="V187">
        <v>396</v>
      </c>
    </row>
    <row r="188" spans="1:22">
      <c r="A188">
        <v>184</v>
      </c>
      <c r="B188" s="2">
        <v>46284</v>
      </c>
      <c r="C188" t="s">
        <v>23</v>
      </c>
      <c r="D188" t="s">
        <v>27</v>
      </c>
      <c r="E188" t="s">
        <v>25</v>
      </c>
      <c r="F188">
        <v>13</v>
      </c>
      <c r="G188">
        <v>3</v>
      </c>
      <c r="H188" t="str">
        <f t="shared" si="16"/>
        <v>Win</v>
      </c>
      <c r="I188">
        <f t="shared" si="17"/>
        <v>1</v>
      </c>
      <c r="J188">
        <f t="shared" si="18"/>
        <v>10</v>
      </c>
      <c r="K188">
        <f t="shared" si="19"/>
        <v>16</v>
      </c>
      <c r="L188">
        <v>12</v>
      </c>
      <c r="M188">
        <v>9</v>
      </c>
      <c r="N188">
        <v>4</v>
      </c>
      <c r="O188" s="3">
        <f t="shared" si="20"/>
        <v>1.3333333333333333</v>
      </c>
      <c r="P188" s="3">
        <f t="shared" si="21"/>
        <v>0.75</v>
      </c>
      <c r="Q188" s="3">
        <f t="shared" si="22"/>
        <v>0.5625</v>
      </c>
      <c r="R188" s="3">
        <f t="shared" si="23"/>
        <v>0.25</v>
      </c>
      <c r="S188">
        <v>40</v>
      </c>
      <c r="T188" s="4">
        <v>0.09</v>
      </c>
      <c r="U188">
        <v>213</v>
      </c>
      <c r="V188">
        <v>811</v>
      </c>
    </row>
    <row r="189" spans="1:22">
      <c r="A189">
        <v>185</v>
      </c>
      <c r="B189" s="2">
        <v>46284</v>
      </c>
      <c r="C189" t="s">
        <v>35</v>
      </c>
      <c r="D189" t="s">
        <v>27</v>
      </c>
      <c r="E189" t="s">
        <v>51</v>
      </c>
      <c r="F189">
        <v>6</v>
      </c>
      <c r="G189">
        <v>13</v>
      </c>
      <c r="H189" t="str">
        <f t="shared" si="16"/>
        <v>Loss</v>
      </c>
      <c r="I189">
        <f t="shared" si="17"/>
        <v>0</v>
      </c>
      <c r="J189">
        <f t="shared" si="18"/>
        <v>-7</v>
      </c>
      <c r="K189">
        <f t="shared" si="19"/>
        <v>19</v>
      </c>
      <c r="L189">
        <v>13</v>
      </c>
      <c r="M189">
        <v>15</v>
      </c>
      <c r="N189">
        <v>3</v>
      </c>
      <c r="O189" s="3">
        <f t="shared" si="20"/>
        <v>0.8666666666666667</v>
      </c>
      <c r="P189" s="3">
        <f t="shared" si="21"/>
        <v>0.68421052631578949</v>
      </c>
      <c r="Q189" s="3">
        <f t="shared" si="22"/>
        <v>0.78947368421052633</v>
      </c>
      <c r="R189" s="3">
        <f t="shared" si="23"/>
        <v>0.15789473684210525</v>
      </c>
      <c r="S189">
        <v>-2</v>
      </c>
      <c r="T189" s="4">
        <v>0.11</v>
      </c>
      <c r="U189">
        <v>221</v>
      </c>
      <c r="V189">
        <v>381</v>
      </c>
    </row>
    <row r="190" spans="1:22">
      <c r="A190">
        <v>186</v>
      </c>
      <c r="B190" s="2">
        <v>46284</v>
      </c>
      <c r="C190" t="s">
        <v>29</v>
      </c>
      <c r="D190" t="s">
        <v>27</v>
      </c>
      <c r="E190" t="s">
        <v>25</v>
      </c>
      <c r="F190">
        <v>8</v>
      </c>
      <c r="G190">
        <v>13</v>
      </c>
      <c r="H190" t="str">
        <f t="shared" si="16"/>
        <v>Loss</v>
      </c>
      <c r="I190">
        <f t="shared" si="17"/>
        <v>0</v>
      </c>
      <c r="J190">
        <f t="shared" si="18"/>
        <v>-5</v>
      </c>
      <c r="K190">
        <f t="shared" si="19"/>
        <v>21</v>
      </c>
      <c r="L190">
        <v>14</v>
      </c>
      <c r="M190">
        <v>18</v>
      </c>
      <c r="N190">
        <v>5</v>
      </c>
      <c r="O190" s="3">
        <f t="shared" si="20"/>
        <v>0.77777777777777779</v>
      </c>
      <c r="P190" s="3">
        <f t="shared" si="21"/>
        <v>0.66666666666666663</v>
      </c>
      <c r="Q190" s="3">
        <f t="shared" si="22"/>
        <v>0.8571428571428571</v>
      </c>
      <c r="R190" s="3">
        <f t="shared" si="23"/>
        <v>0.23809523809523808</v>
      </c>
      <c r="S190">
        <v>-4</v>
      </c>
      <c r="T190" s="4">
        <v>0.18</v>
      </c>
      <c r="U190">
        <v>200</v>
      </c>
      <c r="V190">
        <v>437</v>
      </c>
    </row>
    <row r="191" spans="1:22">
      <c r="A191">
        <v>187</v>
      </c>
      <c r="B191" s="2">
        <v>46284</v>
      </c>
      <c r="C191" t="s">
        <v>41</v>
      </c>
      <c r="D191" t="s">
        <v>24</v>
      </c>
      <c r="E191" t="s">
        <v>28</v>
      </c>
      <c r="F191">
        <v>4</v>
      </c>
      <c r="G191">
        <v>13</v>
      </c>
      <c r="H191" t="str">
        <f t="shared" si="16"/>
        <v>Loss</v>
      </c>
      <c r="I191">
        <f t="shared" si="17"/>
        <v>0</v>
      </c>
      <c r="J191">
        <f t="shared" si="18"/>
        <v>-9</v>
      </c>
      <c r="K191">
        <f t="shared" si="19"/>
        <v>17</v>
      </c>
      <c r="L191">
        <v>8</v>
      </c>
      <c r="M191">
        <v>15</v>
      </c>
      <c r="N191">
        <v>1</v>
      </c>
      <c r="O191" s="3">
        <f t="shared" si="20"/>
        <v>0.53333333333333333</v>
      </c>
      <c r="P191" s="3">
        <f t="shared" si="21"/>
        <v>0.47058823529411764</v>
      </c>
      <c r="Q191" s="3">
        <f t="shared" si="22"/>
        <v>0.88235294117647056</v>
      </c>
      <c r="R191" s="3">
        <f t="shared" si="23"/>
        <v>5.8823529411764705E-2</v>
      </c>
      <c r="S191">
        <v>-32</v>
      </c>
      <c r="T191" s="4">
        <v>0.12</v>
      </c>
      <c r="U191">
        <v>156</v>
      </c>
      <c r="V191">
        <v>177</v>
      </c>
    </row>
    <row r="192" spans="1:22">
      <c r="A192">
        <v>188</v>
      </c>
      <c r="B192" s="2">
        <v>46284</v>
      </c>
      <c r="C192" t="s">
        <v>35</v>
      </c>
      <c r="D192" t="s">
        <v>24</v>
      </c>
      <c r="E192" t="s">
        <v>28</v>
      </c>
      <c r="F192">
        <v>4</v>
      </c>
      <c r="G192">
        <v>13</v>
      </c>
      <c r="H192" t="str">
        <f t="shared" si="16"/>
        <v>Loss</v>
      </c>
      <c r="I192">
        <f t="shared" si="17"/>
        <v>0</v>
      </c>
      <c r="J192">
        <f t="shared" si="18"/>
        <v>-9</v>
      </c>
      <c r="K192">
        <f t="shared" si="19"/>
        <v>17</v>
      </c>
      <c r="L192">
        <v>11</v>
      </c>
      <c r="M192">
        <v>13</v>
      </c>
      <c r="N192">
        <v>5</v>
      </c>
      <c r="O192" s="3">
        <f t="shared" si="20"/>
        <v>0.84615384615384615</v>
      </c>
      <c r="P192" s="3">
        <f t="shared" si="21"/>
        <v>0.6470588235294118</v>
      </c>
      <c r="Q192" s="3">
        <f t="shared" si="22"/>
        <v>0.76470588235294112</v>
      </c>
      <c r="R192" s="3">
        <f t="shared" si="23"/>
        <v>0.29411764705882354</v>
      </c>
      <c r="S192">
        <v>-20</v>
      </c>
      <c r="T192" s="4">
        <v>0.12</v>
      </c>
      <c r="U192">
        <v>192</v>
      </c>
      <c r="V192">
        <v>338</v>
      </c>
    </row>
    <row r="193" spans="1:22">
      <c r="A193">
        <v>189</v>
      </c>
      <c r="B193" s="2">
        <v>46284</v>
      </c>
      <c r="C193" t="s">
        <v>34</v>
      </c>
      <c r="D193" t="s">
        <v>27</v>
      </c>
      <c r="E193" t="s">
        <v>25</v>
      </c>
      <c r="F193">
        <v>13</v>
      </c>
      <c r="G193">
        <v>8</v>
      </c>
      <c r="H193" t="str">
        <f t="shared" si="16"/>
        <v>Win</v>
      </c>
      <c r="I193">
        <f t="shared" si="17"/>
        <v>1</v>
      </c>
      <c r="J193">
        <f t="shared" si="18"/>
        <v>5</v>
      </c>
      <c r="K193">
        <f t="shared" si="19"/>
        <v>21</v>
      </c>
      <c r="L193">
        <v>20</v>
      </c>
      <c r="M193">
        <v>12</v>
      </c>
      <c r="N193">
        <v>1</v>
      </c>
      <c r="O193" s="3">
        <f t="shared" si="20"/>
        <v>1.6666666666666667</v>
      </c>
      <c r="P193" s="3">
        <f t="shared" si="21"/>
        <v>0.95238095238095233</v>
      </c>
      <c r="Q193" s="3">
        <f t="shared" si="22"/>
        <v>0.5714285714285714</v>
      </c>
      <c r="R193" s="3">
        <f t="shared" si="23"/>
        <v>4.7619047619047616E-2</v>
      </c>
      <c r="S193">
        <v>51</v>
      </c>
      <c r="T193" s="4">
        <v>0.12</v>
      </c>
      <c r="U193">
        <v>249</v>
      </c>
      <c r="V193">
        <v>749</v>
      </c>
    </row>
    <row r="194" spans="1:22">
      <c r="A194">
        <v>190</v>
      </c>
      <c r="B194" s="2">
        <v>46284</v>
      </c>
      <c r="C194" t="s">
        <v>41</v>
      </c>
      <c r="D194" t="s">
        <v>42</v>
      </c>
      <c r="E194" t="s">
        <v>28</v>
      </c>
      <c r="F194">
        <v>13</v>
      </c>
      <c r="G194">
        <v>2</v>
      </c>
      <c r="H194" t="str">
        <f t="shared" si="16"/>
        <v>Win</v>
      </c>
      <c r="I194">
        <f t="shared" si="17"/>
        <v>1</v>
      </c>
      <c r="J194">
        <f t="shared" si="18"/>
        <v>11</v>
      </c>
      <c r="K194">
        <f t="shared" si="19"/>
        <v>15</v>
      </c>
      <c r="L194">
        <v>16</v>
      </c>
      <c r="M194">
        <v>7</v>
      </c>
      <c r="N194">
        <v>5</v>
      </c>
      <c r="O194" s="3">
        <f t="shared" si="20"/>
        <v>2.2857142857142856</v>
      </c>
      <c r="P194" s="3">
        <f t="shared" si="21"/>
        <v>1.0666666666666667</v>
      </c>
      <c r="Q194" s="3">
        <f t="shared" si="22"/>
        <v>0.46666666666666667</v>
      </c>
      <c r="R194" s="3">
        <f t="shared" si="23"/>
        <v>0.33333333333333331</v>
      </c>
      <c r="S194">
        <v>67</v>
      </c>
      <c r="T194" s="4">
        <v>0.18</v>
      </c>
      <c r="U194">
        <v>283</v>
      </c>
      <c r="V194">
        <v>946</v>
      </c>
    </row>
    <row r="195" spans="1:22">
      <c r="A195">
        <v>191</v>
      </c>
      <c r="B195" s="2">
        <v>46283</v>
      </c>
      <c r="C195" t="s">
        <v>23</v>
      </c>
      <c r="D195" t="s">
        <v>30</v>
      </c>
      <c r="E195" t="s">
        <v>25</v>
      </c>
      <c r="F195">
        <v>9</v>
      </c>
      <c r="G195">
        <v>13</v>
      </c>
      <c r="H195" t="str">
        <f t="shared" si="16"/>
        <v>Loss</v>
      </c>
      <c r="I195">
        <f t="shared" si="17"/>
        <v>0</v>
      </c>
      <c r="J195">
        <f t="shared" si="18"/>
        <v>-4</v>
      </c>
      <c r="K195">
        <f t="shared" si="19"/>
        <v>22</v>
      </c>
      <c r="L195">
        <v>9</v>
      </c>
      <c r="M195">
        <v>19</v>
      </c>
      <c r="N195">
        <v>6</v>
      </c>
      <c r="O195" s="3">
        <f t="shared" si="20"/>
        <v>0.47368421052631576</v>
      </c>
      <c r="P195" s="3">
        <f t="shared" si="21"/>
        <v>0.40909090909090912</v>
      </c>
      <c r="Q195" s="3">
        <f t="shared" si="22"/>
        <v>0.86363636363636365</v>
      </c>
      <c r="R195" s="3">
        <f t="shared" si="23"/>
        <v>0.27272727272727271</v>
      </c>
      <c r="S195">
        <v>-18</v>
      </c>
      <c r="T195" s="4">
        <v>7.0000000000000007E-2</v>
      </c>
      <c r="U195">
        <v>158</v>
      </c>
      <c r="V195">
        <v>298</v>
      </c>
    </row>
    <row r="196" spans="1:22">
      <c r="A196">
        <v>192</v>
      </c>
      <c r="B196" s="2">
        <v>46283</v>
      </c>
      <c r="C196" t="s">
        <v>29</v>
      </c>
      <c r="D196" t="s">
        <v>27</v>
      </c>
      <c r="E196" t="s">
        <v>25</v>
      </c>
      <c r="F196">
        <v>7</v>
      </c>
      <c r="G196">
        <v>13</v>
      </c>
      <c r="H196" t="str">
        <f t="shared" si="16"/>
        <v>Loss</v>
      </c>
      <c r="I196">
        <f t="shared" si="17"/>
        <v>0</v>
      </c>
      <c r="J196">
        <f t="shared" si="18"/>
        <v>-6</v>
      </c>
      <c r="K196">
        <f t="shared" si="19"/>
        <v>20</v>
      </c>
      <c r="L196">
        <v>15</v>
      </c>
      <c r="M196">
        <v>15</v>
      </c>
      <c r="N196">
        <v>4</v>
      </c>
      <c r="O196" s="3">
        <f t="shared" si="20"/>
        <v>1</v>
      </c>
      <c r="P196" s="3">
        <f t="shared" si="21"/>
        <v>0.75</v>
      </c>
      <c r="Q196" s="3">
        <f t="shared" si="22"/>
        <v>0.75</v>
      </c>
      <c r="R196" s="3">
        <f t="shared" si="23"/>
        <v>0.2</v>
      </c>
      <c r="S196">
        <v>3</v>
      </c>
      <c r="T196" s="4">
        <v>0.12</v>
      </c>
      <c r="U196">
        <v>226</v>
      </c>
      <c r="V196">
        <v>442</v>
      </c>
    </row>
    <row r="197" spans="1:22">
      <c r="A197">
        <v>193</v>
      </c>
      <c r="B197" s="2">
        <v>46283</v>
      </c>
      <c r="C197" t="s">
        <v>35</v>
      </c>
      <c r="D197" t="s">
        <v>31</v>
      </c>
      <c r="E197" t="s">
        <v>38</v>
      </c>
      <c r="F197">
        <v>7</v>
      </c>
      <c r="G197">
        <v>13</v>
      </c>
      <c r="H197" t="str">
        <f t="shared" ref="H197:H260" si="24">IF(F197&gt;G197,"Win",IF(F197&lt;G197,"Loss","Draw"))</f>
        <v>Loss</v>
      </c>
      <c r="I197">
        <f t="shared" ref="I197:I260" si="25">IF(H197="Win",1,0)</f>
        <v>0</v>
      </c>
      <c r="J197">
        <f t="shared" ref="J197:J260" si="26">F197-G197</f>
        <v>-6</v>
      </c>
      <c r="K197">
        <f t="shared" ref="K197:K260" si="27">F197+G197</f>
        <v>20</v>
      </c>
      <c r="L197">
        <v>8</v>
      </c>
      <c r="M197">
        <v>14</v>
      </c>
      <c r="N197">
        <v>5</v>
      </c>
      <c r="O197" s="3">
        <f t="shared" ref="O197:O260" si="28">IFERROR(L197/M197,0)</f>
        <v>0.5714285714285714</v>
      </c>
      <c r="P197" s="3">
        <f t="shared" ref="P197:P260" si="29">IFERROR(L197/K197,0)</f>
        <v>0.4</v>
      </c>
      <c r="Q197" s="3">
        <f t="shared" ref="Q197:Q260" si="30">IFERROR(M197/K197,0)</f>
        <v>0.7</v>
      </c>
      <c r="R197" s="3">
        <f t="shared" ref="R197:R260" si="31">IFERROR(N197/K197,0)</f>
        <v>0.25</v>
      </c>
      <c r="S197">
        <v>-37</v>
      </c>
      <c r="T197" s="4">
        <v>0.21</v>
      </c>
      <c r="U197">
        <v>110</v>
      </c>
      <c r="V197">
        <v>164</v>
      </c>
    </row>
    <row r="198" spans="1:22">
      <c r="A198">
        <v>194</v>
      </c>
      <c r="B198" s="2">
        <v>46283</v>
      </c>
      <c r="C198" t="s">
        <v>23</v>
      </c>
      <c r="D198" t="s">
        <v>42</v>
      </c>
      <c r="E198" t="s">
        <v>38</v>
      </c>
      <c r="F198">
        <v>6</v>
      </c>
      <c r="G198">
        <v>13</v>
      </c>
      <c r="H198" t="str">
        <f t="shared" si="24"/>
        <v>Loss</v>
      </c>
      <c r="I198">
        <f t="shared" si="25"/>
        <v>0</v>
      </c>
      <c r="J198">
        <f t="shared" si="26"/>
        <v>-7</v>
      </c>
      <c r="K198">
        <f t="shared" si="27"/>
        <v>19</v>
      </c>
      <c r="L198">
        <v>18</v>
      </c>
      <c r="M198">
        <v>17</v>
      </c>
      <c r="N198">
        <v>3</v>
      </c>
      <c r="O198" s="3">
        <f t="shared" si="28"/>
        <v>1.0588235294117647</v>
      </c>
      <c r="P198" s="3">
        <f t="shared" si="29"/>
        <v>0.94736842105263153</v>
      </c>
      <c r="Q198" s="3">
        <f t="shared" si="30"/>
        <v>0.89473684210526316</v>
      </c>
      <c r="R198" s="3">
        <f t="shared" si="31"/>
        <v>0.15789473684210525</v>
      </c>
      <c r="S198">
        <v>-18</v>
      </c>
      <c r="T198" s="4">
        <v>0.22</v>
      </c>
      <c r="U198">
        <v>254</v>
      </c>
      <c r="V198">
        <v>635</v>
      </c>
    </row>
    <row r="199" spans="1:22">
      <c r="A199">
        <v>195</v>
      </c>
      <c r="B199" s="2">
        <v>46283</v>
      </c>
      <c r="C199" t="s">
        <v>29</v>
      </c>
      <c r="D199" t="s">
        <v>37</v>
      </c>
      <c r="E199" t="s">
        <v>25</v>
      </c>
      <c r="F199">
        <v>13</v>
      </c>
      <c r="G199">
        <v>6</v>
      </c>
      <c r="H199" t="str">
        <f t="shared" si="24"/>
        <v>Win</v>
      </c>
      <c r="I199">
        <f t="shared" si="25"/>
        <v>1</v>
      </c>
      <c r="J199">
        <f t="shared" si="26"/>
        <v>7</v>
      </c>
      <c r="K199">
        <f t="shared" si="27"/>
        <v>19</v>
      </c>
      <c r="L199">
        <v>15</v>
      </c>
      <c r="M199">
        <v>9</v>
      </c>
      <c r="N199">
        <v>4</v>
      </c>
      <c r="O199" s="3">
        <f t="shared" si="28"/>
        <v>1.6666666666666667</v>
      </c>
      <c r="P199" s="3">
        <f t="shared" si="29"/>
        <v>0.78947368421052633</v>
      </c>
      <c r="Q199" s="3">
        <f t="shared" si="30"/>
        <v>0.47368421052631576</v>
      </c>
      <c r="R199" s="3">
        <f t="shared" si="31"/>
        <v>0.21052631578947367</v>
      </c>
      <c r="S199">
        <v>35</v>
      </c>
      <c r="T199" s="4">
        <v>0.2</v>
      </c>
      <c r="U199">
        <v>207</v>
      </c>
      <c r="V199">
        <v>685</v>
      </c>
    </row>
    <row r="200" spans="1:22">
      <c r="A200">
        <v>196</v>
      </c>
      <c r="B200" s="2">
        <v>46283</v>
      </c>
      <c r="C200" t="s">
        <v>40</v>
      </c>
      <c r="D200" t="s">
        <v>27</v>
      </c>
      <c r="E200" t="s">
        <v>25</v>
      </c>
      <c r="F200">
        <v>13</v>
      </c>
      <c r="G200">
        <v>8</v>
      </c>
      <c r="H200" t="str">
        <f t="shared" si="24"/>
        <v>Win</v>
      </c>
      <c r="I200">
        <f t="shared" si="25"/>
        <v>1</v>
      </c>
      <c r="J200">
        <f t="shared" si="26"/>
        <v>5</v>
      </c>
      <c r="K200">
        <f t="shared" si="27"/>
        <v>21</v>
      </c>
      <c r="L200">
        <v>13</v>
      </c>
      <c r="M200">
        <v>9</v>
      </c>
      <c r="N200">
        <v>2</v>
      </c>
      <c r="O200" s="3">
        <f t="shared" si="28"/>
        <v>1.4444444444444444</v>
      </c>
      <c r="P200" s="3">
        <f t="shared" si="29"/>
        <v>0.61904761904761907</v>
      </c>
      <c r="Q200" s="3">
        <f t="shared" si="30"/>
        <v>0.42857142857142855</v>
      </c>
      <c r="R200" s="3">
        <f t="shared" si="31"/>
        <v>9.5238095238095233E-2</v>
      </c>
      <c r="S200">
        <v>51</v>
      </c>
      <c r="T200" s="4">
        <v>0.1</v>
      </c>
      <c r="U200">
        <v>177</v>
      </c>
      <c r="V200">
        <v>677</v>
      </c>
    </row>
    <row r="201" spans="1:22">
      <c r="A201">
        <v>197</v>
      </c>
      <c r="B201" s="2">
        <v>46283</v>
      </c>
      <c r="C201" t="s">
        <v>41</v>
      </c>
      <c r="D201" t="s">
        <v>27</v>
      </c>
      <c r="E201" t="s">
        <v>28</v>
      </c>
      <c r="F201">
        <v>13</v>
      </c>
      <c r="G201">
        <v>6</v>
      </c>
      <c r="H201" t="str">
        <f t="shared" si="24"/>
        <v>Win</v>
      </c>
      <c r="I201">
        <f t="shared" si="25"/>
        <v>1</v>
      </c>
      <c r="J201">
        <f t="shared" si="26"/>
        <v>7</v>
      </c>
      <c r="K201">
        <f t="shared" si="27"/>
        <v>19</v>
      </c>
      <c r="L201">
        <v>16</v>
      </c>
      <c r="M201">
        <v>12</v>
      </c>
      <c r="N201">
        <v>5</v>
      </c>
      <c r="O201" s="3">
        <f t="shared" si="28"/>
        <v>1.3333333333333333</v>
      </c>
      <c r="P201" s="3">
        <f t="shared" si="29"/>
        <v>0.84210526315789469</v>
      </c>
      <c r="Q201" s="3">
        <f t="shared" si="30"/>
        <v>0.63157894736842102</v>
      </c>
      <c r="R201" s="3">
        <f t="shared" si="31"/>
        <v>0.26315789473684209</v>
      </c>
      <c r="S201">
        <v>41</v>
      </c>
      <c r="T201" s="4">
        <v>0.21</v>
      </c>
      <c r="U201">
        <v>243</v>
      </c>
      <c r="V201">
        <v>751</v>
      </c>
    </row>
    <row r="202" spans="1:22">
      <c r="A202">
        <v>198</v>
      </c>
      <c r="B202" s="2">
        <v>46283</v>
      </c>
      <c r="C202" t="s">
        <v>26</v>
      </c>
      <c r="D202" t="s">
        <v>46</v>
      </c>
      <c r="E202" t="s">
        <v>28</v>
      </c>
      <c r="F202">
        <v>13</v>
      </c>
      <c r="G202">
        <v>6</v>
      </c>
      <c r="H202" t="str">
        <f t="shared" si="24"/>
        <v>Win</v>
      </c>
      <c r="I202">
        <f t="shared" si="25"/>
        <v>1</v>
      </c>
      <c r="J202">
        <f t="shared" si="26"/>
        <v>7</v>
      </c>
      <c r="K202">
        <f t="shared" si="27"/>
        <v>19</v>
      </c>
      <c r="L202">
        <v>18</v>
      </c>
      <c r="M202">
        <v>15</v>
      </c>
      <c r="N202">
        <v>4</v>
      </c>
      <c r="O202" s="3">
        <f t="shared" si="28"/>
        <v>1.2</v>
      </c>
      <c r="P202" s="3">
        <f t="shared" si="29"/>
        <v>0.94736842105263153</v>
      </c>
      <c r="Q202" s="3">
        <f t="shared" si="30"/>
        <v>0.78947368421052633</v>
      </c>
      <c r="R202" s="3">
        <f t="shared" si="31"/>
        <v>0.21052631578947367</v>
      </c>
      <c r="S202">
        <v>50</v>
      </c>
      <c r="T202" s="4">
        <v>0.16</v>
      </c>
      <c r="U202">
        <v>280</v>
      </c>
      <c r="V202">
        <v>856</v>
      </c>
    </row>
    <row r="203" spans="1:22">
      <c r="A203">
        <v>199</v>
      </c>
      <c r="B203" s="2">
        <v>46282</v>
      </c>
      <c r="C203" t="s">
        <v>35</v>
      </c>
      <c r="D203" t="s">
        <v>42</v>
      </c>
      <c r="E203" t="s">
        <v>25</v>
      </c>
      <c r="F203">
        <v>9</v>
      </c>
      <c r="G203">
        <v>13</v>
      </c>
      <c r="H203" t="str">
        <f t="shared" si="24"/>
        <v>Loss</v>
      </c>
      <c r="I203">
        <f t="shared" si="25"/>
        <v>0</v>
      </c>
      <c r="J203">
        <f t="shared" si="26"/>
        <v>-4</v>
      </c>
      <c r="K203">
        <f t="shared" si="27"/>
        <v>22</v>
      </c>
      <c r="L203">
        <v>21</v>
      </c>
      <c r="M203">
        <v>18</v>
      </c>
      <c r="N203">
        <v>3</v>
      </c>
      <c r="O203" s="3">
        <f t="shared" si="28"/>
        <v>1.1666666666666667</v>
      </c>
      <c r="P203" s="3">
        <f t="shared" si="29"/>
        <v>0.95454545454545459</v>
      </c>
      <c r="Q203" s="3">
        <f t="shared" si="30"/>
        <v>0.81818181818181823</v>
      </c>
      <c r="R203" s="3">
        <f t="shared" si="31"/>
        <v>0.13636363636363635</v>
      </c>
      <c r="S203">
        <v>53</v>
      </c>
      <c r="T203" s="4">
        <v>0.1</v>
      </c>
      <c r="U203">
        <v>292</v>
      </c>
      <c r="V203">
        <v>643</v>
      </c>
    </row>
    <row r="204" spans="1:22">
      <c r="A204">
        <v>200</v>
      </c>
      <c r="B204" s="2">
        <v>46282</v>
      </c>
      <c r="C204" t="s">
        <v>34</v>
      </c>
      <c r="D204" t="s">
        <v>46</v>
      </c>
      <c r="E204" t="s">
        <v>25</v>
      </c>
      <c r="F204">
        <v>13</v>
      </c>
      <c r="G204">
        <v>9</v>
      </c>
      <c r="H204" t="str">
        <f t="shared" si="24"/>
        <v>Win</v>
      </c>
      <c r="I204">
        <f t="shared" si="25"/>
        <v>1</v>
      </c>
      <c r="J204">
        <f t="shared" si="26"/>
        <v>4</v>
      </c>
      <c r="K204">
        <f t="shared" si="27"/>
        <v>22</v>
      </c>
      <c r="L204">
        <v>20</v>
      </c>
      <c r="M204">
        <v>17</v>
      </c>
      <c r="N204">
        <v>7</v>
      </c>
      <c r="O204" s="3">
        <f t="shared" si="28"/>
        <v>1.1764705882352942</v>
      </c>
      <c r="P204" s="3">
        <f t="shared" si="29"/>
        <v>0.90909090909090906</v>
      </c>
      <c r="Q204" s="3">
        <f t="shared" si="30"/>
        <v>0.77272727272727271</v>
      </c>
      <c r="R204" s="3">
        <f t="shared" si="31"/>
        <v>0.31818181818181818</v>
      </c>
      <c r="S204">
        <v>43</v>
      </c>
      <c r="T204" s="4">
        <v>0.08</v>
      </c>
      <c r="U204">
        <v>273</v>
      </c>
      <c r="V204">
        <v>782</v>
      </c>
    </row>
    <row r="205" spans="1:22">
      <c r="A205">
        <v>201</v>
      </c>
      <c r="B205" s="2">
        <v>46282</v>
      </c>
      <c r="C205" t="s">
        <v>23</v>
      </c>
      <c r="D205" t="s">
        <v>37</v>
      </c>
      <c r="E205" t="s">
        <v>25</v>
      </c>
      <c r="F205">
        <v>15</v>
      </c>
      <c r="G205">
        <v>15</v>
      </c>
      <c r="H205" t="str">
        <f t="shared" si="24"/>
        <v>Draw</v>
      </c>
      <c r="I205">
        <f t="shared" si="25"/>
        <v>0</v>
      </c>
      <c r="J205">
        <f t="shared" si="26"/>
        <v>0</v>
      </c>
      <c r="K205">
        <f t="shared" si="27"/>
        <v>30</v>
      </c>
      <c r="L205">
        <v>22</v>
      </c>
      <c r="M205">
        <v>20</v>
      </c>
      <c r="N205">
        <v>12</v>
      </c>
      <c r="O205" s="3">
        <f t="shared" si="28"/>
        <v>1.1000000000000001</v>
      </c>
      <c r="P205" s="3">
        <f t="shared" si="29"/>
        <v>0.73333333333333328</v>
      </c>
      <c r="Q205" s="3">
        <f t="shared" si="30"/>
        <v>0.66666666666666663</v>
      </c>
      <c r="R205" s="3">
        <f t="shared" si="31"/>
        <v>0.4</v>
      </c>
      <c r="S205">
        <v>37</v>
      </c>
      <c r="T205" s="4">
        <v>0.17</v>
      </c>
      <c r="U205">
        <v>232</v>
      </c>
      <c r="V205">
        <v>732</v>
      </c>
    </row>
    <row r="206" spans="1:22">
      <c r="A206">
        <v>202</v>
      </c>
      <c r="B206" s="2">
        <v>46282</v>
      </c>
      <c r="C206" t="s">
        <v>35</v>
      </c>
      <c r="D206" t="s">
        <v>46</v>
      </c>
      <c r="E206" t="s">
        <v>38</v>
      </c>
      <c r="F206">
        <v>13</v>
      </c>
      <c r="G206">
        <v>4</v>
      </c>
      <c r="H206" t="str">
        <f t="shared" si="24"/>
        <v>Win</v>
      </c>
      <c r="I206">
        <f t="shared" si="25"/>
        <v>1</v>
      </c>
      <c r="J206">
        <f t="shared" si="26"/>
        <v>9</v>
      </c>
      <c r="K206">
        <f t="shared" si="27"/>
        <v>17</v>
      </c>
      <c r="L206">
        <v>21</v>
      </c>
      <c r="M206">
        <v>5</v>
      </c>
      <c r="N206">
        <v>8</v>
      </c>
      <c r="O206" s="3">
        <f t="shared" si="28"/>
        <v>4.2</v>
      </c>
      <c r="P206" s="3">
        <f t="shared" si="29"/>
        <v>1.2352941176470589</v>
      </c>
      <c r="Q206" s="3">
        <f t="shared" si="30"/>
        <v>0.29411764705882354</v>
      </c>
      <c r="R206" s="3">
        <f t="shared" si="31"/>
        <v>0.47058823529411764</v>
      </c>
      <c r="S206">
        <v>80</v>
      </c>
      <c r="T206" s="4">
        <v>0.22</v>
      </c>
      <c r="U206">
        <v>292</v>
      </c>
      <c r="V206">
        <v>964</v>
      </c>
    </row>
    <row r="207" spans="1:22">
      <c r="A207">
        <v>203</v>
      </c>
      <c r="B207" s="2">
        <v>46282</v>
      </c>
      <c r="C207" t="s">
        <v>34</v>
      </c>
      <c r="D207" t="s">
        <v>24</v>
      </c>
      <c r="E207" t="s">
        <v>25</v>
      </c>
      <c r="F207">
        <v>13</v>
      </c>
      <c r="G207">
        <v>3</v>
      </c>
      <c r="H207" t="str">
        <f t="shared" si="24"/>
        <v>Win</v>
      </c>
      <c r="I207">
        <f t="shared" si="25"/>
        <v>1</v>
      </c>
      <c r="J207">
        <f t="shared" si="26"/>
        <v>10</v>
      </c>
      <c r="K207">
        <f t="shared" si="27"/>
        <v>16</v>
      </c>
      <c r="L207">
        <v>8</v>
      </c>
      <c r="M207">
        <v>9</v>
      </c>
      <c r="N207">
        <v>5</v>
      </c>
      <c r="O207" s="3">
        <f t="shared" si="28"/>
        <v>0.88888888888888884</v>
      </c>
      <c r="P207" s="3">
        <f t="shared" si="29"/>
        <v>0.5</v>
      </c>
      <c r="Q207" s="3">
        <f t="shared" si="30"/>
        <v>0.5625</v>
      </c>
      <c r="R207" s="3">
        <f t="shared" si="31"/>
        <v>0.3125</v>
      </c>
      <c r="S207">
        <v>-6</v>
      </c>
      <c r="T207" s="4">
        <v>0.11</v>
      </c>
      <c r="U207">
        <v>136</v>
      </c>
      <c r="V207">
        <v>511</v>
      </c>
    </row>
    <row r="208" spans="1:22">
      <c r="A208">
        <v>204</v>
      </c>
      <c r="B208" s="2">
        <v>46282</v>
      </c>
      <c r="C208" t="s">
        <v>29</v>
      </c>
      <c r="D208" t="s">
        <v>36</v>
      </c>
      <c r="E208" t="s">
        <v>25</v>
      </c>
      <c r="F208">
        <v>2</v>
      </c>
      <c r="G208">
        <v>13</v>
      </c>
      <c r="H208" t="str">
        <f t="shared" si="24"/>
        <v>Loss</v>
      </c>
      <c r="I208">
        <f t="shared" si="25"/>
        <v>0</v>
      </c>
      <c r="J208">
        <f t="shared" si="26"/>
        <v>-11</v>
      </c>
      <c r="K208">
        <f t="shared" si="27"/>
        <v>15</v>
      </c>
      <c r="L208">
        <v>9</v>
      </c>
      <c r="M208">
        <v>13</v>
      </c>
      <c r="N208">
        <v>1</v>
      </c>
      <c r="O208" s="3">
        <f t="shared" si="28"/>
        <v>0.69230769230769229</v>
      </c>
      <c r="P208" s="3">
        <f t="shared" si="29"/>
        <v>0.6</v>
      </c>
      <c r="Q208" s="3">
        <f t="shared" si="30"/>
        <v>0.8666666666666667</v>
      </c>
      <c r="R208" s="3">
        <f t="shared" si="31"/>
        <v>6.6666666666666666E-2</v>
      </c>
      <c r="S208">
        <v>-14</v>
      </c>
      <c r="T208" s="4">
        <v>0.14000000000000001</v>
      </c>
      <c r="U208">
        <v>178</v>
      </c>
      <c r="V208">
        <v>287</v>
      </c>
    </row>
    <row r="209" spans="1:22">
      <c r="A209">
        <v>205</v>
      </c>
      <c r="B209" s="2">
        <v>46282</v>
      </c>
      <c r="C209" t="s">
        <v>23</v>
      </c>
      <c r="D209" t="s">
        <v>31</v>
      </c>
      <c r="E209" t="s">
        <v>25</v>
      </c>
      <c r="F209">
        <v>13</v>
      </c>
      <c r="G209">
        <v>11</v>
      </c>
      <c r="H209" t="str">
        <f t="shared" si="24"/>
        <v>Win</v>
      </c>
      <c r="I209">
        <f t="shared" si="25"/>
        <v>1</v>
      </c>
      <c r="J209">
        <f t="shared" si="26"/>
        <v>2</v>
      </c>
      <c r="K209">
        <f t="shared" si="27"/>
        <v>24</v>
      </c>
      <c r="L209">
        <v>11</v>
      </c>
      <c r="M209">
        <v>16</v>
      </c>
      <c r="N209">
        <v>2</v>
      </c>
      <c r="O209" s="3">
        <f t="shared" si="28"/>
        <v>0.6875</v>
      </c>
      <c r="P209" s="3">
        <f t="shared" si="29"/>
        <v>0.45833333333333331</v>
      </c>
      <c r="Q209" s="3">
        <f t="shared" si="30"/>
        <v>0.66666666666666663</v>
      </c>
      <c r="R209" s="3">
        <f t="shared" si="31"/>
        <v>8.3333333333333329E-2</v>
      </c>
      <c r="S209">
        <v>-4</v>
      </c>
      <c r="T209" s="4">
        <v>0.15</v>
      </c>
      <c r="U209">
        <v>142</v>
      </c>
      <c r="V209">
        <v>353</v>
      </c>
    </row>
    <row r="210" spans="1:22">
      <c r="A210">
        <v>206</v>
      </c>
      <c r="B210" s="2">
        <v>46282</v>
      </c>
      <c r="C210" t="s">
        <v>41</v>
      </c>
      <c r="D210" t="s">
        <v>36</v>
      </c>
      <c r="E210" t="s">
        <v>28</v>
      </c>
      <c r="F210">
        <v>8</v>
      </c>
      <c r="G210">
        <v>13</v>
      </c>
      <c r="H210" t="str">
        <f t="shared" si="24"/>
        <v>Loss</v>
      </c>
      <c r="I210">
        <f t="shared" si="25"/>
        <v>0</v>
      </c>
      <c r="J210">
        <f t="shared" si="26"/>
        <v>-5</v>
      </c>
      <c r="K210">
        <f t="shared" si="27"/>
        <v>21</v>
      </c>
      <c r="L210">
        <v>15</v>
      </c>
      <c r="M210">
        <v>18</v>
      </c>
      <c r="N210">
        <v>4</v>
      </c>
      <c r="O210" s="3">
        <f t="shared" si="28"/>
        <v>0.83333333333333337</v>
      </c>
      <c r="P210" s="3">
        <f t="shared" si="29"/>
        <v>0.7142857142857143</v>
      </c>
      <c r="Q210" s="3">
        <f t="shared" si="30"/>
        <v>0.8571428571428571</v>
      </c>
      <c r="R210" s="3">
        <f t="shared" si="31"/>
        <v>0.19047619047619047</v>
      </c>
      <c r="S210">
        <v>-27</v>
      </c>
      <c r="T210" s="4">
        <v>0.12</v>
      </c>
      <c r="U210">
        <v>200</v>
      </c>
      <c r="V210">
        <v>328</v>
      </c>
    </row>
    <row r="211" spans="1:22">
      <c r="A211">
        <v>207</v>
      </c>
      <c r="B211" s="2">
        <v>46282</v>
      </c>
      <c r="C211" t="s">
        <v>41</v>
      </c>
      <c r="D211" t="s">
        <v>32</v>
      </c>
      <c r="E211" t="s">
        <v>28</v>
      </c>
      <c r="F211">
        <v>9</v>
      </c>
      <c r="G211">
        <v>13</v>
      </c>
      <c r="H211" t="str">
        <f t="shared" si="24"/>
        <v>Loss</v>
      </c>
      <c r="I211">
        <f t="shared" si="25"/>
        <v>0</v>
      </c>
      <c r="J211">
        <f t="shared" si="26"/>
        <v>-4</v>
      </c>
      <c r="K211">
        <f t="shared" si="27"/>
        <v>22</v>
      </c>
      <c r="L211">
        <v>8</v>
      </c>
      <c r="M211">
        <v>18</v>
      </c>
      <c r="N211">
        <v>7</v>
      </c>
      <c r="O211" s="3">
        <f t="shared" si="28"/>
        <v>0.44444444444444442</v>
      </c>
      <c r="P211" s="3">
        <f t="shared" si="29"/>
        <v>0.36363636363636365</v>
      </c>
      <c r="Q211" s="3">
        <f t="shared" si="30"/>
        <v>0.81818181818181823</v>
      </c>
      <c r="R211" s="3">
        <f t="shared" si="31"/>
        <v>0.31818181818181818</v>
      </c>
      <c r="S211">
        <v>-60</v>
      </c>
      <c r="T211" s="4">
        <v>0.09</v>
      </c>
      <c r="U211">
        <v>133</v>
      </c>
      <c r="V211">
        <v>149</v>
      </c>
    </row>
    <row r="212" spans="1:22">
      <c r="A212">
        <v>208</v>
      </c>
      <c r="B212" s="2">
        <v>46281</v>
      </c>
      <c r="C212" t="s">
        <v>23</v>
      </c>
      <c r="D212" t="s">
        <v>37</v>
      </c>
      <c r="E212" t="s">
        <v>25</v>
      </c>
      <c r="F212">
        <v>12</v>
      </c>
      <c r="G212">
        <v>1</v>
      </c>
      <c r="H212" t="str">
        <f t="shared" si="24"/>
        <v>Win</v>
      </c>
      <c r="I212">
        <f t="shared" si="25"/>
        <v>1</v>
      </c>
      <c r="J212">
        <f t="shared" si="26"/>
        <v>11</v>
      </c>
      <c r="K212">
        <f t="shared" si="27"/>
        <v>13</v>
      </c>
      <c r="L212">
        <v>11</v>
      </c>
      <c r="M212">
        <v>6</v>
      </c>
      <c r="N212">
        <v>3</v>
      </c>
      <c r="O212" s="3">
        <f t="shared" si="28"/>
        <v>1.8333333333333333</v>
      </c>
      <c r="P212" s="3">
        <f t="shared" si="29"/>
        <v>0.84615384615384615</v>
      </c>
      <c r="Q212" s="3">
        <f t="shared" si="30"/>
        <v>0.46153846153846156</v>
      </c>
      <c r="R212" s="3">
        <f t="shared" si="31"/>
        <v>0.23076923076923078</v>
      </c>
      <c r="S212">
        <v>73</v>
      </c>
      <c r="T212" s="4">
        <v>0.06</v>
      </c>
      <c r="U212">
        <v>243</v>
      </c>
      <c r="V212">
        <v>905</v>
      </c>
    </row>
    <row r="213" spans="1:22">
      <c r="A213">
        <v>209</v>
      </c>
      <c r="B213" s="2">
        <v>46281</v>
      </c>
      <c r="C213" t="s">
        <v>26</v>
      </c>
      <c r="D213" t="s">
        <v>24</v>
      </c>
      <c r="E213" t="s">
        <v>25</v>
      </c>
      <c r="F213">
        <v>10</v>
      </c>
      <c r="G213">
        <v>13</v>
      </c>
      <c r="H213" t="str">
        <f t="shared" si="24"/>
        <v>Loss</v>
      </c>
      <c r="I213">
        <f t="shared" si="25"/>
        <v>0</v>
      </c>
      <c r="J213">
        <f t="shared" si="26"/>
        <v>-3</v>
      </c>
      <c r="K213">
        <f t="shared" si="27"/>
        <v>23</v>
      </c>
      <c r="L213">
        <v>15</v>
      </c>
      <c r="M213">
        <v>17</v>
      </c>
      <c r="N213">
        <v>5</v>
      </c>
      <c r="O213" s="3">
        <f t="shared" si="28"/>
        <v>0.88235294117647056</v>
      </c>
      <c r="P213" s="3">
        <f t="shared" si="29"/>
        <v>0.65217391304347827</v>
      </c>
      <c r="Q213" s="3">
        <f t="shared" si="30"/>
        <v>0.73913043478260865</v>
      </c>
      <c r="R213" s="3">
        <f t="shared" si="31"/>
        <v>0.21739130434782608</v>
      </c>
      <c r="S213">
        <v>3</v>
      </c>
      <c r="T213" s="4">
        <v>0.08</v>
      </c>
      <c r="U213">
        <v>200</v>
      </c>
      <c r="V213">
        <v>460</v>
      </c>
    </row>
    <row r="214" spans="1:22">
      <c r="A214">
        <v>210</v>
      </c>
      <c r="B214" s="2">
        <v>46280</v>
      </c>
      <c r="C214" t="s">
        <v>40</v>
      </c>
      <c r="D214" t="s">
        <v>36</v>
      </c>
      <c r="E214" t="s">
        <v>25</v>
      </c>
      <c r="F214">
        <v>13</v>
      </c>
      <c r="G214">
        <v>8</v>
      </c>
      <c r="H214" t="str">
        <f t="shared" si="24"/>
        <v>Win</v>
      </c>
      <c r="I214">
        <f t="shared" si="25"/>
        <v>1</v>
      </c>
      <c r="J214">
        <f t="shared" si="26"/>
        <v>5</v>
      </c>
      <c r="K214">
        <f t="shared" si="27"/>
        <v>21</v>
      </c>
      <c r="L214">
        <v>21</v>
      </c>
      <c r="M214">
        <v>14</v>
      </c>
      <c r="N214">
        <v>1</v>
      </c>
      <c r="O214" s="3">
        <f t="shared" si="28"/>
        <v>1.5</v>
      </c>
      <c r="P214" s="3">
        <f t="shared" si="29"/>
        <v>1</v>
      </c>
      <c r="Q214" s="3">
        <f t="shared" si="30"/>
        <v>0.66666666666666663</v>
      </c>
      <c r="R214" s="3">
        <f t="shared" si="31"/>
        <v>4.7619047619047616E-2</v>
      </c>
      <c r="S214">
        <v>15</v>
      </c>
      <c r="T214" s="4">
        <v>0.14000000000000001</v>
      </c>
      <c r="U214">
        <v>237</v>
      </c>
      <c r="V214">
        <v>632</v>
      </c>
    </row>
    <row r="215" spans="1:22">
      <c r="A215">
        <v>211</v>
      </c>
      <c r="B215" s="2">
        <v>46279</v>
      </c>
      <c r="C215" t="s">
        <v>35</v>
      </c>
      <c r="D215" t="s">
        <v>27</v>
      </c>
      <c r="E215" t="s">
        <v>48</v>
      </c>
      <c r="F215">
        <v>14</v>
      </c>
      <c r="G215">
        <v>12</v>
      </c>
      <c r="H215" t="str">
        <f t="shared" si="24"/>
        <v>Win</v>
      </c>
      <c r="I215">
        <f t="shared" si="25"/>
        <v>1</v>
      </c>
      <c r="J215">
        <f t="shared" si="26"/>
        <v>2</v>
      </c>
      <c r="K215">
        <f t="shared" si="27"/>
        <v>26</v>
      </c>
      <c r="L215">
        <v>20</v>
      </c>
      <c r="M215">
        <v>20</v>
      </c>
      <c r="N215">
        <v>5</v>
      </c>
      <c r="O215" s="3">
        <f t="shared" si="28"/>
        <v>1</v>
      </c>
      <c r="P215" s="3">
        <f t="shared" si="29"/>
        <v>0.76923076923076927</v>
      </c>
      <c r="Q215" s="3">
        <f t="shared" si="30"/>
        <v>0.76923076923076927</v>
      </c>
      <c r="R215" s="3">
        <f t="shared" si="31"/>
        <v>0.19230769230769232</v>
      </c>
      <c r="S215">
        <v>-4</v>
      </c>
      <c r="T215" s="4">
        <v>0.22</v>
      </c>
      <c r="U215">
        <v>199</v>
      </c>
      <c r="V215">
        <v>493</v>
      </c>
    </row>
    <row r="216" spans="1:22">
      <c r="A216">
        <v>212</v>
      </c>
      <c r="B216" s="2">
        <v>46279</v>
      </c>
      <c r="C216" t="s">
        <v>35</v>
      </c>
      <c r="D216" t="s">
        <v>36</v>
      </c>
      <c r="E216" t="s">
        <v>25</v>
      </c>
      <c r="F216">
        <v>12</v>
      </c>
      <c r="G216">
        <v>14</v>
      </c>
      <c r="H216" t="str">
        <f t="shared" si="24"/>
        <v>Loss</v>
      </c>
      <c r="I216">
        <f t="shared" si="25"/>
        <v>0</v>
      </c>
      <c r="J216">
        <f t="shared" si="26"/>
        <v>-2</v>
      </c>
      <c r="K216">
        <f t="shared" si="27"/>
        <v>26</v>
      </c>
      <c r="L216">
        <v>19</v>
      </c>
      <c r="M216">
        <v>19</v>
      </c>
      <c r="N216">
        <v>3</v>
      </c>
      <c r="O216" s="3">
        <f t="shared" si="28"/>
        <v>1</v>
      </c>
      <c r="P216" s="3">
        <f t="shared" si="29"/>
        <v>0.73076923076923073</v>
      </c>
      <c r="Q216" s="3">
        <f t="shared" si="30"/>
        <v>0.73076923076923073</v>
      </c>
      <c r="R216" s="3">
        <f t="shared" si="31"/>
        <v>0.11538461538461539</v>
      </c>
      <c r="S216">
        <v>3</v>
      </c>
      <c r="T216" s="4">
        <v>0.12</v>
      </c>
      <c r="U216">
        <v>206</v>
      </c>
      <c r="V216">
        <v>481</v>
      </c>
    </row>
    <row r="217" spans="1:22">
      <c r="A217">
        <v>213</v>
      </c>
      <c r="B217" s="2">
        <v>46279</v>
      </c>
      <c r="C217" t="s">
        <v>40</v>
      </c>
      <c r="D217" t="s">
        <v>27</v>
      </c>
      <c r="E217" t="s">
        <v>25</v>
      </c>
      <c r="F217">
        <v>13</v>
      </c>
      <c r="G217">
        <v>7</v>
      </c>
      <c r="H217" t="str">
        <f t="shared" si="24"/>
        <v>Win</v>
      </c>
      <c r="I217">
        <f t="shared" si="25"/>
        <v>1</v>
      </c>
      <c r="J217">
        <f t="shared" si="26"/>
        <v>6</v>
      </c>
      <c r="K217">
        <f t="shared" si="27"/>
        <v>20</v>
      </c>
      <c r="L217">
        <v>16</v>
      </c>
      <c r="M217">
        <v>14</v>
      </c>
      <c r="N217">
        <v>1</v>
      </c>
      <c r="O217" s="3">
        <f t="shared" si="28"/>
        <v>1.1428571428571428</v>
      </c>
      <c r="P217" s="3">
        <f t="shared" si="29"/>
        <v>0.8</v>
      </c>
      <c r="Q217" s="3">
        <f t="shared" si="30"/>
        <v>0.7</v>
      </c>
      <c r="R217" s="3">
        <f t="shared" si="31"/>
        <v>0.05</v>
      </c>
      <c r="S217">
        <v>26</v>
      </c>
      <c r="T217" s="4">
        <v>0.12</v>
      </c>
      <c r="U217">
        <v>208</v>
      </c>
      <c r="V217">
        <v>634</v>
      </c>
    </row>
    <row r="218" spans="1:22">
      <c r="A218">
        <v>214</v>
      </c>
      <c r="B218" s="2">
        <v>46279</v>
      </c>
      <c r="C218" t="s">
        <v>23</v>
      </c>
      <c r="D218" t="s">
        <v>37</v>
      </c>
      <c r="E218" t="s">
        <v>25</v>
      </c>
      <c r="F218">
        <v>9</v>
      </c>
      <c r="G218">
        <v>13</v>
      </c>
      <c r="H218" t="str">
        <f t="shared" si="24"/>
        <v>Loss</v>
      </c>
      <c r="I218">
        <f t="shared" si="25"/>
        <v>0</v>
      </c>
      <c r="J218">
        <f t="shared" si="26"/>
        <v>-4</v>
      </c>
      <c r="K218">
        <f t="shared" si="27"/>
        <v>22</v>
      </c>
      <c r="L218">
        <v>19</v>
      </c>
      <c r="M218">
        <v>17</v>
      </c>
      <c r="N218">
        <v>6</v>
      </c>
      <c r="O218" s="3">
        <f t="shared" si="28"/>
        <v>1.1176470588235294</v>
      </c>
      <c r="P218" s="3">
        <f t="shared" si="29"/>
        <v>0.86363636363636365</v>
      </c>
      <c r="Q218" s="3">
        <f t="shared" si="30"/>
        <v>0.77272727272727271</v>
      </c>
      <c r="R218" s="3">
        <f t="shared" si="31"/>
        <v>0.27272727272727271</v>
      </c>
      <c r="S218">
        <v>67</v>
      </c>
      <c r="T218" s="4">
        <v>0.15</v>
      </c>
      <c r="U218">
        <v>262</v>
      </c>
      <c r="V218">
        <v>750</v>
      </c>
    </row>
    <row r="219" spans="1:22">
      <c r="A219">
        <v>215</v>
      </c>
      <c r="B219" s="2">
        <v>46279</v>
      </c>
      <c r="C219" t="s">
        <v>41</v>
      </c>
      <c r="D219" t="s">
        <v>32</v>
      </c>
      <c r="E219" t="s">
        <v>28</v>
      </c>
      <c r="F219">
        <v>13</v>
      </c>
      <c r="G219">
        <v>6</v>
      </c>
      <c r="H219" t="str">
        <f t="shared" si="24"/>
        <v>Win</v>
      </c>
      <c r="I219">
        <f t="shared" si="25"/>
        <v>1</v>
      </c>
      <c r="J219">
        <f t="shared" si="26"/>
        <v>7</v>
      </c>
      <c r="K219">
        <f t="shared" si="27"/>
        <v>19</v>
      </c>
      <c r="L219">
        <v>9</v>
      </c>
      <c r="M219">
        <v>11</v>
      </c>
      <c r="N219">
        <v>4</v>
      </c>
      <c r="O219" s="3">
        <f t="shared" si="28"/>
        <v>0.81818181818181823</v>
      </c>
      <c r="P219" s="3">
        <f t="shared" si="29"/>
        <v>0.47368421052631576</v>
      </c>
      <c r="Q219" s="3">
        <f t="shared" si="30"/>
        <v>0.57894736842105265</v>
      </c>
      <c r="R219" s="3">
        <f t="shared" si="31"/>
        <v>0.21052631578947367</v>
      </c>
      <c r="S219">
        <v>-49</v>
      </c>
      <c r="T219" s="4">
        <v>0.05</v>
      </c>
      <c r="U219">
        <v>122</v>
      </c>
      <c r="V219">
        <v>456</v>
      </c>
    </row>
    <row r="220" spans="1:22">
      <c r="A220">
        <v>216</v>
      </c>
      <c r="B220" s="2">
        <v>46279</v>
      </c>
      <c r="C220" t="s">
        <v>26</v>
      </c>
      <c r="D220" t="s">
        <v>32</v>
      </c>
      <c r="E220" t="s">
        <v>25</v>
      </c>
      <c r="F220">
        <v>3</v>
      </c>
      <c r="G220">
        <v>13</v>
      </c>
      <c r="H220" t="str">
        <f t="shared" si="24"/>
        <v>Loss</v>
      </c>
      <c r="I220">
        <f t="shared" si="25"/>
        <v>0</v>
      </c>
      <c r="J220">
        <f t="shared" si="26"/>
        <v>-10</v>
      </c>
      <c r="K220">
        <f t="shared" si="27"/>
        <v>16</v>
      </c>
      <c r="L220">
        <v>7</v>
      </c>
      <c r="M220">
        <v>14</v>
      </c>
      <c r="N220">
        <v>0</v>
      </c>
      <c r="O220" s="3">
        <f t="shared" si="28"/>
        <v>0.5</v>
      </c>
      <c r="P220" s="3">
        <f t="shared" si="29"/>
        <v>0.4375</v>
      </c>
      <c r="Q220" s="3">
        <f t="shared" si="30"/>
        <v>0.875</v>
      </c>
      <c r="R220" s="3">
        <f t="shared" si="31"/>
        <v>0</v>
      </c>
      <c r="S220">
        <v>-67</v>
      </c>
      <c r="T220" s="4">
        <v>0.25</v>
      </c>
      <c r="U220">
        <v>115</v>
      </c>
      <c r="V220">
        <v>100</v>
      </c>
    </row>
    <row r="221" spans="1:22">
      <c r="A221">
        <v>217</v>
      </c>
      <c r="B221" s="2">
        <v>46279</v>
      </c>
      <c r="C221" t="s">
        <v>40</v>
      </c>
      <c r="D221" t="s">
        <v>32</v>
      </c>
      <c r="E221" t="s">
        <v>47</v>
      </c>
      <c r="F221">
        <v>13</v>
      </c>
      <c r="G221">
        <v>10</v>
      </c>
      <c r="H221" t="str">
        <f t="shared" si="24"/>
        <v>Win</v>
      </c>
      <c r="I221">
        <f t="shared" si="25"/>
        <v>1</v>
      </c>
      <c r="J221">
        <f t="shared" si="26"/>
        <v>3</v>
      </c>
      <c r="K221">
        <f t="shared" si="27"/>
        <v>23</v>
      </c>
      <c r="L221">
        <v>8</v>
      </c>
      <c r="M221">
        <v>21</v>
      </c>
      <c r="N221">
        <v>9</v>
      </c>
      <c r="O221" s="3">
        <f t="shared" si="28"/>
        <v>0.38095238095238093</v>
      </c>
      <c r="P221" s="3">
        <f t="shared" si="29"/>
        <v>0.34782608695652173</v>
      </c>
      <c r="Q221" s="3">
        <f t="shared" si="30"/>
        <v>0.91304347826086951</v>
      </c>
      <c r="R221" s="3">
        <f t="shared" si="31"/>
        <v>0.39130434782608697</v>
      </c>
      <c r="S221">
        <v>-50</v>
      </c>
      <c r="T221" s="4">
        <v>0.1</v>
      </c>
      <c r="U221">
        <v>145</v>
      </c>
      <c r="V221">
        <v>382</v>
      </c>
    </row>
    <row r="222" spans="1:22">
      <c r="A222">
        <v>218</v>
      </c>
      <c r="B222" s="2">
        <v>46279</v>
      </c>
      <c r="C222" t="s">
        <v>41</v>
      </c>
      <c r="D222" t="s">
        <v>42</v>
      </c>
      <c r="E222" t="s">
        <v>28</v>
      </c>
      <c r="F222">
        <v>13</v>
      </c>
      <c r="G222">
        <v>6</v>
      </c>
      <c r="H222" t="str">
        <f t="shared" si="24"/>
        <v>Win</v>
      </c>
      <c r="I222">
        <f t="shared" si="25"/>
        <v>1</v>
      </c>
      <c r="J222">
        <f t="shared" si="26"/>
        <v>7</v>
      </c>
      <c r="K222">
        <f t="shared" si="27"/>
        <v>19</v>
      </c>
      <c r="L222">
        <v>15</v>
      </c>
      <c r="M222">
        <v>13</v>
      </c>
      <c r="N222">
        <v>8</v>
      </c>
      <c r="O222" s="3">
        <f t="shared" si="28"/>
        <v>1.1538461538461537</v>
      </c>
      <c r="P222" s="3">
        <f t="shared" si="29"/>
        <v>0.78947368421052633</v>
      </c>
      <c r="Q222" s="3">
        <f t="shared" si="30"/>
        <v>0.68421052631578949</v>
      </c>
      <c r="R222" s="3">
        <f t="shared" si="31"/>
        <v>0.42105263157894735</v>
      </c>
      <c r="S222">
        <v>50</v>
      </c>
      <c r="T222" s="4">
        <v>7.0000000000000007E-2</v>
      </c>
      <c r="U222">
        <v>255</v>
      </c>
      <c r="V222">
        <v>687</v>
      </c>
    </row>
    <row r="223" spans="1:22">
      <c r="A223">
        <v>219</v>
      </c>
      <c r="B223" s="2">
        <v>46279</v>
      </c>
      <c r="C223" t="s">
        <v>29</v>
      </c>
      <c r="D223" t="s">
        <v>46</v>
      </c>
      <c r="E223" t="s">
        <v>25</v>
      </c>
      <c r="F223">
        <v>5</v>
      </c>
      <c r="G223">
        <v>13</v>
      </c>
      <c r="H223" t="str">
        <f t="shared" si="24"/>
        <v>Loss</v>
      </c>
      <c r="I223">
        <f t="shared" si="25"/>
        <v>0</v>
      </c>
      <c r="J223">
        <f t="shared" si="26"/>
        <v>-8</v>
      </c>
      <c r="K223">
        <f t="shared" si="27"/>
        <v>18</v>
      </c>
      <c r="L223">
        <v>19</v>
      </c>
      <c r="M223">
        <v>15</v>
      </c>
      <c r="N223">
        <v>6</v>
      </c>
      <c r="O223" s="3">
        <f t="shared" si="28"/>
        <v>1.2666666666666666</v>
      </c>
      <c r="P223" s="3">
        <f t="shared" si="29"/>
        <v>1.0555555555555556</v>
      </c>
      <c r="Q223" s="3">
        <f t="shared" si="30"/>
        <v>0.83333333333333337</v>
      </c>
      <c r="R223" s="3">
        <f t="shared" si="31"/>
        <v>0.33333333333333331</v>
      </c>
      <c r="S223">
        <v>68</v>
      </c>
      <c r="T223" s="4">
        <v>0.13</v>
      </c>
      <c r="U223">
        <v>316</v>
      </c>
      <c r="V223">
        <v>709</v>
      </c>
    </row>
    <row r="224" spans="1:22">
      <c r="A224">
        <v>220</v>
      </c>
      <c r="B224" s="2">
        <v>46278</v>
      </c>
      <c r="C224" t="s">
        <v>35</v>
      </c>
      <c r="D224" t="s">
        <v>31</v>
      </c>
      <c r="E224" t="s">
        <v>25</v>
      </c>
      <c r="F224">
        <v>9</v>
      </c>
      <c r="G224">
        <v>13</v>
      </c>
      <c r="H224" t="str">
        <f t="shared" si="24"/>
        <v>Loss</v>
      </c>
      <c r="I224">
        <f t="shared" si="25"/>
        <v>0</v>
      </c>
      <c r="J224">
        <f t="shared" si="26"/>
        <v>-4</v>
      </c>
      <c r="K224">
        <f t="shared" si="27"/>
        <v>22</v>
      </c>
      <c r="L224">
        <v>8</v>
      </c>
      <c r="M224">
        <v>18</v>
      </c>
      <c r="N224">
        <v>1</v>
      </c>
      <c r="O224" s="3">
        <f t="shared" si="28"/>
        <v>0.44444444444444442</v>
      </c>
      <c r="P224" s="3">
        <f t="shared" si="29"/>
        <v>0.36363636363636365</v>
      </c>
      <c r="Q224" s="3">
        <f t="shared" si="30"/>
        <v>0.81818181818181823</v>
      </c>
      <c r="R224" s="3">
        <f t="shared" si="31"/>
        <v>4.5454545454545456E-2</v>
      </c>
      <c r="S224">
        <v>-69</v>
      </c>
      <c r="T224" s="4">
        <v>0.13</v>
      </c>
      <c r="U224">
        <v>106</v>
      </c>
      <c r="V224">
        <v>123</v>
      </c>
    </row>
    <row r="225" spans="1:22">
      <c r="A225">
        <v>221</v>
      </c>
      <c r="B225" s="2">
        <v>46278</v>
      </c>
      <c r="C225" t="s">
        <v>29</v>
      </c>
      <c r="D225" t="s">
        <v>37</v>
      </c>
      <c r="E225" t="s">
        <v>25</v>
      </c>
      <c r="F225">
        <v>3</v>
      </c>
      <c r="G225">
        <v>13</v>
      </c>
      <c r="H225" t="str">
        <f t="shared" si="24"/>
        <v>Loss</v>
      </c>
      <c r="I225">
        <f t="shared" si="25"/>
        <v>0</v>
      </c>
      <c r="J225">
        <f t="shared" si="26"/>
        <v>-10</v>
      </c>
      <c r="K225">
        <f t="shared" si="27"/>
        <v>16</v>
      </c>
      <c r="L225">
        <v>13</v>
      </c>
      <c r="M225">
        <v>14</v>
      </c>
      <c r="N225">
        <v>2</v>
      </c>
      <c r="O225" s="3">
        <f t="shared" si="28"/>
        <v>0.9285714285714286</v>
      </c>
      <c r="P225" s="3">
        <f t="shared" si="29"/>
        <v>0.8125</v>
      </c>
      <c r="Q225" s="3">
        <f t="shared" si="30"/>
        <v>0.875</v>
      </c>
      <c r="R225" s="3">
        <f t="shared" si="31"/>
        <v>0.125</v>
      </c>
      <c r="S225">
        <v>13</v>
      </c>
      <c r="T225" s="4">
        <v>0.16</v>
      </c>
      <c r="U225">
        <v>251</v>
      </c>
      <c r="V225">
        <v>534</v>
      </c>
    </row>
    <row r="226" spans="1:22">
      <c r="A226">
        <v>222</v>
      </c>
      <c r="B226" s="2">
        <v>46278</v>
      </c>
      <c r="C226" t="s">
        <v>34</v>
      </c>
      <c r="D226" t="s">
        <v>32</v>
      </c>
      <c r="E226" t="s">
        <v>25</v>
      </c>
      <c r="F226">
        <v>13</v>
      </c>
      <c r="G226">
        <v>4</v>
      </c>
      <c r="H226" t="str">
        <f t="shared" si="24"/>
        <v>Win</v>
      </c>
      <c r="I226">
        <f t="shared" si="25"/>
        <v>1</v>
      </c>
      <c r="J226">
        <f t="shared" si="26"/>
        <v>9</v>
      </c>
      <c r="K226">
        <f t="shared" si="27"/>
        <v>17</v>
      </c>
      <c r="L226">
        <v>9</v>
      </c>
      <c r="M226">
        <v>9</v>
      </c>
      <c r="N226">
        <v>3</v>
      </c>
      <c r="O226" s="3">
        <f t="shared" si="28"/>
        <v>1</v>
      </c>
      <c r="P226" s="3">
        <f t="shared" si="29"/>
        <v>0.52941176470588236</v>
      </c>
      <c r="Q226" s="3">
        <f t="shared" si="30"/>
        <v>0.52941176470588236</v>
      </c>
      <c r="R226" s="3">
        <f t="shared" si="31"/>
        <v>0.17647058823529413</v>
      </c>
      <c r="S226">
        <v>11</v>
      </c>
      <c r="T226" s="4">
        <v>0.17</v>
      </c>
      <c r="U226">
        <v>137</v>
      </c>
      <c r="V226">
        <v>608</v>
      </c>
    </row>
    <row r="227" spans="1:22">
      <c r="A227">
        <v>223</v>
      </c>
      <c r="B227" s="2">
        <v>46278</v>
      </c>
      <c r="C227" t="s">
        <v>35</v>
      </c>
      <c r="D227" t="s">
        <v>42</v>
      </c>
      <c r="E227" t="s">
        <v>25</v>
      </c>
      <c r="F227">
        <v>13</v>
      </c>
      <c r="G227">
        <v>9</v>
      </c>
      <c r="H227" t="str">
        <f t="shared" si="24"/>
        <v>Win</v>
      </c>
      <c r="I227">
        <f t="shared" si="25"/>
        <v>1</v>
      </c>
      <c r="J227">
        <f t="shared" si="26"/>
        <v>4</v>
      </c>
      <c r="K227">
        <f t="shared" si="27"/>
        <v>22</v>
      </c>
      <c r="L227">
        <v>19</v>
      </c>
      <c r="M227">
        <v>14</v>
      </c>
      <c r="N227">
        <v>7</v>
      </c>
      <c r="O227" s="3">
        <f t="shared" si="28"/>
        <v>1.3571428571428572</v>
      </c>
      <c r="P227" s="3">
        <f t="shared" si="29"/>
        <v>0.86363636363636365</v>
      </c>
      <c r="Q227" s="3">
        <f t="shared" si="30"/>
        <v>0.63636363636363635</v>
      </c>
      <c r="R227" s="3">
        <f t="shared" si="31"/>
        <v>0.31818181818181818</v>
      </c>
      <c r="S227">
        <v>49</v>
      </c>
      <c r="T227" s="4">
        <v>0.13</v>
      </c>
      <c r="U227">
        <v>267</v>
      </c>
      <c r="V227">
        <v>825</v>
      </c>
    </row>
    <row r="228" spans="1:22">
      <c r="A228">
        <v>224</v>
      </c>
      <c r="B228" s="2">
        <v>46278</v>
      </c>
      <c r="C228" t="s">
        <v>40</v>
      </c>
      <c r="D228" t="s">
        <v>42</v>
      </c>
      <c r="E228" t="s">
        <v>25</v>
      </c>
      <c r="F228">
        <v>13</v>
      </c>
      <c r="G228">
        <v>7</v>
      </c>
      <c r="H228" t="str">
        <f t="shared" si="24"/>
        <v>Win</v>
      </c>
      <c r="I228">
        <f t="shared" si="25"/>
        <v>1</v>
      </c>
      <c r="J228">
        <f t="shared" si="26"/>
        <v>6</v>
      </c>
      <c r="K228">
        <f t="shared" si="27"/>
        <v>20</v>
      </c>
      <c r="L228">
        <v>20</v>
      </c>
      <c r="M228">
        <v>15</v>
      </c>
      <c r="N228">
        <v>5</v>
      </c>
      <c r="O228" s="3">
        <f t="shared" si="28"/>
        <v>1.3333333333333333</v>
      </c>
      <c r="P228" s="3">
        <f t="shared" si="29"/>
        <v>1</v>
      </c>
      <c r="Q228" s="3">
        <f t="shared" si="30"/>
        <v>0.75</v>
      </c>
      <c r="R228" s="3">
        <f t="shared" si="31"/>
        <v>0.25</v>
      </c>
      <c r="S228">
        <v>51</v>
      </c>
      <c r="T228" s="4">
        <v>0.18</v>
      </c>
      <c r="U228">
        <v>281</v>
      </c>
      <c r="V228">
        <v>871</v>
      </c>
    </row>
    <row r="229" spans="1:22">
      <c r="A229">
        <v>225</v>
      </c>
      <c r="B229" s="2">
        <v>46278</v>
      </c>
      <c r="C229" t="s">
        <v>41</v>
      </c>
      <c r="D229" t="s">
        <v>46</v>
      </c>
      <c r="E229" t="s">
        <v>28</v>
      </c>
      <c r="F229">
        <v>13</v>
      </c>
      <c r="G229">
        <v>8</v>
      </c>
      <c r="H229" t="str">
        <f t="shared" si="24"/>
        <v>Win</v>
      </c>
      <c r="I229">
        <f t="shared" si="25"/>
        <v>1</v>
      </c>
      <c r="J229">
        <f t="shared" si="26"/>
        <v>5</v>
      </c>
      <c r="K229">
        <f t="shared" si="27"/>
        <v>21</v>
      </c>
      <c r="L229">
        <v>22</v>
      </c>
      <c r="M229">
        <v>14</v>
      </c>
      <c r="N229">
        <v>12</v>
      </c>
      <c r="O229" s="3">
        <f t="shared" si="28"/>
        <v>1.5714285714285714</v>
      </c>
      <c r="P229" s="3">
        <f t="shared" si="29"/>
        <v>1.0476190476190477</v>
      </c>
      <c r="Q229" s="3">
        <f t="shared" si="30"/>
        <v>0.66666666666666663</v>
      </c>
      <c r="R229" s="3">
        <f t="shared" si="31"/>
        <v>0.5714285714285714</v>
      </c>
      <c r="S229">
        <v>74</v>
      </c>
      <c r="T229" s="4">
        <v>0.16</v>
      </c>
      <c r="U229">
        <v>304</v>
      </c>
      <c r="V229">
        <v>970</v>
      </c>
    </row>
    <row r="230" spans="1:22">
      <c r="A230">
        <v>226</v>
      </c>
      <c r="B230" s="2">
        <v>46278</v>
      </c>
      <c r="C230" t="s">
        <v>29</v>
      </c>
      <c r="D230" t="s">
        <v>46</v>
      </c>
      <c r="E230" t="s">
        <v>25</v>
      </c>
      <c r="F230">
        <v>11</v>
      </c>
      <c r="G230">
        <v>1</v>
      </c>
      <c r="H230" t="str">
        <f t="shared" si="24"/>
        <v>Win</v>
      </c>
      <c r="I230">
        <f t="shared" si="25"/>
        <v>1</v>
      </c>
      <c r="J230">
        <f t="shared" si="26"/>
        <v>10</v>
      </c>
      <c r="K230">
        <f t="shared" si="27"/>
        <v>12</v>
      </c>
      <c r="L230">
        <v>15</v>
      </c>
      <c r="M230">
        <v>5</v>
      </c>
      <c r="N230">
        <v>7</v>
      </c>
      <c r="O230" s="3">
        <f t="shared" si="28"/>
        <v>3</v>
      </c>
      <c r="P230" s="3">
        <f t="shared" si="29"/>
        <v>1.25</v>
      </c>
      <c r="Q230" s="3">
        <f t="shared" si="30"/>
        <v>0.41666666666666669</v>
      </c>
      <c r="R230" s="3">
        <f t="shared" si="31"/>
        <v>0.58333333333333337</v>
      </c>
      <c r="S230">
        <v>136</v>
      </c>
      <c r="T230" s="4">
        <v>0.11</v>
      </c>
      <c r="U230">
        <v>367</v>
      </c>
      <c r="V230">
        <v>1000</v>
      </c>
    </row>
    <row r="231" spans="1:22">
      <c r="A231">
        <v>227</v>
      </c>
      <c r="B231" s="2">
        <v>46277</v>
      </c>
      <c r="C231" t="s">
        <v>34</v>
      </c>
      <c r="D231" t="s">
        <v>46</v>
      </c>
      <c r="E231" t="s">
        <v>25</v>
      </c>
      <c r="F231">
        <v>10</v>
      </c>
      <c r="G231">
        <v>13</v>
      </c>
      <c r="H231" t="str">
        <f t="shared" si="24"/>
        <v>Loss</v>
      </c>
      <c r="I231">
        <f t="shared" si="25"/>
        <v>0</v>
      </c>
      <c r="J231">
        <f t="shared" si="26"/>
        <v>-3</v>
      </c>
      <c r="K231">
        <f t="shared" si="27"/>
        <v>23</v>
      </c>
      <c r="L231">
        <v>26</v>
      </c>
      <c r="M231">
        <v>17</v>
      </c>
      <c r="N231">
        <v>3</v>
      </c>
      <c r="O231" s="3">
        <f t="shared" si="28"/>
        <v>1.5294117647058822</v>
      </c>
      <c r="P231" s="3">
        <f t="shared" si="29"/>
        <v>1.1304347826086956</v>
      </c>
      <c r="Q231" s="3">
        <f t="shared" si="30"/>
        <v>0.73913043478260865</v>
      </c>
      <c r="R231" s="3">
        <f t="shared" si="31"/>
        <v>0.13043478260869565</v>
      </c>
      <c r="S231">
        <v>51</v>
      </c>
      <c r="T231" s="4">
        <v>0.17</v>
      </c>
      <c r="U231">
        <v>326</v>
      </c>
      <c r="V231">
        <v>654</v>
      </c>
    </row>
    <row r="232" spans="1:22">
      <c r="A232">
        <v>228</v>
      </c>
      <c r="B232" s="2">
        <v>46277</v>
      </c>
      <c r="C232" t="s">
        <v>26</v>
      </c>
      <c r="D232" t="s">
        <v>42</v>
      </c>
      <c r="E232" t="s">
        <v>49</v>
      </c>
      <c r="F232">
        <v>10</v>
      </c>
      <c r="G232">
        <v>13</v>
      </c>
      <c r="H232" t="str">
        <f t="shared" si="24"/>
        <v>Loss</v>
      </c>
      <c r="I232">
        <f t="shared" si="25"/>
        <v>0</v>
      </c>
      <c r="J232">
        <f t="shared" si="26"/>
        <v>-3</v>
      </c>
      <c r="K232">
        <f t="shared" si="27"/>
        <v>23</v>
      </c>
      <c r="L232">
        <v>20</v>
      </c>
      <c r="M232">
        <v>17</v>
      </c>
      <c r="N232">
        <v>7</v>
      </c>
      <c r="O232" s="3">
        <f t="shared" si="28"/>
        <v>1.1764705882352942</v>
      </c>
      <c r="P232" s="3">
        <f t="shared" si="29"/>
        <v>0.86956521739130432</v>
      </c>
      <c r="Q232" s="3">
        <f t="shared" si="30"/>
        <v>0.73913043478260865</v>
      </c>
      <c r="R232" s="3">
        <f t="shared" si="31"/>
        <v>0.30434782608695654</v>
      </c>
      <c r="S232">
        <v>30</v>
      </c>
      <c r="T232" s="4">
        <v>0.13</v>
      </c>
      <c r="U232">
        <v>257</v>
      </c>
      <c r="V232">
        <v>572</v>
      </c>
    </row>
    <row r="233" spans="1:22">
      <c r="A233">
        <v>229</v>
      </c>
      <c r="B233" s="2">
        <v>46277</v>
      </c>
      <c r="C233" t="s">
        <v>26</v>
      </c>
      <c r="D233" t="s">
        <v>32</v>
      </c>
      <c r="E233" t="s">
        <v>49</v>
      </c>
      <c r="F233">
        <v>13</v>
      </c>
      <c r="G233">
        <v>9</v>
      </c>
      <c r="H233" t="str">
        <f t="shared" si="24"/>
        <v>Win</v>
      </c>
      <c r="I233">
        <f t="shared" si="25"/>
        <v>1</v>
      </c>
      <c r="J233">
        <f t="shared" si="26"/>
        <v>4</v>
      </c>
      <c r="K233">
        <f t="shared" si="27"/>
        <v>22</v>
      </c>
      <c r="L233">
        <v>10</v>
      </c>
      <c r="M233">
        <v>14</v>
      </c>
      <c r="N233">
        <v>8</v>
      </c>
      <c r="O233" s="3">
        <f t="shared" si="28"/>
        <v>0.7142857142857143</v>
      </c>
      <c r="P233" s="3">
        <f t="shared" si="29"/>
        <v>0.45454545454545453</v>
      </c>
      <c r="Q233" s="3">
        <f t="shared" si="30"/>
        <v>0.63636363636363635</v>
      </c>
      <c r="R233" s="3">
        <f t="shared" si="31"/>
        <v>0.36363636363636365</v>
      </c>
      <c r="S233">
        <v>-20</v>
      </c>
      <c r="T233" s="4">
        <v>0.08</v>
      </c>
      <c r="U233">
        <v>150</v>
      </c>
      <c r="V233">
        <v>483</v>
      </c>
    </row>
    <row r="234" spans="1:22">
      <c r="A234">
        <v>230</v>
      </c>
      <c r="B234" s="2">
        <v>46277</v>
      </c>
      <c r="C234" t="s">
        <v>40</v>
      </c>
      <c r="D234" t="s">
        <v>32</v>
      </c>
      <c r="E234" t="s">
        <v>51</v>
      </c>
      <c r="F234">
        <v>5</v>
      </c>
      <c r="G234">
        <v>13</v>
      </c>
      <c r="H234" t="str">
        <f t="shared" si="24"/>
        <v>Loss</v>
      </c>
      <c r="I234">
        <f t="shared" si="25"/>
        <v>0</v>
      </c>
      <c r="J234">
        <f t="shared" si="26"/>
        <v>-8</v>
      </c>
      <c r="K234">
        <f t="shared" si="27"/>
        <v>18</v>
      </c>
      <c r="L234">
        <v>7</v>
      </c>
      <c r="M234">
        <v>11</v>
      </c>
      <c r="N234">
        <v>1</v>
      </c>
      <c r="O234" s="3">
        <f t="shared" si="28"/>
        <v>0.63636363636363635</v>
      </c>
      <c r="P234" s="3">
        <f t="shared" si="29"/>
        <v>0.3888888888888889</v>
      </c>
      <c r="Q234" s="3">
        <f t="shared" si="30"/>
        <v>0.61111111111111116</v>
      </c>
      <c r="R234" s="3">
        <f t="shared" si="31"/>
        <v>5.5555555555555552E-2</v>
      </c>
      <c r="S234">
        <v>-29</v>
      </c>
      <c r="T234" s="4">
        <v>0.08</v>
      </c>
      <c r="U234">
        <v>106</v>
      </c>
      <c r="V234">
        <v>133</v>
      </c>
    </row>
    <row r="235" spans="1:22">
      <c r="A235">
        <v>231</v>
      </c>
      <c r="B235" s="2">
        <v>46277</v>
      </c>
      <c r="C235" t="s">
        <v>29</v>
      </c>
      <c r="D235" t="s">
        <v>30</v>
      </c>
      <c r="E235" t="s">
        <v>25</v>
      </c>
      <c r="F235">
        <v>13</v>
      </c>
      <c r="G235">
        <v>5</v>
      </c>
      <c r="H235" t="str">
        <f t="shared" si="24"/>
        <v>Win</v>
      </c>
      <c r="I235">
        <f t="shared" si="25"/>
        <v>1</v>
      </c>
      <c r="J235">
        <f t="shared" si="26"/>
        <v>8</v>
      </c>
      <c r="K235">
        <f t="shared" si="27"/>
        <v>18</v>
      </c>
      <c r="L235">
        <v>9</v>
      </c>
      <c r="M235">
        <v>11</v>
      </c>
      <c r="N235">
        <v>5</v>
      </c>
      <c r="O235" s="3">
        <f t="shared" si="28"/>
        <v>0.81818181818181823</v>
      </c>
      <c r="P235" s="3">
        <f t="shared" si="29"/>
        <v>0.5</v>
      </c>
      <c r="Q235" s="3">
        <f t="shared" si="30"/>
        <v>0.61111111111111116</v>
      </c>
      <c r="R235" s="3">
        <f t="shared" si="31"/>
        <v>0.27777777777777779</v>
      </c>
      <c r="S235">
        <v>0</v>
      </c>
      <c r="T235" s="4">
        <v>0.13</v>
      </c>
      <c r="U235">
        <v>145</v>
      </c>
      <c r="V235">
        <v>412</v>
      </c>
    </row>
    <row r="236" spans="1:22">
      <c r="A236">
        <v>232</v>
      </c>
      <c r="B236" s="2">
        <v>46277</v>
      </c>
      <c r="C236" t="s">
        <v>40</v>
      </c>
      <c r="D236" t="s">
        <v>36</v>
      </c>
      <c r="E236" t="s">
        <v>25</v>
      </c>
      <c r="F236">
        <v>13</v>
      </c>
      <c r="G236">
        <v>1</v>
      </c>
      <c r="H236" t="str">
        <f t="shared" si="24"/>
        <v>Win</v>
      </c>
      <c r="I236">
        <f t="shared" si="25"/>
        <v>1</v>
      </c>
      <c r="J236">
        <f t="shared" si="26"/>
        <v>12</v>
      </c>
      <c r="K236">
        <f t="shared" si="27"/>
        <v>14</v>
      </c>
      <c r="L236">
        <v>9</v>
      </c>
      <c r="M236">
        <v>6</v>
      </c>
      <c r="N236">
        <v>6</v>
      </c>
      <c r="O236" s="3">
        <f t="shared" si="28"/>
        <v>1.5</v>
      </c>
      <c r="P236" s="3">
        <f t="shared" si="29"/>
        <v>0.6428571428571429</v>
      </c>
      <c r="Q236" s="3">
        <f t="shared" si="30"/>
        <v>0.42857142857142855</v>
      </c>
      <c r="R236" s="3">
        <f t="shared" si="31"/>
        <v>0.42857142857142855</v>
      </c>
      <c r="S236">
        <v>39</v>
      </c>
      <c r="T236" s="4">
        <v>0.16</v>
      </c>
      <c r="U236">
        <v>194</v>
      </c>
      <c r="V236">
        <v>790</v>
      </c>
    </row>
    <row r="237" spans="1:22">
      <c r="A237">
        <v>233</v>
      </c>
      <c r="B237" s="2">
        <v>46276</v>
      </c>
      <c r="C237" t="s">
        <v>41</v>
      </c>
      <c r="D237" t="s">
        <v>36</v>
      </c>
      <c r="E237" t="s">
        <v>28</v>
      </c>
      <c r="F237">
        <v>12</v>
      </c>
      <c r="G237">
        <v>14</v>
      </c>
      <c r="H237" t="str">
        <f t="shared" si="24"/>
        <v>Loss</v>
      </c>
      <c r="I237">
        <f t="shared" si="25"/>
        <v>0</v>
      </c>
      <c r="J237">
        <f t="shared" si="26"/>
        <v>-2</v>
      </c>
      <c r="K237">
        <f t="shared" si="27"/>
        <v>26</v>
      </c>
      <c r="L237">
        <v>14</v>
      </c>
      <c r="M237">
        <v>19</v>
      </c>
      <c r="N237">
        <v>8</v>
      </c>
      <c r="O237" s="3">
        <f t="shared" si="28"/>
        <v>0.73684210526315785</v>
      </c>
      <c r="P237" s="3">
        <f t="shared" si="29"/>
        <v>0.53846153846153844</v>
      </c>
      <c r="Q237" s="3">
        <f t="shared" si="30"/>
        <v>0.73076923076923073</v>
      </c>
      <c r="R237" s="3">
        <f t="shared" si="31"/>
        <v>0.30769230769230771</v>
      </c>
      <c r="S237">
        <v>-39</v>
      </c>
      <c r="T237" s="4">
        <v>0.11</v>
      </c>
      <c r="U237">
        <v>156</v>
      </c>
      <c r="V237">
        <v>356</v>
      </c>
    </row>
    <row r="238" spans="1:22">
      <c r="A238">
        <v>234</v>
      </c>
      <c r="B238" s="2">
        <v>46276</v>
      </c>
      <c r="C238" t="s">
        <v>29</v>
      </c>
      <c r="D238" t="s">
        <v>24</v>
      </c>
      <c r="E238" t="s">
        <v>25</v>
      </c>
      <c r="F238">
        <v>7</v>
      </c>
      <c r="G238">
        <v>13</v>
      </c>
      <c r="H238" t="str">
        <f t="shared" si="24"/>
        <v>Loss</v>
      </c>
      <c r="I238">
        <f t="shared" si="25"/>
        <v>0</v>
      </c>
      <c r="J238">
        <f t="shared" si="26"/>
        <v>-6</v>
      </c>
      <c r="K238">
        <f t="shared" si="27"/>
        <v>20</v>
      </c>
      <c r="L238">
        <v>11</v>
      </c>
      <c r="M238">
        <v>14</v>
      </c>
      <c r="N238">
        <v>2</v>
      </c>
      <c r="O238" s="3">
        <f t="shared" si="28"/>
        <v>0.7857142857142857</v>
      </c>
      <c r="P238" s="3">
        <f t="shared" si="29"/>
        <v>0.55000000000000004</v>
      </c>
      <c r="Q238" s="3">
        <f t="shared" si="30"/>
        <v>0.7</v>
      </c>
      <c r="R238" s="3">
        <f t="shared" si="31"/>
        <v>0.1</v>
      </c>
      <c r="S238">
        <v>-18</v>
      </c>
      <c r="T238" s="4">
        <v>0.1</v>
      </c>
      <c r="U238">
        <v>158</v>
      </c>
      <c r="V238">
        <v>256</v>
      </c>
    </row>
    <row r="239" spans="1:22">
      <c r="A239">
        <v>235</v>
      </c>
      <c r="B239" s="2">
        <v>46276</v>
      </c>
      <c r="C239" t="s">
        <v>34</v>
      </c>
      <c r="D239" t="s">
        <v>37</v>
      </c>
      <c r="E239" t="s">
        <v>25</v>
      </c>
      <c r="F239">
        <v>13</v>
      </c>
      <c r="G239">
        <v>10</v>
      </c>
      <c r="H239" t="str">
        <f t="shared" si="24"/>
        <v>Win</v>
      </c>
      <c r="I239">
        <f t="shared" si="25"/>
        <v>1</v>
      </c>
      <c r="J239">
        <f t="shared" si="26"/>
        <v>3</v>
      </c>
      <c r="K239">
        <f t="shared" si="27"/>
        <v>23</v>
      </c>
      <c r="L239">
        <v>26</v>
      </c>
      <c r="M239">
        <v>18</v>
      </c>
      <c r="N239">
        <v>4</v>
      </c>
      <c r="O239" s="3">
        <f t="shared" si="28"/>
        <v>1.4444444444444444</v>
      </c>
      <c r="P239" s="3">
        <f t="shared" si="29"/>
        <v>1.1304347826086956</v>
      </c>
      <c r="Q239" s="3">
        <f t="shared" si="30"/>
        <v>0.78260869565217395</v>
      </c>
      <c r="R239" s="3">
        <f t="shared" si="31"/>
        <v>0.17391304347826086</v>
      </c>
      <c r="S239">
        <v>20</v>
      </c>
      <c r="T239" s="4">
        <v>0.09</v>
      </c>
      <c r="U239">
        <v>274</v>
      </c>
      <c r="V239">
        <v>709</v>
      </c>
    </row>
    <row r="240" spans="1:22">
      <c r="A240">
        <v>236</v>
      </c>
      <c r="B240" s="2">
        <v>46276</v>
      </c>
      <c r="C240" t="s">
        <v>26</v>
      </c>
      <c r="D240" t="s">
        <v>27</v>
      </c>
      <c r="E240" t="s">
        <v>51</v>
      </c>
      <c r="F240">
        <v>13</v>
      </c>
      <c r="G240">
        <v>9</v>
      </c>
      <c r="H240" t="str">
        <f t="shared" si="24"/>
        <v>Win</v>
      </c>
      <c r="I240">
        <f t="shared" si="25"/>
        <v>1</v>
      </c>
      <c r="J240">
        <f t="shared" si="26"/>
        <v>4</v>
      </c>
      <c r="K240">
        <f t="shared" si="27"/>
        <v>22</v>
      </c>
      <c r="L240">
        <v>16</v>
      </c>
      <c r="M240">
        <v>17</v>
      </c>
      <c r="N240">
        <v>5</v>
      </c>
      <c r="O240" s="3">
        <f t="shared" si="28"/>
        <v>0.94117647058823528</v>
      </c>
      <c r="P240" s="3">
        <f t="shared" si="29"/>
        <v>0.72727272727272729</v>
      </c>
      <c r="Q240" s="3">
        <f t="shared" si="30"/>
        <v>0.77272727272727271</v>
      </c>
      <c r="R240" s="3">
        <f t="shared" si="31"/>
        <v>0.22727272727272727</v>
      </c>
      <c r="S240">
        <v>-20</v>
      </c>
      <c r="T240" s="4">
        <v>0.09</v>
      </c>
      <c r="U240">
        <v>210</v>
      </c>
      <c r="V240">
        <v>626</v>
      </c>
    </row>
    <row r="241" spans="1:22">
      <c r="A241">
        <v>237</v>
      </c>
      <c r="B241" s="2">
        <v>46276</v>
      </c>
      <c r="C241" t="s">
        <v>41</v>
      </c>
      <c r="D241" t="s">
        <v>27</v>
      </c>
      <c r="E241" t="s">
        <v>28</v>
      </c>
      <c r="F241">
        <v>13</v>
      </c>
      <c r="G241">
        <v>6</v>
      </c>
      <c r="H241" t="str">
        <f t="shared" si="24"/>
        <v>Win</v>
      </c>
      <c r="I241">
        <f t="shared" si="25"/>
        <v>1</v>
      </c>
      <c r="J241">
        <f t="shared" si="26"/>
        <v>7</v>
      </c>
      <c r="K241">
        <f t="shared" si="27"/>
        <v>19</v>
      </c>
      <c r="L241">
        <v>13</v>
      </c>
      <c r="M241">
        <v>8</v>
      </c>
      <c r="N241">
        <v>8</v>
      </c>
      <c r="O241" s="3">
        <f t="shared" si="28"/>
        <v>1.625</v>
      </c>
      <c r="P241" s="3">
        <f t="shared" si="29"/>
        <v>0.68421052631578949</v>
      </c>
      <c r="Q241" s="3">
        <f t="shared" si="30"/>
        <v>0.42105263157894735</v>
      </c>
      <c r="R241" s="3">
        <f t="shared" si="31"/>
        <v>0.42105263157894735</v>
      </c>
      <c r="S241">
        <v>47</v>
      </c>
      <c r="T241" s="4">
        <v>0.15</v>
      </c>
      <c r="U241">
        <v>197</v>
      </c>
      <c r="V241">
        <v>732</v>
      </c>
    </row>
    <row r="242" spans="1:22">
      <c r="A242">
        <v>238</v>
      </c>
      <c r="B242" s="2">
        <v>46276</v>
      </c>
      <c r="C242" t="s">
        <v>34</v>
      </c>
      <c r="D242" t="s">
        <v>36</v>
      </c>
      <c r="E242" t="s">
        <v>38</v>
      </c>
      <c r="F242">
        <v>14</v>
      </c>
      <c r="G242">
        <v>12</v>
      </c>
      <c r="H242" t="str">
        <f t="shared" si="24"/>
        <v>Win</v>
      </c>
      <c r="I242">
        <f t="shared" si="25"/>
        <v>1</v>
      </c>
      <c r="J242">
        <f t="shared" si="26"/>
        <v>2</v>
      </c>
      <c r="K242">
        <f t="shared" si="27"/>
        <v>26</v>
      </c>
      <c r="L242">
        <v>18</v>
      </c>
      <c r="M242">
        <v>17</v>
      </c>
      <c r="N242">
        <v>6</v>
      </c>
      <c r="O242" s="3">
        <f t="shared" si="28"/>
        <v>1.0588235294117647</v>
      </c>
      <c r="P242" s="3">
        <f t="shared" si="29"/>
        <v>0.69230769230769229</v>
      </c>
      <c r="Q242" s="3">
        <f t="shared" si="30"/>
        <v>0.65384615384615385</v>
      </c>
      <c r="R242" s="3">
        <f t="shared" si="31"/>
        <v>0.23076923076923078</v>
      </c>
      <c r="S242">
        <v>18</v>
      </c>
      <c r="T242" s="4">
        <v>0.11</v>
      </c>
      <c r="U242">
        <v>202</v>
      </c>
      <c r="V242">
        <v>616</v>
      </c>
    </row>
    <row r="243" spans="1:22">
      <c r="A243">
        <v>239</v>
      </c>
      <c r="B243" s="2">
        <v>46276</v>
      </c>
      <c r="C243" t="s">
        <v>26</v>
      </c>
      <c r="D243" t="s">
        <v>27</v>
      </c>
      <c r="E243" t="s">
        <v>49</v>
      </c>
      <c r="F243">
        <v>10</v>
      </c>
      <c r="G243">
        <v>13</v>
      </c>
      <c r="H243" t="str">
        <f t="shared" si="24"/>
        <v>Loss</v>
      </c>
      <c r="I243">
        <f t="shared" si="25"/>
        <v>0</v>
      </c>
      <c r="J243">
        <f t="shared" si="26"/>
        <v>-3</v>
      </c>
      <c r="K243">
        <f t="shared" si="27"/>
        <v>23</v>
      </c>
      <c r="L243">
        <v>18</v>
      </c>
      <c r="M243">
        <v>21</v>
      </c>
      <c r="N243">
        <v>5</v>
      </c>
      <c r="O243" s="3">
        <f t="shared" si="28"/>
        <v>0.8571428571428571</v>
      </c>
      <c r="P243" s="3">
        <f t="shared" si="29"/>
        <v>0.78260869565217395</v>
      </c>
      <c r="Q243" s="3">
        <f t="shared" si="30"/>
        <v>0.91304347826086951</v>
      </c>
      <c r="R243" s="3">
        <f t="shared" si="31"/>
        <v>0.21739130434782608</v>
      </c>
      <c r="S243">
        <v>12</v>
      </c>
      <c r="T243" s="4">
        <v>0.14000000000000001</v>
      </c>
      <c r="U243">
        <v>237</v>
      </c>
      <c r="V243">
        <v>585</v>
      </c>
    </row>
    <row r="244" spans="1:22">
      <c r="A244">
        <v>240</v>
      </c>
      <c r="B244" s="2">
        <v>46276</v>
      </c>
      <c r="C244" t="s">
        <v>35</v>
      </c>
      <c r="D244" t="s">
        <v>32</v>
      </c>
      <c r="E244" t="s">
        <v>25</v>
      </c>
      <c r="F244">
        <v>13</v>
      </c>
      <c r="G244">
        <v>9</v>
      </c>
      <c r="H244" t="str">
        <f t="shared" si="24"/>
        <v>Win</v>
      </c>
      <c r="I244">
        <f t="shared" si="25"/>
        <v>1</v>
      </c>
      <c r="J244">
        <f t="shared" si="26"/>
        <v>4</v>
      </c>
      <c r="K244">
        <f t="shared" si="27"/>
        <v>22</v>
      </c>
      <c r="L244">
        <v>7</v>
      </c>
      <c r="M244">
        <v>14</v>
      </c>
      <c r="N244">
        <v>7</v>
      </c>
      <c r="O244" s="3">
        <f t="shared" si="28"/>
        <v>0.5</v>
      </c>
      <c r="P244" s="3">
        <f t="shared" si="29"/>
        <v>0.31818181818181818</v>
      </c>
      <c r="Q244" s="3">
        <f t="shared" si="30"/>
        <v>0.63636363636363635</v>
      </c>
      <c r="R244" s="3">
        <f t="shared" si="31"/>
        <v>0.31818181818181818</v>
      </c>
      <c r="S244">
        <v>-24</v>
      </c>
      <c r="T244" s="4">
        <v>0.06</v>
      </c>
      <c r="U244">
        <v>115</v>
      </c>
      <c r="V244">
        <v>303</v>
      </c>
    </row>
    <row r="245" spans="1:22">
      <c r="A245">
        <v>241</v>
      </c>
      <c r="B245" s="2">
        <v>46276</v>
      </c>
      <c r="C245" t="s">
        <v>40</v>
      </c>
      <c r="D245" t="s">
        <v>24</v>
      </c>
      <c r="E245" t="s">
        <v>25</v>
      </c>
      <c r="F245">
        <v>13</v>
      </c>
      <c r="G245">
        <v>1</v>
      </c>
      <c r="H245" t="str">
        <f t="shared" si="24"/>
        <v>Win</v>
      </c>
      <c r="I245">
        <f t="shared" si="25"/>
        <v>1</v>
      </c>
      <c r="J245">
        <f t="shared" si="26"/>
        <v>12</v>
      </c>
      <c r="K245">
        <f t="shared" si="27"/>
        <v>14</v>
      </c>
      <c r="L245">
        <v>8</v>
      </c>
      <c r="M245">
        <v>5</v>
      </c>
      <c r="N245">
        <v>2</v>
      </c>
      <c r="O245" s="3">
        <f t="shared" si="28"/>
        <v>1.6</v>
      </c>
      <c r="P245" s="3">
        <f t="shared" si="29"/>
        <v>0.5714285714285714</v>
      </c>
      <c r="Q245" s="3">
        <f t="shared" si="30"/>
        <v>0.35714285714285715</v>
      </c>
      <c r="R245" s="3">
        <f t="shared" si="31"/>
        <v>0.14285714285714285</v>
      </c>
      <c r="S245">
        <v>18</v>
      </c>
      <c r="T245" s="4">
        <v>0.08</v>
      </c>
      <c r="U245">
        <v>140</v>
      </c>
      <c r="V245">
        <v>649</v>
      </c>
    </row>
    <row r="246" spans="1:22">
      <c r="A246">
        <v>242</v>
      </c>
      <c r="B246" s="2">
        <v>46275</v>
      </c>
      <c r="C246" t="s">
        <v>34</v>
      </c>
      <c r="D246" t="s">
        <v>36</v>
      </c>
      <c r="E246" t="s">
        <v>50</v>
      </c>
      <c r="F246">
        <v>13</v>
      </c>
      <c r="G246">
        <v>15</v>
      </c>
      <c r="H246" t="str">
        <f t="shared" si="24"/>
        <v>Loss</v>
      </c>
      <c r="I246">
        <f t="shared" si="25"/>
        <v>0</v>
      </c>
      <c r="J246">
        <f t="shared" si="26"/>
        <v>-2</v>
      </c>
      <c r="K246">
        <f t="shared" si="27"/>
        <v>28</v>
      </c>
      <c r="L246">
        <v>20</v>
      </c>
      <c r="M246">
        <v>19</v>
      </c>
      <c r="N246">
        <v>4</v>
      </c>
      <c r="O246" s="3">
        <f t="shared" si="28"/>
        <v>1.0526315789473684</v>
      </c>
      <c r="P246" s="3">
        <f t="shared" si="29"/>
        <v>0.7142857142857143</v>
      </c>
      <c r="Q246" s="3">
        <f t="shared" si="30"/>
        <v>0.6785714285714286</v>
      </c>
      <c r="R246" s="3">
        <f t="shared" si="31"/>
        <v>0.14285714285714285</v>
      </c>
      <c r="S246">
        <v>20</v>
      </c>
      <c r="T246" s="4">
        <v>0.15</v>
      </c>
      <c r="U246">
        <v>204</v>
      </c>
      <c r="V246">
        <v>522</v>
      </c>
    </row>
    <row r="247" spans="1:22">
      <c r="A247">
        <v>243</v>
      </c>
      <c r="B247" s="2">
        <v>46275</v>
      </c>
      <c r="C247" t="s">
        <v>35</v>
      </c>
      <c r="D247" t="s">
        <v>24</v>
      </c>
      <c r="E247" t="s">
        <v>25</v>
      </c>
      <c r="F247">
        <v>11</v>
      </c>
      <c r="G247">
        <v>13</v>
      </c>
      <c r="H247" t="str">
        <f t="shared" si="24"/>
        <v>Loss</v>
      </c>
      <c r="I247">
        <f t="shared" si="25"/>
        <v>0</v>
      </c>
      <c r="J247">
        <f t="shared" si="26"/>
        <v>-2</v>
      </c>
      <c r="K247">
        <f t="shared" si="27"/>
        <v>24</v>
      </c>
      <c r="L247">
        <v>13</v>
      </c>
      <c r="M247">
        <v>14</v>
      </c>
      <c r="N247">
        <v>3</v>
      </c>
      <c r="O247" s="3">
        <f t="shared" si="28"/>
        <v>0.9285714285714286</v>
      </c>
      <c r="P247" s="3">
        <f t="shared" si="29"/>
        <v>0.54166666666666663</v>
      </c>
      <c r="Q247" s="3">
        <f t="shared" si="30"/>
        <v>0.58333333333333337</v>
      </c>
      <c r="R247" s="3">
        <f t="shared" si="31"/>
        <v>0.125</v>
      </c>
      <c r="S247">
        <v>6</v>
      </c>
      <c r="T247" s="4">
        <v>0.11</v>
      </c>
      <c r="U247">
        <v>157</v>
      </c>
      <c r="V247">
        <v>461</v>
      </c>
    </row>
    <row r="248" spans="1:22">
      <c r="A248">
        <v>244</v>
      </c>
      <c r="B248" s="2">
        <v>46275</v>
      </c>
      <c r="C248" t="s">
        <v>40</v>
      </c>
      <c r="D248" t="s">
        <v>37</v>
      </c>
      <c r="E248" t="s">
        <v>25</v>
      </c>
      <c r="F248">
        <v>8</v>
      </c>
      <c r="G248">
        <v>13</v>
      </c>
      <c r="H248" t="str">
        <f t="shared" si="24"/>
        <v>Loss</v>
      </c>
      <c r="I248">
        <f t="shared" si="25"/>
        <v>0</v>
      </c>
      <c r="J248">
        <f t="shared" si="26"/>
        <v>-5</v>
      </c>
      <c r="K248">
        <f t="shared" si="27"/>
        <v>21</v>
      </c>
      <c r="L248">
        <v>16</v>
      </c>
      <c r="M248">
        <v>16</v>
      </c>
      <c r="N248">
        <v>6</v>
      </c>
      <c r="O248" s="3">
        <f t="shared" si="28"/>
        <v>1</v>
      </c>
      <c r="P248" s="3">
        <f t="shared" si="29"/>
        <v>0.76190476190476186</v>
      </c>
      <c r="Q248" s="3">
        <f t="shared" si="30"/>
        <v>0.76190476190476186</v>
      </c>
      <c r="R248" s="3">
        <f t="shared" si="31"/>
        <v>0.2857142857142857</v>
      </c>
      <c r="S248">
        <v>35</v>
      </c>
      <c r="T248" s="4">
        <v>0.14000000000000001</v>
      </c>
      <c r="U248">
        <v>241</v>
      </c>
      <c r="V248">
        <v>571</v>
      </c>
    </row>
    <row r="249" spans="1:22">
      <c r="A249">
        <v>245</v>
      </c>
      <c r="B249" s="2">
        <v>46275</v>
      </c>
      <c r="C249" t="s">
        <v>26</v>
      </c>
      <c r="D249" t="s">
        <v>42</v>
      </c>
      <c r="E249" t="s">
        <v>28</v>
      </c>
      <c r="F249">
        <v>5</v>
      </c>
      <c r="G249">
        <v>13</v>
      </c>
      <c r="H249" t="str">
        <f t="shared" si="24"/>
        <v>Loss</v>
      </c>
      <c r="I249">
        <f t="shared" si="25"/>
        <v>0</v>
      </c>
      <c r="J249">
        <f t="shared" si="26"/>
        <v>-8</v>
      </c>
      <c r="K249">
        <f t="shared" si="27"/>
        <v>18</v>
      </c>
      <c r="L249">
        <v>15</v>
      </c>
      <c r="M249">
        <v>14</v>
      </c>
      <c r="N249">
        <v>6</v>
      </c>
      <c r="O249" s="3">
        <f t="shared" si="28"/>
        <v>1.0714285714285714</v>
      </c>
      <c r="P249" s="3">
        <f t="shared" si="29"/>
        <v>0.83333333333333337</v>
      </c>
      <c r="Q249" s="3">
        <f t="shared" si="30"/>
        <v>0.77777777777777779</v>
      </c>
      <c r="R249" s="3">
        <f t="shared" si="31"/>
        <v>0.33333333333333331</v>
      </c>
      <c r="S249">
        <v>12</v>
      </c>
      <c r="T249" s="4">
        <v>0.15</v>
      </c>
      <c r="U249">
        <v>254</v>
      </c>
      <c r="V249">
        <v>677</v>
      </c>
    </row>
    <row r="250" spans="1:22">
      <c r="A250">
        <v>246</v>
      </c>
      <c r="B250" s="2">
        <v>46275</v>
      </c>
      <c r="C250" t="s">
        <v>29</v>
      </c>
      <c r="D250" t="s">
        <v>42</v>
      </c>
      <c r="E250" t="s">
        <v>25</v>
      </c>
      <c r="F250">
        <v>11</v>
      </c>
      <c r="G250">
        <v>13</v>
      </c>
      <c r="H250" t="str">
        <f t="shared" si="24"/>
        <v>Loss</v>
      </c>
      <c r="I250">
        <f t="shared" si="25"/>
        <v>0</v>
      </c>
      <c r="J250">
        <f t="shared" si="26"/>
        <v>-2</v>
      </c>
      <c r="K250">
        <f t="shared" si="27"/>
        <v>24</v>
      </c>
      <c r="L250">
        <v>21</v>
      </c>
      <c r="M250">
        <v>17</v>
      </c>
      <c r="N250">
        <v>4</v>
      </c>
      <c r="O250" s="3">
        <f t="shared" si="28"/>
        <v>1.2352941176470589</v>
      </c>
      <c r="P250" s="3">
        <f t="shared" si="29"/>
        <v>0.875</v>
      </c>
      <c r="Q250" s="3">
        <f t="shared" si="30"/>
        <v>0.70833333333333337</v>
      </c>
      <c r="R250" s="3">
        <f t="shared" si="31"/>
        <v>0.16666666666666666</v>
      </c>
      <c r="S250">
        <v>35</v>
      </c>
      <c r="T250" s="4">
        <v>0.13</v>
      </c>
      <c r="U250">
        <v>269</v>
      </c>
      <c r="V250">
        <v>723</v>
      </c>
    </row>
    <row r="251" spans="1:22">
      <c r="A251">
        <v>247</v>
      </c>
      <c r="B251" s="2">
        <v>46275</v>
      </c>
      <c r="C251" t="s">
        <v>29</v>
      </c>
      <c r="D251" t="s">
        <v>32</v>
      </c>
      <c r="E251" t="s">
        <v>25</v>
      </c>
      <c r="F251">
        <v>13</v>
      </c>
      <c r="G251">
        <v>11</v>
      </c>
      <c r="H251" t="str">
        <f t="shared" si="24"/>
        <v>Win</v>
      </c>
      <c r="I251">
        <f t="shared" si="25"/>
        <v>1</v>
      </c>
      <c r="J251">
        <f t="shared" si="26"/>
        <v>2</v>
      </c>
      <c r="K251">
        <f t="shared" si="27"/>
        <v>24</v>
      </c>
      <c r="L251">
        <v>11</v>
      </c>
      <c r="M251">
        <v>17</v>
      </c>
      <c r="N251">
        <v>5</v>
      </c>
      <c r="O251" s="3">
        <f t="shared" si="28"/>
        <v>0.6470588235294118</v>
      </c>
      <c r="P251" s="3">
        <f t="shared" si="29"/>
        <v>0.45833333333333331</v>
      </c>
      <c r="Q251" s="3">
        <f t="shared" si="30"/>
        <v>0.70833333333333337</v>
      </c>
      <c r="R251" s="3">
        <f t="shared" si="31"/>
        <v>0.20833333333333334</v>
      </c>
      <c r="S251">
        <v>-57</v>
      </c>
      <c r="T251" s="4">
        <v>0.19</v>
      </c>
      <c r="U251">
        <v>128</v>
      </c>
      <c r="V251">
        <v>300</v>
      </c>
    </row>
    <row r="252" spans="1:22">
      <c r="A252">
        <v>248</v>
      </c>
      <c r="B252" s="2">
        <v>46275</v>
      </c>
      <c r="C252" t="s">
        <v>23</v>
      </c>
      <c r="D252" t="s">
        <v>42</v>
      </c>
      <c r="E252" t="s">
        <v>39</v>
      </c>
      <c r="F252">
        <v>7</v>
      </c>
      <c r="G252">
        <v>13</v>
      </c>
      <c r="H252" t="str">
        <f t="shared" si="24"/>
        <v>Loss</v>
      </c>
      <c r="I252">
        <f t="shared" si="25"/>
        <v>0</v>
      </c>
      <c r="J252">
        <f t="shared" si="26"/>
        <v>-6</v>
      </c>
      <c r="K252">
        <f t="shared" si="27"/>
        <v>20</v>
      </c>
      <c r="L252">
        <v>18</v>
      </c>
      <c r="M252">
        <v>14</v>
      </c>
      <c r="N252">
        <v>5</v>
      </c>
      <c r="O252" s="3">
        <f t="shared" si="28"/>
        <v>1.2857142857142858</v>
      </c>
      <c r="P252" s="3">
        <f t="shared" si="29"/>
        <v>0.9</v>
      </c>
      <c r="Q252" s="3">
        <f t="shared" si="30"/>
        <v>0.7</v>
      </c>
      <c r="R252" s="3">
        <f t="shared" si="31"/>
        <v>0.25</v>
      </c>
      <c r="S252">
        <v>44</v>
      </c>
      <c r="T252" s="4">
        <v>0.23</v>
      </c>
      <c r="U252">
        <v>257</v>
      </c>
      <c r="V252">
        <v>623</v>
      </c>
    </row>
    <row r="253" spans="1:22">
      <c r="A253">
        <v>249</v>
      </c>
      <c r="B253" s="2">
        <v>46275</v>
      </c>
      <c r="C253" t="s">
        <v>35</v>
      </c>
      <c r="D253" t="s">
        <v>37</v>
      </c>
      <c r="E253" t="s">
        <v>25</v>
      </c>
      <c r="F253">
        <v>14</v>
      </c>
      <c r="G253">
        <v>12</v>
      </c>
      <c r="H253" t="str">
        <f t="shared" si="24"/>
        <v>Win</v>
      </c>
      <c r="I253">
        <f t="shared" si="25"/>
        <v>1</v>
      </c>
      <c r="J253">
        <f t="shared" si="26"/>
        <v>2</v>
      </c>
      <c r="K253">
        <f t="shared" si="27"/>
        <v>26</v>
      </c>
      <c r="L253">
        <v>22</v>
      </c>
      <c r="M253">
        <v>17</v>
      </c>
      <c r="N253">
        <v>1</v>
      </c>
      <c r="O253" s="3">
        <f t="shared" si="28"/>
        <v>1.2941176470588236</v>
      </c>
      <c r="P253" s="3">
        <f t="shared" si="29"/>
        <v>0.84615384615384615</v>
      </c>
      <c r="Q253" s="3">
        <f t="shared" si="30"/>
        <v>0.65384615384615385</v>
      </c>
      <c r="R253" s="3">
        <f t="shared" si="31"/>
        <v>3.8461538461538464E-2</v>
      </c>
      <c r="S253">
        <v>42</v>
      </c>
      <c r="T253" s="4">
        <v>0.1</v>
      </c>
      <c r="U253">
        <v>241</v>
      </c>
      <c r="V253">
        <v>615</v>
      </c>
    </row>
    <row r="254" spans="1:22">
      <c r="A254">
        <v>250</v>
      </c>
      <c r="B254" s="2">
        <v>46275</v>
      </c>
      <c r="C254" t="s">
        <v>40</v>
      </c>
      <c r="D254" t="s">
        <v>30</v>
      </c>
      <c r="E254" t="s">
        <v>25</v>
      </c>
      <c r="F254">
        <v>13</v>
      </c>
      <c r="G254">
        <v>4</v>
      </c>
      <c r="H254" t="str">
        <f t="shared" si="24"/>
        <v>Win</v>
      </c>
      <c r="I254">
        <f t="shared" si="25"/>
        <v>1</v>
      </c>
      <c r="J254">
        <f t="shared" si="26"/>
        <v>9</v>
      </c>
      <c r="K254">
        <f t="shared" si="27"/>
        <v>17</v>
      </c>
      <c r="L254">
        <v>10</v>
      </c>
      <c r="M254">
        <v>9</v>
      </c>
      <c r="N254">
        <v>1</v>
      </c>
      <c r="O254" s="3">
        <f t="shared" si="28"/>
        <v>1.1111111111111112</v>
      </c>
      <c r="P254" s="3">
        <f t="shared" si="29"/>
        <v>0.58823529411764708</v>
      </c>
      <c r="Q254" s="3">
        <f t="shared" si="30"/>
        <v>0.52941176470588236</v>
      </c>
      <c r="R254" s="3">
        <f t="shared" si="31"/>
        <v>5.8823529411764705E-2</v>
      </c>
      <c r="S254">
        <v>8</v>
      </c>
      <c r="T254" s="4">
        <v>0.17</v>
      </c>
      <c r="U254">
        <v>148</v>
      </c>
      <c r="V254">
        <v>615</v>
      </c>
    </row>
    <row r="255" spans="1:22">
      <c r="A255">
        <v>251</v>
      </c>
      <c r="B255" s="2">
        <v>46275</v>
      </c>
      <c r="C255" t="s">
        <v>34</v>
      </c>
      <c r="D255" t="s">
        <v>30</v>
      </c>
      <c r="E255" t="s">
        <v>51</v>
      </c>
      <c r="F255">
        <v>13</v>
      </c>
      <c r="G255">
        <v>9</v>
      </c>
      <c r="H255" t="str">
        <f t="shared" si="24"/>
        <v>Win</v>
      </c>
      <c r="I255">
        <f t="shared" si="25"/>
        <v>1</v>
      </c>
      <c r="J255">
        <f t="shared" si="26"/>
        <v>4</v>
      </c>
      <c r="K255">
        <f t="shared" si="27"/>
        <v>22</v>
      </c>
      <c r="L255">
        <v>9</v>
      </c>
      <c r="M255">
        <v>15</v>
      </c>
      <c r="N255">
        <v>2</v>
      </c>
      <c r="O255" s="3">
        <f t="shared" si="28"/>
        <v>0.6</v>
      </c>
      <c r="P255" s="3">
        <f t="shared" si="29"/>
        <v>0.40909090909090912</v>
      </c>
      <c r="Q255" s="3">
        <f t="shared" si="30"/>
        <v>0.68181818181818177</v>
      </c>
      <c r="R255" s="3">
        <f t="shared" si="31"/>
        <v>9.0909090909090912E-2</v>
      </c>
      <c r="S255">
        <v>-58</v>
      </c>
      <c r="T255" s="4">
        <v>0.09</v>
      </c>
      <c r="U255">
        <v>120</v>
      </c>
      <c r="V255">
        <v>271</v>
      </c>
    </row>
    <row r="256" spans="1:22">
      <c r="A256">
        <v>252</v>
      </c>
      <c r="B256" s="2">
        <v>46274</v>
      </c>
      <c r="C256" t="s">
        <v>23</v>
      </c>
      <c r="D256" t="s">
        <v>30</v>
      </c>
      <c r="E256" t="s">
        <v>25</v>
      </c>
      <c r="F256">
        <v>5</v>
      </c>
      <c r="G256">
        <v>13</v>
      </c>
      <c r="H256" t="str">
        <f t="shared" si="24"/>
        <v>Loss</v>
      </c>
      <c r="I256">
        <f t="shared" si="25"/>
        <v>0</v>
      </c>
      <c r="J256">
        <f t="shared" si="26"/>
        <v>-8</v>
      </c>
      <c r="K256">
        <f t="shared" si="27"/>
        <v>18</v>
      </c>
      <c r="L256">
        <v>8</v>
      </c>
      <c r="M256">
        <v>15</v>
      </c>
      <c r="N256">
        <v>3</v>
      </c>
      <c r="O256" s="3">
        <f t="shared" si="28"/>
        <v>0.53333333333333333</v>
      </c>
      <c r="P256" s="3">
        <f t="shared" si="29"/>
        <v>0.44444444444444442</v>
      </c>
      <c r="Q256" s="3">
        <f t="shared" si="30"/>
        <v>0.83333333333333337</v>
      </c>
      <c r="R256" s="3">
        <f t="shared" si="31"/>
        <v>0.16666666666666666</v>
      </c>
      <c r="S256">
        <v>-51</v>
      </c>
      <c r="T256" s="4">
        <v>0.19</v>
      </c>
      <c r="U256">
        <v>163</v>
      </c>
      <c r="V256">
        <v>166</v>
      </c>
    </row>
    <row r="257" spans="1:22">
      <c r="A257">
        <v>253</v>
      </c>
      <c r="B257" s="2">
        <v>46274</v>
      </c>
      <c r="C257" t="s">
        <v>41</v>
      </c>
      <c r="D257" t="s">
        <v>36</v>
      </c>
      <c r="E257" t="s">
        <v>25</v>
      </c>
      <c r="F257">
        <v>13</v>
      </c>
      <c r="G257">
        <v>10</v>
      </c>
      <c r="H257" t="str">
        <f t="shared" si="24"/>
        <v>Win</v>
      </c>
      <c r="I257">
        <f t="shared" si="25"/>
        <v>1</v>
      </c>
      <c r="J257">
        <f t="shared" si="26"/>
        <v>3</v>
      </c>
      <c r="K257">
        <f t="shared" si="27"/>
        <v>23</v>
      </c>
      <c r="L257">
        <v>17</v>
      </c>
      <c r="M257">
        <v>17</v>
      </c>
      <c r="N257">
        <v>4</v>
      </c>
      <c r="O257" s="3">
        <f t="shared" si="28"/>
        <v>1</v>
      </c>
      <c r="P257" s="3">
        <f t="shared" si="29"/>
        <v>0.73913043478260865</v>
      </c>
      <c r="Q257" s="3">
        <f t="shared" si="30"/>
        <v>0.73913043478260865</v>
      </c>
      <c r="R257" s="3">
        <f t="shared" si="31"/>
        <v>0.17391304347826086</v>
      </c>
      <c r="S257">
        <v>2</v>
      </c>
      <c r="T257" s="4">
        <v>0.15</v>
      </c>
      <c r="U257">
        <v>214</v>
      </c>
      <c r="V257">
        <v>547</v>
      </c>
    </row>
    <row r="258" spans="1:22">
      <c r="A258">
        <v>254</v>
      </c>
      <c r="B258" s="2">
        <v>46274</v>
      </c>
      <c r="C258" t="s">
        <v>26</v>
      </c>
      <c r="D258" t="s">
        <v>27</v>
      </c>
      <c r="E258" t="s">
        <v>28</v>
      </c>
      <c r="F258">
        <v>13</v>
      </c>
      <c r="G258">
        <v>6</v>
      </c>
      <c r="H258" t="str">
        <f t="shared" si="24"/>
        <v>Win</v>
      </c>
      <c r="I258">
        <f t="shared" si="25"/>
        <v>1</v>
      </c>
      <c r="J258">
        <f t="shared" si="26"/>
        <v>7</v>
      </c>
      <c r="K258">
        <f t="shared" si="27"/>
        <v>19</v>
      </c>
      <c r="L258">
        <v>15</v>
      </c>
      <c r="M258">
        <v>13</v>
      </c>
      <c r="N258">
        <v>7</v>
      </c>
      <c r="O258" s="3">
        <f t="shared" si="28"/>
        <v>1.1538461538461537</v>
      </c>
      <c r="P258" s="3">
        <f t="shared" si="29"/>
        <v>0.78947368421052633</v>
      </c>
      <c r="Q258" s="3">
        <f t="shared" si="30"/>
        <v>0.68421052631578949</v>
      </c>
      <c r="R258" s="3">
        <f t="shared" si="31"/>
        <v>0.36842105263157893</v>
      </c>
      <c r="S258">
        <v>1</v>
      </c>
      <c r="T258" s="4">
        <v>0.12</v>
      </c>
      <c r="U258">
        <v>222</v>
      </c>
      <c r="V258">
        <v>656</v>
      </c>
    </row>
    <row r="259" spans="1:22">
      <c r="A259">
        <v>255</v>
      </c>
      <c r="B259" s="2">
        <v>46274</v>
      </c>
      <c r="C259" t="s">
        <v>29</v>
      </c>
      <c r="D259" t="s">
        <v>46</v>
      </c>
      <c r="E259" t="s">
        <v>25</v>
      </c>
      <c r="F259">
        <v>13</v>
      </c>
      <c r="G259">
        <v>7</v>
      </c>
      <c r="H259" t="str">
        <f t="shared" si="24"/>
        <v>Win</v>
      </c>
      <c r="I259">
        <f t="shared" si="25"/>
        <v>1</v>
      </c>
      <c r="J259">
        <f t="shared" si="26"/>
        <v>6</v>
      </c>
      <c r="K259">
        <f t="shared" si="27"/>
        <v>20</v>
      </c>
      <c r="L259">
        <v>20</v>
      </c>
      <c r="M259">
        <v>10</v>
      </c>
      <c r="N259">
        <v>9</v>
      </c>
      <c r="O259" s="3">
        <f t="shared" si="28"/>
        <v>2</v>
      </c>
      <c r="P259" s="3">
        <f t="shared" si="29"/>
        <v>1</v>
      </c>
      <c r="Q259" s="3">
        <f t="shared" si="30"/>
        <v>0.5</v>
      </c>
      <c r="R259" s="3">
        <f t="shared" si="31"/>
        <v>0.45</v>
      </c>
      <c r="S259">
        <v>58</v>
      </c>
      <c r="T259" s="4">
        <v>0.12</v>
      </c>
      <c r="U259">
        <v>262</v>
      </c>
      <c r="V259">
        <v>920</v>
      </c>
    </row>
    <row r="260" spans="1:22">
      <c r="A260">
        <v>256</v>
      </c>
      <c r="B260" s="2">
        <v>46274</v>
      </c>
      <c r="C260" t="s">
        <v>29</v>
      </c>
      <c r="D260" t="s">
        <v>31</v>
      </c>
      <c r="E260" t="s">
        <v>25</v>
      </c>
      <c r="F260">
        <v>8</v>
      </c>
      <c r="G260">
        <v>13</v>
      </c>
      <c r="H260" t="str">
        <f t="shared" si="24"/>
        <v>Loss</v>
      </c>
      <c r="I260">
        <f t="shared" si="25"/>
        <v>0</v>
      </c>
      <c r="J260">
        <f t="shared" si="26"/>
        <v>-5</v>
      </c>
      <c r="K260">
        <f t="shared" si="27"/>
        <v>21</v>
      </c>
      <c r="L260">
        <v>7</v>
      </c>
      <c r="M260">
        <v>16</v>
      </c>
      <c r="N260">
        <v>1</v>
      </c>
      <c r="O260" s="3">
        <f t="shared" si="28"/>
        <v>0.4375</v>
      </c>
      <c r="P260" s="3">
        <f t="shared" si="29"/>
        <v>0.33333333333333331</v>
      </c>
      <c r="Q260" s="3">
        <f t="shared" si="30"/>
        <v>0.76190476190476186</v>
      </c>
      <c r="R260" s="3">
        <f t="shared" si="31"/>
        <v>4.7619047619047616E-2</v>
      </c>
      <c r="S260">
        <v>-63</v>
      </c>
      <c r="T260" s="4">
        <v>0.15</v>
      </c>
      <c r="U260">
        <v>106</v>
      </c>
      <c r="V260">
        <v>117</v>
      </c>
    </row>
    <row r="261" spans="1:22">
      <c r="A261">
        <v>257</v>
      </c>
      <c r="B261" s="2">
        <v>46273</v>
      </c>
      <c r="C261" t="s">
        <v>41</v>
      </c>
      <c r="D261" t="s">
        <v>31</v>
      </c>
      <c r="E261" t="s">
        <v>28</v>
      </c>
      <c r="F261">
        <v>11</v>
      </c>
      <c r="G261">
        <v>13</v>
      </c>
      <c r="H261" t="str">
        <f t="shared" ref="H261:H324" si="32">IF(F261&gt;G261,"Win",IF(F261&lt;G261,"Loss","Draw"))</f>
        <v>Loss</v>
      </c>
      <c r="I261">
        <f t="shared" ref="I261:I324" si="33">IF(H261="Win",1,0)</f>
        <v>0</v>
      </c>
      <c r="J261">
        <f t="shared" ref="J261:J324" si="34">F261-G261</f>
        <v>-2</v>
      </c>
      <c r="K261">
        <f t="shared" ref="K261:K324" si="35">F261+G261</f>
        <v>24</v>
      </c>
      <c r="L261">
        <v>10</v>
      </c>
      <c r="M261">
        <v>17</v>
      </c>
      <c r="N261">
        <v>10</v>
      </c>
      <c r="O261" s="3">
        <f t="shared" ref="O261:O324" si="36">IFERROR(L261/M261,0)</f>
        <v>0.58823529411764708</v>
      </c>
      <c r="P261" s="3">
        <f t="shared" ref="P261:P324" si="37">IFERROR(L261/K261,0)</f>
        <v>0.41666666666666669</v>
      </c>
      <c r="Q261" s="3">
        <f t="shared" ref="Q261:Q324" si="38">IFERROR(M261/K261,0)</f>
        <v>0.70833333333333337</v>
      </c>
      <c r="R261" s="3">
        <f t="shared" ref="R261:R324" si="39">IFERROR(N261/K261,0)</f>
        <v>0.41666666666666669</v>
      </c>
      <c r="S261">
        <v>-41</v>
      </c>
      <c r="T261" s="4">
        <v>7.0000000000000007E-2</v>
      </c>
      <c r="U261">
        <v>123</v>
      </c>
      <c r="V261">
        <v>329</v>
      </c>
    </row>
    <row r="262" spans="1:22">
      <c r="A262">
        <v>258</v>
      </c>
      <c r="B262" s="2">
        <v>46273</v>
      </c>
      <c r="C262" t="s">
        <v>35</v>
      </c>
      <c r="D262" t="s">
        <v>30</v>
      </c>
      <c r="E262" t="s">
        <v>25</v>
      </c>
      <c r="F262">
        <v>13</v>
      </c>
      <c r="G262">
        <v>8</v>
      </c>
      <c r="H262" t="str">
        <f t="shared" si="32"/>
        <v>Win</v>
      </c>
      <c r="I262">
        <f t="shared" si="33"/>
        <v>1</v>
      </c>
      <c r="J262">
        <f t="shared" si="34"/>
        <v>5</v>
      </c>
      <c r="K262">
        <f t="shared" si="35"/>
        <v>21</v>
      </c>
      <c r="L262">
        <v>13</v>
      </c>
      <c r="M262">
        <v>13</v>
      </c>
      <c r="N262">
        <v>5</v>
      </c>
      <c r="O262" s="3">
        <f t="shared" si="36"/>
        <v>1</v>
      </c>
      <c r="P262" s="3">
        <f t="shared" si="37"/>
        <v>0.61904761904761907</v>
      </c>
      <c r="Q262" s="3">
        <f t="shared" si="38"/>
        <v>0.61904761904761907</v>
      </c>
      <c r="R262" s="3">
        <f t="shared" si="39"/>
        <v>0.23809523809523808</v>
      </c>
      <c r="S262">
        <v>5</v>
      </c>
      <c r="T262" s="4">
        <v>0.13</v>
      </c>
      <c r="U262">
        <v>156</v>
      </c>
      <c r="V262">
        <v>479</v>
      </c>
    </row>
    <row r="263" spans="1:22">
      <c r="A263">
        <v>259</v>
      </c>
      <c r="B263" s="2">
        <v>46273</v>
      </c>
      <c r="C263" t="s">
        <v>40</v>
      </c>
      <c r="D263" t="s">
        <v>46</v>
      </c>
      <c r="E263" t="s">
        <v>25</v>
      </c>
      <c r="F263">
        <v>13</v>
      </c>
      <c r="G263">
        <v>8</v>
      </c>
      <c r="H263" t="str">
        <f t="shared" si="32"/>
        <v>Win</v>
      </c>
      <c r="I263">
        <f t="shared" si="33"/>
        <v>1</v>
      </c>
      <c r="J263">
        <f t="shared" si="34"/>
        <v>5</v>
      </c>
      <c r="K263">
        <f t="shared" si="35"/>
        <v>21</v>
      </c>
      <c r="L263">
        <v>19</v>
      </c>
      <c r="M263">
        <v>13</v>
      </c>
      <c r="N263">
        <v>5</v>
      </c>
      <c r="O263" s="3">
        <f t="shared" si="36"/>
        <v>1.4615384615384615</v>
      </c>
      <c r="P263" s="3">
        <f t="shared" si="37"/>
        <v>0.90476190476190477</v>
      </c>
      <c r="Q263" s="3">
        <f t="shared" si="38"/>
        <v>0.61904761904761907</v>
      </c>
      <c r="R263" s="3">
        <f t="shared" si="39"/>
        <v>0.23809523809523808</v>
      </c>
      <c r="S263">
        <v>45</v>
      </c>
      <c r="T263" s="4">
        <v>0.08</v>
      </c>
      <c r="U263">
        <v>254</v>
      </c>
      <c r="V263">
        <v>742</v>
      </c>
    </row>
    <row r="264" spans="1:22">
      <c r="A264">
        <v>260</v>
      </c>
      <c r="B264" s="2">
        <v>46273</v>
      </c>
      <c r="C264" t="s">
        <v>40</v>
      </c>
      <c r="D264" t="s">
        <v>46</v>
      </c>
      <c r="E264" t="s">
        <v>45</v>
      </c>
      <c r="F264">
        <v>13</v>
      </c>
      <c r="G264">
        <v>6</v>
      </c>
      <c r="H264" t="str">
        <f t="shared" si="32"/>
        <v>Win</v>
      </c>
      <c r="I264">
        <f t="shared" si="33"/>
        <v>1</v>
      </c>
      <c r="J264">
        <f t="shared" si="34"/>
        <v>7</v>
      </c>
      <c r="K264">
        <f t="shared" si="35"/>
        <v>19</v>
      </c>
      <c r="L264">
        <v>25</v>
      </c>
      <c r="M264">
        <v>12</v>
      </c>
      <c r="N264">
        <v>7</v>
      </c>
      <c r="O264" s="3">
        <f t="shared" si="36"/>
        <v>2.0833333333333335</v>
      </c>
      <c r="P264" s="3">
        <f t="shared" si="37"/>
        <v>1.3157894736842106</v>
      </c>
      <c r="Q264" s="3">
        <f t="shared" si="38"/>
        <v>0.63157894736842102</v>
      </c>
      <c r="R264" s="3">
        <f t="shared" si="39"/>
        <v>0.36842105263157893</v>
      </c>
      <c r="S264">
        <v>108</v>
      </c>
      <c r="T264" s="4">
        <v>0.15</v>
      </c>
      <c r="U264">
        <v>358</v>
      </c>
      <c r="V264">
        <v>928</v>
      </c>
    </row>
    <row r="265" spans="1:22">
      <c r="A265">
        <v>261</v>
      </c>
      <c r="B265" s="2">
        <v>46273</v>
      </c>
      <c r="C265" t="s">
        <v>34</v>
      </c>
      <c r="D265" t="s">
        <v>24</v>
      </c>
      <c r="E265" t="s">
        <v>25</v>
      </c>
      <c r="F265">
        <v>5</v>
      </c>
      <c r="G265">
        <v>13</v>
      </c>
      <c r="H265" t="str">
        <f t="shared" si="32"/>
        <v>Loss</v>
      </c>
      <c r="I265">
        <f t="shared" si="33"/>
        <v>0</v>
      </c>
      <c r="J265">
        <f t="shared" si="34"/>
        <v>-8</v>
      </c>
      <c r="K265">
        <f t="shared" si="35"/>
        <v>18</v>
      </c>
      <c r="L265">
        <v>12</v>
      </c>
      <c r="M265">
        <v>16</v>
      </c>
      <c r="N265">
        <v>5</v>
      </c>
      <c r="O265" s="3">
        <f t="shared" si="36"/>
        <v>0.75</v>
      </c>
      <c r="P265" s="3">
        <f t="shared" si="37"/>
        <v>0.66666666666666663</v>
      </c>
      <c r="Q265" s="3">
        <f t="shared" si="38"/>
        <v>0.88888888888888884</v>
      </c>
      <c r="R265" s="3">
        <f t="shared" si="39"/>
        <v>0.27777777777777779</v>
      </c>
      <c r="S265">
        <v>5</v>
      </c>
      <c r="T265" s="4">
        <v>7.0000000000000007E-2</v>
      </c>
      <c r="U265">
        <v>213</v>
      </c>
      <c r="V265">
        <v>377</v>
      </c>
    </row>
    <row r="266" spans="1:22">
      <c r="A266">
        <v>262</v>
      </c>
      <c r="B266" s="2">
        <v>46273</v>
      </c>
      <c r="C266" t="s">
        <v>41</v>
      </c>
      <c r="D266" t="s">
        <v>46</v>
      </c>
      <c r="E266" t="s">
        <v>28</v>
      </c>
      <c r="F266">
        <v>10</v>
      </c>
      <c r="G266">
        <v>13</v>
      </c>
      <c r="H266" t="str">
        <f t="shared" si="32"/>
        <v>Loss</v>
      </c>
      <c r="I266">
        <f t="shared" si="33"/>
        <v>0</v>
      </c>
      <c r="J266">
        <f t="shared" si="34"/>
        <v>-3</v>
      </c>
      <c r="K266">
        <f t="shared" si="35"/>
        <v>23</v>
      </c>
      <c r="L266">
        <v>20</v>
      </c>
      <c r="M266">
        <v>18</v>
      </c>
      <c r="N266">
        <v>5</v>
      </c>
      <c r="O266" s="3">
        <f t="shared" si="36"/>
        <v>1.1111111111111112</v>
      </c>
      <c r="P266" s="3">
        <f t="shared" si="37"/>
        <v>0.86956521739130432</v>
      </c>
      <c r="Q266" s="3">
        <f t="shared" si="38"/>
        <v>0.78260869565217395</v>
      </c>
      <c r="R266" s="3">
        <f t="shared" si="39"/>
        <v>0.21739130434782608</v>
      </c>
      <c r="S266">
        <v>17</v>
      </c>
      <c r="T266" s="4">
        <v>0.1</v>
      </c>
      <c r="U266">
        <v>260</v>
      </c>
      <c r="V266">
        <v>664</v>
      </c>
    </row>
    <row r="267" spans="1:22">
      <c r="A267">
        <v>263</v>
      </c>
      <c r="B267" s="2">
        <v>46272</v>
      </c>
      <c r="C267" t="s">
        <v>23</v>
      </c>
      <c r="D267" t="s">
        <v>46</v>
      </c>
      <c r="E267" t="s">
        <v>51</v>
      </c>
      <c r="F267">
        <v>13</v>
      </c>
      <c r="G267">
        <v>5</v>
      </c>
      <c r="H267" t="str">
        <f t="shared" si="32"/>
        <v>Win</v>
      </c>
      <c r="I267">
        <f t="shared" si="33"/>
        <v>1</v>
      </c>
      <c r="J267">
        <f t="shared" si="34"/>
        <v>8</v>
      </c>
      <c r="K267">
        <f t="shared" si="35"/>
        <v>18</v>
      </c>
      <c r="L267">
        <v>18</v>
      </c>
      <c r="M267">
        <v>8</v>
      </c>
      <c r="N267">
        <v>5</v>
      </c>
      <c r="O267" s="3">
        <f t="shared" si="36"/>
        <v>2.25</v>
      </c>
      <c r="P267" s="3">
        <f t="shared" si="37"/>
        <v>1</v>
      </c>
      <c r="Q267" s="3">
        <f t="shared" si="38"/>
        <v>0.44444444444444442</v>
      </c>
      <c r="R267" s="3">
        <f t="shared" si="39"/>
        <v>0.27777777777777779</v>
      </c>
      <c r="S267">
        <v>91</v>
      </c>
      <c r="T267" s="4">
        <v>0.15</v>
      </c>
      <c r="U267">
        <v>277</v>
      </c>
      <c r="V267">
        <v>872</v>
      </c>
    </row>
    <row r="268" spans="1:22">
      <c r="A268">
        <v>264</v>
      </c>
      <c r="B268" s="2">
        <v>46272</v>
      </c>
      <c r="C268" t="s">
        <v>34</v>
      </c>
      <c r="D268" t="s">
        <v>31</v>
      </c>
      <c r="E268" t="s">
        <v>39</v>
      </c>
      <c r="F268">
        <v>2</v>
      </c>
      <c r="G268">
        <v>13</v>
      </c>
      <c r="H268" t="str">
        <f t="shared" si="32"/>
        <v>Loss</v>
      </c>
      <c r="I268">
        <f t="shared" si="33"/>
        <v>0</v>
      </c>
      <c r="J268">
        <f t="shared" si="34"/>
        <v>-11</v>
      </c>
      <c r="K268">
        <f t="shared" si="35"/>
        <v>15</v>
      </c>
      <c r="L268">
        <v>4</v>
      </c>
      <c r="M268">
        <v>14</v>
      </c>
      <c r="N268">
        <v>4</v>
      </c>
      <c r="O268" s="3">
        <f t="shared" si="36"/>
        <v>0.2857142857142857</v>
      </c>
      <c r="P268" s="3">
        <f t="shared" si="37"/>
        <v>0.26666666666666666</v>
      </c>
      <c r="Q268" s="3">
        <f t="shared" si="38"/>
        <v>0.93333333333333335</v>
      </c>
      <c r="R268" s="3">
        <f t="shared" si="39"/>
        <v>0.26666666666666666</v>
      </c>
      <c r="S268">
        <v>-90</v>
      </c>
      <c r="T268" s="4">
        <v>7.0000000000000007E-2</v>
      </c>
      <c r="U268">
        <v>98</v>
      </c>
      <c r="V268">
        <v>100</v>
      </c>
    </row>
    <row r="269" spans="1:22">
      <c r="A269">
        <v>265</v>
      </c>
      <c r="B269" s="2">
        <v>46272</v>
      </c>
      <c r="C269" t="s">
        <v>23</v>
      </c>
      <c r="D269" t="s">
        <v>37</v>
      </c>
      <c r="E269" t="s">
        <v>39</v>
      </c>
      <c r="F269">
        <v>13</v>
      </c>
      <c r="G269">
        <v>2</v>
      </c>
      <c r="H269" t="str">
        <f t="shared" si="32"/>
        <v>Win</v>
      </c>
      <c r="I269">
        <f t="shared" si="33"/>
        <v>1</v>
      </c>
      <c r="J269">
        <f t="shared" si="34"/>
        <v>11</v>
      </c>
      <c r="K269">
        <f t="shared" si="35"/>
        <v>15</v>
      </c>
      <c r="L269">
        <v>17</v>
      </c>
      <c r="M269">
        <v>6</v>
      </c>
      <c r="N269">
        <v>2</v>
      </c>
      <c r="O269" s="3">
        <f t="shared" si="36"/>
        <v>2.8333333333333335</v>
      </c>
      <c r="P269" s="3">
        <f t="shared" si="37"/>
        <v>1.1333333333333333</v>
      </c>
      <c r="Q269" s="3">
        <f t="shared" si="38"/>
        <v>0.4</v>
      </c>
      <c r="R269" s="3">
        <f t="shared" si="39"/>
        <v>0.13333333333333333</v>
      </c>
      <c r="S269">
        <v>94</v>
      </c>
      <c r="T269" s="4">
        <v>0.12</v>
      </c>
      <c r="U269">
        <v>290</v>
      </c>
      <c r="V269">
        <v>953</v>
      </c>
    </row>
    <row r="270" spans="1:22">
      <c r="A270">
        <v>266</v>
      </c>
      <c r="B270" s="2">
        <v>46271</v>
      </c>
      <c r="C270" t="s">
        <v>40</v>
      </c>
      <c r="D270" t="s">
        <v>30</v>
      </c>
      <c r="E270" t="s">
        <v>25</v>
      </c>
      <c r="F270">
        <v>10</v>
      </c>
      <c r="G270">
        <v>13</v>
      </c>
      <c r="H270" t="str">
        <f t="shared" si="32"/>
        <v>Loss</v>
      </c>
      <c r="I270">
        <f t="shared" si="33"/>
        <v>0</v>
      </c>
      <c r="J270">
        <f t="shared" si="34"/>
        <v>-3</v>
      </c>
      <c r="K270">
        <f t="shared" si="35"/>
        <v>23</v>
      </c>
      <c r="L270">
        <v>15</v>
      </c>
      <c r="M270">
        <v>15</v>
      </c>
      <c r="N270">
        <v>2</v>
      </c>
      <c r="O270" s="3">
        <f t="shared" si="36"/>
        <v>1</v>
      </c>
      <c r="P270" s="3">
        <f t="shared" si="37"/>
        <v>0.65217391304347827</v>
      </c>
      <c r="Q270" s="3">
        <f t="shared" si="38"/>
        <v>0.65217391304347827</v>
      </c>
      <c r="R270" s="3">
        <f t="shared" si="39"/>
        <v>8.6956521739130432E-2</v>
      </c>
      <c r="S270">
        <v>-18</v>
      </c>
      <c r="T270" s="4">
        <v>0.14000000000000001</v>
      </c>
      <c r="U270">
        <v>171</v>
      </c>
      <c r="V270">
        <v>534</v>
      </c>
    </row>
    <row r="271" spans="1:22">
      <c r="A271">
        <v>267</v>
      </c>
      <c r="B271" s="2">
        <v>46271</v>
      </c>
      <c r="C271" t="s">
        <v>35</v>
      </c>
      <c r="D271" t="s">
        <v>37</v>
      </c>
      <c r="E271" t="s">
        <v>51</v>
      </c>
      <c r="F271">
        <v>7</v>
      </c>
      <c r="G271">
        <v>13</v>
      </c>
      <c r="H271" t="str">
        <f t="shared" si="32"/>
        <v>Loss</v>
      </c>
      <c r="I271">
        <f t="shared" si="33"/>
        <v>0</v>
      </c>
      <c r="J271">
        <f t="shared" si="34"/>
        <v>-6</v>
      </c>
      <c r="K271">
        <f t="shared" si="35"/>
        <v>20</v>
      </c>
      <c r="L271">
        <v>15</v>
      </c>
      <c r="M271">
        <v>14</v>
      </c>
      <c r="N271">
        <v>3</v>
      </c>
      <c r="O271" s="3">
        <f t="shared" si="36"/>
        <v>1.0714285714285714</v>
      </c>
      <c r="P271" s="3">
        <f t="shared" si="37"/>
        <v>0.75</v>
      </c>
      <c r="Q271" s="3">
        <f t="shared" si="38"/>
        <v>0.7</v>
      </c>
      <c r="R271" s="3">
        <f t="shared" si="39"/>
        <v>0.15</v>
      </c>
      <c r="S271">
        <v>22</v>
      </c>
      <c r="T271" s="4">
        <v>0.08</v>
      </c>
      <c r="U271">
        <v>217</v>
      </c>
      <c r="V271">
        <v>582</v>
      </c>
    </row>
    <row r="272" spans="1:22">
      <c r="A272">
        <v>268</v>
      </c>
      <c r="B272" s="2">
        <v>46271</v>
      </c>
      <c r="C272" t="s">
        <v>41</v>
      </c>
      <c r="D272" t="s">
        <v>24</v>
      </c>
      <c r="E272" t="s">
        <v>28</v>
      </c>
      <c r="F272">
        <v>3</v>
      </c>
      <c r="G272">
        <v>13</v>
      </c>
      <c r="H272" t="str">
        <f t="shared" si="32"/>
        <v>Loss</v>
      </c>
      <c r="I272">
        <f t="shared" si="33"/>
        <v>0</v>
      </c>
      <c r="J272">
        <f t="shared" si="34"/>
        <v>-10</v>
      </c>
      <c r="K272">
        <f t="shared" si="35"/>
        <v>16</v>
      </c>
      <c r="L272">
        <v>7</v>
      </c>
      <c r="M272">
        <v>13</v>
      </c>
      <c r="N272">
        <v>3</v>
      </c>
      <c r="O272" s="3">
        <f t="shared" si="36"/>
        <v>0.53846153846153844</v>
      </c>
      <c r="P272" s="3">
        <f t="shared" si="37"/>
        <v>0.4375</v>
      </c>
      <c r="Q272" s="3">
        <f t="shared" si="38"/>
        <v>0.8125</v>
      </c>
      <c r="R272" s="3">
        <f t="shared" si="39"/>
        <v>0.1875</v>
      </c>
      <c r="S272">
        <v>-33</v>
      </c>
      <c r="T272" s="4">
        <v>0.21</v>
      </c>
      <c r="U272">
        <v>164</v>
      </c>
      <c r="V272">
        <v>184</v>
      </c>
    </row>
    <row r="273" spans="1:22">
      <c r="A273">
        <v>269</v>
      </c>
      <c r="B273" s="2">
        <v>46271</v>
      </c>
      <c r="C273" t="s">
        <v>35</v>
      </c>
      <c r="D273" t="s">
        <v>36</v>
      </c>
      <c r="E273" t="s">
        <v>25</v>
      </c>
      <c r="F273">
        <v>13</v>
      </c>
      <c r="G273">
        <v>2</v>
      </c>
      <c r="H273" t="str">
        <f t="shared" si="32"/>
        <v>Win</v>
      </c>
      <c r="I273">
        <f t="shared" si="33"/>
        <v>1</v>
      </c>
      <c r="J273">
        <f t="shared" si="34"/>
        <v>11</v>
      </c>
      <c r="K273">
        <f t="shared" si="35"/>
        <v>15</v>
      </c>
      <c r="L273">
        <v>13</v>
      </c>
      <c r="M273">
        <v>10</v>
      </c>
      <c r="N273">
        <v>4</v>
      </c>
      <c r="O273" s="3">
        <f t="shared" si="36"/>
        <v>1.3</v>
      </c>
      <c r="P273" s="3">
        <f t="shared" si="37"/>
        <v>0.8666666666666667</v>
      </c>
      <c r="Q273" s="3">
        <f t="shared" si="38"/>
        <v>0.66666666666666663</v>
      </c>
      <c r="R273" s="3">
        <f t="shared" si="39"/>
        <v>0.26666666666666666</v>
      </c>
      <c r="S273">
        <v>32</v>
      </c>
      <c r="T273" s="4">
        <v>0.19</v>
      </c>
      <c r="U273">
        <v>219</v>
      </c>
      <c r="V273">
        <v>810</v>
      </c>
    </row>
    <row r="274" spans="1:22">
      <c r="A274">
        <v>270</v>
      </c>
      <c r="B274" s="2">
        <v>46271</v>
      </c>
      <c r="C274" t="s">
        <v>26</v>
      </c>
      <c r="D274" t="s">
        <v>37</v>
      </c>
      <c r="E274" t="s">
        <v>28</v>
      </c>
      <c r="F274">
        <v>13</v>
      </c>
      <c r="G274">
        <v>8</v>
      </c>
      <c r="H274" t="str">
        <f t="shared" si="32"/>
        <v>Win</v>
      </c>
      <c r="I274">
        <f t="shared" si="33"/>
        <v>1</v>
      </c>
      <c r="J274">
        <f t="shared" si="34"/>
        <v>5</v>
      </c>
      <c r="K274">
        <f t="shared" si="35"/>
        <v>21</v>
      </c>
      <c r="L274">
        <v>20</v>
      </c>
      <c r="M274">
        <v>17</v>
      </c>
      <c r="N274">
        <v>2</v>
      </c>
      <c r="O274" s="3">
        <f t="shared" si="36"/>
        <v>1.1764705882352942</v>
      </c>
      <c r="P274" s="3">
        <f t="shared" si="37"/>
        <v>0.95238095238095233</v>
      </c>
      <c r="Q274" s="3">
        <f t="shared" si="38"/>
        <v>0.80952380952380953</v>
      </c>
      <c r="R274" s="3">
        <f t="shared" si="39"/>
        <v>9.5238095238095233E-2</v>
      </c>
      <c r="S274">
        <v>15</v>
      </c>
      <c r="T274" s="4">
        <v>0.14000000000000001</v>
      </c>
      <c r="U274">
        <v>268</v>
      </c>
      <c r="V274">
        <v>769</v>
      </c>
    </row>
    <row r="275" spans="1:22">
      <c r="A275">
        <v>271</v>
      </c>
      <c r="B275" s="2">
        <v>46271</v>
      </c>
      <c r="C275" t="s">
        <v>23</v>
      </c>
      <c r="D275" t="s">
        <v>46</v>
      </c>
      <c r="E275" t="s">
        <v>39</v>
      </c>
      <c r="F275">
        <v>7</v>
      </c>
      <c r="G275">
        <v>13</v>
      </c>
      <c r="H275" t="str">
        <f t="shared" si="32"/>
        <v>Loss</v>
      </c>
      <c r="I275">
        <f t="shared" si="33"/>
        <v>0</v>
      </c>
      <c r="J275">
        <f t="shared" si="34"/>
        <v>-6</v>
      </c>
      <c r="K275">
        <f t="shared" si="35"/>
        <v>20</v>
      </c>
      <c r="L275">
        <v>24</v>
      </c>
      <c r="M275">
        <v>16</v>
      </c>
      <c r="N275">
        <v>2</v>
      </c>
      <c r="O275" s="3">
        <f t="shared" si="36"/>
        <v>1.5</v>
      </c>
      <c r="P275" s="3">
        <f t="shared" si="37"/>
        <v>1.2</v>
      </c>
      <c r="Q275" s="3">
        <f t="shared" si="38"/>
        <v>0.8</v>
      </c>
      <c r="R275" s="3">
        <f t="shared" si="39"/>
        <v>0.1</v>
      </c>
      <c r="S275">
        <v>45</v>
      </c>
      <c r="T275" s="4">
        <v>0.1</v>
      </c>
      <c r="U275">
        <v>340</v>
      </c>
      <c r="V275">
        <v>644</v>
      </c>
    </row>
    <row r="276" spans="1:22">
      <c r="A276">
        <v>272</v>
      </c>
      <c r="B276" s="2">
        <v>46271</v>
      </c>
      <c r="C276" t="s">
        <v>40</v>
      </c>
      <c r="D276" t="s">
        <v>46</v>
      </c>
      <c r="E276" t="s">
        <v>45</v>
      </c>
      <c r="F276">
        <v>13</v>
      </c>
      <c r="G276">
        <v>6</v>
      </c>
      <c r="H276" t="str">
        <f t="shared" si="32"/>
        <v>Win</v>
      </c>
      <c r="I276">
        <f t="shared" si="33"/>
        <v>1</v>
      </c>
      <c r="J276">
        <f t="shared" si="34"/>
        <v>7</v>
      </c>
      <c r="K276">
        <f t="shared" si="35"/>
        <v>19</v>
      </c>
      <c r="L276">
        <v>17</v>
      </c>
      <c r="M276">
        <v>11</v>
      </c>
      <c r="N276">
        <v>3</v>
      </c>
      <c r="O276" s="3">
        <f t="shared" si="36"/>
        <v>1.5454545454545454</v>
      </c>
      <c r="P276" s="3">
        <f t="shared" si="37"/>
        <v>0.89473684210526316</v>
      </c>
      <c r="Q276" s="3">
        <f t="shared" si="38"/>
        <v>0.57894736842105265</v>
      </c>
      <c r="R276" s="3">
        <f t="shared" si="39"/>
        <v>0.15789473684210525</v>
      </c>
      <c r="S276">
        <v>37</v>
      </c>
      <c r="T276" s="4">
        <v>0.13</v>
      </c>
      <c r="U276">
        <v>243</v>
      </c>
      <c r="V276">
        <v>837</v>
      </c>
    </row>
    <row r="277" spans="1:22">
      <c r="A277">
        <v>273</v>
      </c>
      <c r="B277" s="2">
        <v>46270</v>
      </c>
      <c r="C277" t="s">
        <v>29</v>
      </c>
      <c r="D277" t="s">
        <v>31</v>
      </c>
      <c r="E277" t="s">
        <v>25</v>
      </c>
      <c r="F277">
        <v>6</v>
      </c>
      <c r="G277">
        <v>13</v>
      </c>
      <c r="H277" t="str">
        <f t="shared" si="32"/>
        <v>Loss</v>
      </c>
      <c r="I277">
        <f t="shared" si="33"/>
        <v>0</v>
      </c>
      <c r="J277">
        <f t="shared" si="34"/>
        <v>-7</v>
      </c>
      <c r="K277">
        <f t="shared" si="35"/>
        <v>19</v>
      </c>
      <c r="L277">
        <v>10</v>
      </c>
      <c r="M277">
        <v>15</v>
      </c>
      <c r="N277">
        <v>3</v>
      </c>
      <c r="O277" s="3">
        <f t="shared" si="36"/>
        <v>0.66666666666666663</v>
      </c>
      <c r="P277" s="3">
        <f t="shared" si="37"/>
        <v>0.52631578947368418</v>
      </c>
      <c r="Q277" s="3">
        <f t="shared" si="38"/>
        <v>0.78947368421052633</v>
      </c>
      <c r="R277" s="3">
        <f t="shared" si="39"/>
        <v>0.15789473684210525</v>
      </c>
      <c r="S277">
        <v>-39</v>
      </c>
      <c r="T277" s="4">
        <v>0.14000000000000001</v>
      </c>
      <c r="U277">
        <v>138</v>
      </c>
      <c r="V277">
        <v>318</v>
      </c>
    </row>
    <row r="278" spans="1:22">
      <c r="A278">
        <v>274</v>
      </c>
      <c r="B278" s="2">
        <v>46270</v>
      </c>
      <c r="C278" t="s">
        <v>34</v>
      </c>
      <c r="D278" t="s">
        <v>24</v>
      </c>
      <c r="E278" t="s">
        <v>25</v>
      </c>
      <c r="F278">
        <v>10</v>
      </c>
      <c r="G278">
        <v>13</v>
      </c>
      <c r="H278" t="str">
        <f t="shared" si="32"/>
        <v>Loss</v>
      </c>
      <c r="I278">
        <f t="shared" si="33"/>
        <v>0</v>
      </c>
      <c r="J278">
        <f t="shared" si="34"/>
        <v>-3</v>
      </c>
      <c r="K278">
        <f t="shared" si="35"/>
        <v>23</v>
      </c>
      <c r="L278">
        <v>14</v>
      </c>
      <c r="M278">
        <v>14</v>
      </c>
      <c r="N278">
        <v>1</v>
      </c>
      <c r="O278" s="3">
        <f t="shared" si="36"/>
        <v>1</v>
      </c>
      <c r="P278" s="3">
        <f t="shared" si="37"/>
        <v>0.60869565217391308</v>
      </c>
      <c r="Q278" s="3">
        <f t="shared" si="38"/>
        <v>0.60869565217391308</v>
      </c>
      <c r="R278" s="3">
        <f t="shared" si="39"/>
        <v>4.3478260869565216E-2</v>
      </c>
      <c r="S278">
        <v>-11</v>
      </c>
      <c r="T278" s="4">
        <v>0.12</v>
      </c>
      <c r="U278">
        <v>158</v>
      </c>
      <c r="V278">
        <v>334</v>
      </c>
    </row>
    <row r="279" spans="1:22">
      <c r="A279">
        <v>275</v>
      </c>
      <c r="B279" s="2">
        <v>46270</v>
      </c>
      <c r="C279" t="s">
        <v>26</v>
      </c>
      <c r="D279" t="s">
        <v>37</v>
      </c>
      <c r="E279" t="s">
        <v>47</v>
      </c>
      <c r="F279">
        <v>13</v>
      </c>
      <c r="G279">
        <v>9</v>
      </c>
      <c r="H279" t="str">
        <f t="shared" si="32"/>
        <v>Win</v>
      </c>
      <c r="I279">
        <f t="shared" si="33"/>
        <v>1</v>
      </c>
      <c r="J279">
        <f t="shared" si="34"/>
        <v>4</v>
      </c>
      <c r="K279">
        <f t="shared" si="35"/>
        <v>22</v>
      </c>
      <c r="L279">
        <v>18</v>
      </c>
      <c r="M279">
        <v>17</v>
      </c>
      <c r="N279">
        <v>4</v>
      </c>
      <c r="O279" s="3">
        <f t="shared" si="36"/>
        <v>1.0588235294117647</v>
      </c>
      <c r="P279" s="3">
        <f t="shared" si="37"/>
        <v>0.81818181818181823</v>
      </c>
      <c r="Q279" s="3">
        <f t="shared" si="38"/>
        <v>0.77272727272727271</v>
      </c>
      <c r="R279" s="3">
        <f t="shared" si="39"/>
        <v>0.18181818181818182</v>
      </c>
      <c r="S279">
        <v>-8</v>
      </c>
      <c r="T279" s="4">
        <v>0.13</v>
      </c>
      <c r="U279">
        <v>217</v>
      </c>
      <c r="V279">
        <v>659</v>
      </c>
    </row>
    <row r="280" spans="1:22">
      <c r="A280">
        <v>276</v>
      </c>
      <c r="B280" s="2">
        <v>46270</v>
      </c>
      <c r="C280" t="s">
        <v>35</v>
      </c>
      <c r="D280" t="s">
        <v>30</v>
      </c>
      <c r="E280" t="s">
        <v>25</v>
      </c>
      <c r="F280">
        <v>13</v>
      </c>
      <c r="G280">
        <v>10</v>
      </c>
      <c r="H280" t="str">
        <f t="shared" si="32"/>
        <v>Win</v>
      </c>
      <c r="I280">
        <f t="shared" si="33"/>
        <v>1</v>
      </c>
      <c r="J280">
        <f t="shared" si="34"/>
        <v>3</v>
      </c>
      <c r="K280">
        <f t="shared" si="35"/>
        <v>23</v>
      </c>
      <c r="L280">
        <v>11</v>
      </c>
      <c r="M280">
        <v>17</v>
      </c>
      <c r="N280">
        <v>8</v>
      </c>
      <c r="O280" s="3">
        <f t="shared" si="36"/>
        <v>0.6470588235294118</v>
      </c>
      <c r="P280" s="3">
        <f t="shared" si="37"/>
        <v>0.47826086956521741</v>
      </c>
      <c r="Q280" s="3">
        <f t="shared" si="38"/>
        <v>0.73913043478260865</v>
      </c>
      <c r="R280" s="3">
        <f t="shared" si="39"/>
        <v>0.34782608695652173</v>
      </c>
      <c r="S280">
        <v>-20</v>
      </c>
      <c r="T280" s="4">
        <v>0.15</v>
      </c>
      <c r="U280">
        <v>150</v>
      </c>
      <c r="V280">
        <v>477</v>
      </c>
    </row>
    <row r="281" spans="1:22">
      <c r="A281">
        <v>277</v>
      </c>
      <c r="B281" s="2">
        <v>46270</v>
      </c>
      <c r="C281" t="s">
        <v>35</v>
      </c>
      <c r="D281" t="s">
        <v>37</v>
      </c>
      <c r="E281" t="s">
        <v>25</v>
      </c>
      <c r="F281">
        <v>2</v>
      </c>
      <c r="G281">
        <v>13</v>
      </c>
      <c r="H281" t="str">
        <f t="shared" si="32"/>
        <v>Loss</v>
      </c>
      <c r="I281">
        <f t="shared" si="33"/>
        <v>0</v>
      </c>
      <c r="J281">
        <f t="shared" si="34"/>
        <v>-11</v>
      </c>
      <c r="K281">
        <f t="shared" si="35"/>
        <v>15</v>
      </c>
      <c r="L281">
        <v>9</v>
      </c>
      <c r="M281">
        <v>12</v>
      </c>
      <c r="N281">
        <v>5</v>
      </c>
      <c r="O281" s="3">
        <f t="shared" si="36"/>
        <v>0.75</v>
      </c>
      <c r="P281" s="3">
        <f t="shared" si="37"/>
        <v>0.6</v>
      </c>
      <c r="Q281" s="3">
        <f t="shared" si="38"/>
        <v>0.8</v>
      </c>
      <c r="R281" s="3">
        <f t="shared" si="39"/>
        <v>0.33333333333333331</v>
      </c>
      <c r="S281">
        <v>-50</v>
      </c>
      <c r="T281" s="4">
        <v>0.13</v>
      </c>
      <c r="U281">
        <v>192</v>
      </c>
      <c r="V281">
        <v>194</v>
      </c>
    </row>
    <row r="282" spans="1:22">
      <c r="A282">
        <v>278</v>
      </c>
      <c r="B282" s="2">
        <v>46270</v>
      </c>
      <c r="C282" t="s">
        <v>29</v>
      </c>
      <c r="D282" t="s">
        <v>31</v>
      </c>
      <c r="E282" t="s">
        <v>25</v>
      </c>
      <c r="F282">
        <v>10</v>
      </c>
      <c r="G282">
        <v>13</v>
      </c>
      <c r="H282" t="str">
        <f t="shared" si="32"/>
        <v>Loss</v>
      </c>
      <c r="I282">
        <f t="shared" si="33"/>
        <v>0</v>
      </c>
      <c r="J282">
        <f t="shared" si="34"/>
        <v>-3</v>
      </c>
      <c r="K282">
        <f t="shared" si="35"/>
        <v>23</v>
      </c>
      <c r="L282">
        <v>11</v>
      </c>
      <c r="M282">
        <v>18</v>
      </c>
      <c r="N282">
        <v>4</v>
      </c>
      <c r="O282" s="3">
        <f t="shared" si="36"/>
        <v>0.61111111111111116</v>
      </c>
      <c r="P282" s="3">
        <f t="shared" si="37"/>
        <v>0.47826086956521741</v>
      </c>
      <c r="Q282" s="3">
        <f t="shared" si="38"/>
        <v>0.78260869565217395</v>
      </c>
      <c r="R282" s="3">
        <f t="shared" si="39"/>
        <v>0.17391304347826086</v>
      </c>
      <c r="S282">
        <v>-54</v>
      </c>
      <c r="T282" s="4">
        <v>0.24</v>
      </c>
      <c r="U282">
        <v>143</v>
      </c>
      <c r="V282">
        <v>234</v>
      </c>
    </row>
    <row r="283" spans="1:22">
      <c r="A283">
        <v>279</v>
      </c>
      <c r="B283" s="2">
        <v>46270</v>
      </c>
      <c r="C283" t="s">
        <v>29</v>
      </c>
      <c r="D283" t="s">
        <v>46</v>
      </c>
      <c r="E283" t="s">
        <v>25</v>
      </c>
      <c r="F283">
        <v>13</v>
      </c>
      <c r="G283">
        <v>10</v>
      </c>
      <c r="H283" t="str">
        <f t="shared" si="32"/>
        <v>Win</v>
      </c>
      <c r="I283">
        <f t="shared" si="33"/>
        <v>1</v>
      </c>
      <c r="J283">
        <f t="shared" si="34"/>
        <v>3</v>
      </c>
      <c r="K283">
        <f t="shared" si="35"/>
        <v>23</v>
      </c>
      <c r="L283">
        <v>22</v>
      </c>
      <c r="M283">
        <v>16</v>
      </c>
      <c r="N283">
        <v>8</v>
      </c>
      <c r="O283" s="3">
        <f t="shared" si="36"/>
        <v>1.375</v>
      </c>
      <c r="P283" s="3">
        <f t="shared" si="37"/>
        <v>0.95652173913043481</v>
      </c>
      <c r="Q283" s="3">
        <f t="shared" si="38"/>
        <v>0.69565217391304346</v>
      </c>
      <c r="R283" s="3">
        <f t="shared" si="39"/>
        <v>0.34782608695652173</v>
      </c>
      <c r="S283">
        <v>28</v>
      </c>
      <c r="T283" s="4">
        <v>0.22</v>
      </c>
      <c r="U283">
        <v>268</v>
      </c>
      <c r="V283">
        <v>835</v>
      </c>
    </row>
    <row r="284" spans="1:22">
      <c r="A284">
        <v>280</v>
      </c>
      <c r="B284" s="2">
        <v>46269</v>
      </c>
      <c r="C284" t="s">
        <v>40</v>
      </c>
      <c r="D284" t="s">
        <v>36</v>
      </c>
      <c r="E284" t="s">
        <v>25</v>
      </c>
      <c r="F284">
        <v>10</v>
      </c>
      <c r="G284">
        <v>13</v>
      </c>
      <c r="H284" t="str">
        <f t="shared" si="32"/>
        <v>Loss</v>
      </c>
      <c r="I284">
        <f t="shared" si="33"/>
        <v>0</v>
      </c>
      <c r="J284">
        <f t="shared" si="34"/>
        <v>-3</v>
      </c>
      <c r="K284">
        <f t="shared" si="35"/>
        <v>23</v>
      </c>
      <c r="L284">
        <v>16</v>
      </c>
      <c r="M284">
        <v>18</v>
      </c>
      <c r="N284">
        <v>1</v>
      </c>
      <c r="O284" s="3">
        <f t="shared" si="36"/>
        <v>0.88888888888888884</v>
      </c>
      <c r="P284" s="3">
        <f t="shared" si="37"/>
        <v>0.69565217391304346</v>
      </c>
      <c r="Q284" s="3">
        <f t="shared" si="38"/>
        <v>0.78260869565217395</v>
      </c>
      <c r="R284" s="3">
        <f t="shared" si="39"/>
        <v>4.3478260869565216E-2</v>
      </c>
      <c r="S284">
        <v>4</v>
      </c>
      <c r="T284" s="4">
        <v>0.19</v>
      </c>
      <c r="U284">
        <v>200</v>
      </c>
      <c r="V284">
        <v>388</v>
      </c>
    </row>
    <row r="285" spans="1:22">
      <c r="A285">
        <v>281</v>
      </c>
      <c r="B285" s="2">
        <v>46269</v>
      </c>
      <c r="C285" t="s">
        <v>41</v>
      </c>
      <c r="D285" t="s">
        <v>46</v>
      </c>
      <c r="E285" t="s">
        <v>28</v>
      </c>
      <c r="F285">
        <v>13</v>
      </c>
      <c r="G285">
        <v>7</v>
      </c>
      <c r="H285" t="str">
        <f t="shared" si="32"/>
        <v>Win</v>
      </c>
      <c r="I285">
        <f t="shared" si="33"/>
        <v>1</v>
      </c>
      <c r="J285">
        <f t="shared" si="34"/>
        <v>6</v>
      </c>
      <c r="K285">
        <f t="shared" si="35"/>
        <v>20</v>
      </c>
      <c r="L285">
        <v>18</v>
      </c>
      <c r="M285">
        <v>15</v>
      </c>
      <c r="N285">
        <v>10</v>
      </c>
      <c r="O285" s="3">
        <f t="shared" si="36"/>
        <v>1.2</v>
      </c>
      <c r="P285" s="3">
        <f t="shared" si="37"/>
        <v>0.9</v>
      </c>
      <c r="Q285" s="3">
        <f t="shared" si="38"/>
        <v>0.75</v>
      </c>
      <c r="R285" s="3">
        <f t="shared" si="39"/>
        <v>0.5</v>
      </c>
      <c r="S285">
        <v>26</v>
      </c>
      <c r="T285" s="4">
        <v>0.05</v>
      </c>
      <c r="U285">
        <v>276</v>
      </c>
      <c r="V285">
        <v>781</v>
      </c>
    </row>
    <row r="286" spans="1:22">
      <c r="A286">
        <v>282</v>
      </c>
      <c r="B286" s="2">
        <v>46269</v>
      </c>
      <c r="C286" t="s">
        <v>26</v>
      </c>
      <c r="D286" t="s">
        <v>46</v>
      </c>
      <c r="E286" t="s">
        <v>25</v>
      </c>
      <c r="F286">
        <v>14</v>
      </c>
      <c r="G286">
        <v>12</v>
      </c>
      <c r="H286" t="str">
        <f t="shared" si="32"/>
        <v>Win</v>
      </c>
      <c r="I286">
        <f t="shared" si="33"/>
        <v>1</v>
      </c>
      <c r="J286">
        <f t="shared" si="34"/>
        <v>2</v>
      </c>
      <c r="K286">
        <f t="shared" si="35"/>
        <v>26</v>
      </c>
      <c r="L286">
        <v>24</v>
      </c>
      <c r="M286">
        <v>22</v>
      </c>
      <c r="N286">
        <v>6</v>
      </c>
      <c r="O286" s="3">
        <f t="shared" si="36"/>
        <v>1.0909090909090908</v>
      </c>
      <c r="P286" s="3">
        <f t="shared" si="37"/>
        <v>0.92307692307692313</v>
      </c>
      <c r="Q286" s="3">
        <f t="shared" si="38"/>
        <v>0.84615384615384615</v>
      </c>
      <c r="R286" s="3">
        <f t="shared" si="39"/>
        <v>0.23076923076923078</v>
      </c>
      <c r="S286">
        <v>11</v>
      </c>
      <c r="T286" s="4">
        <v>0.15</v>
      </c>
      <c r="U286">
        <v>274</v>
      </c>
      <c r="V286">
        <v>706</v>
      </c>
    </row>
    <row r="287" spans="1:22">
      <c r="A287">
        <v>283</v>
      </c>
      <c r="B287" s="2">
        <v>46269</v>
      </c>
      <c r="C287" t="s">
        <v>34</v>
      </c>
      <c r="D287" t="s">
        <v>30</v>
      </c>
      <c r="E287" t="s">
        <v>25</v>
      </c>
      <c r="F287">
        <v>2</v>
      </c>
      <c r="G287">
        <v>13</v>
      </c>
      <c r="H287" t="str">
        <f t="shared" si="32"/>
        <v>Loss</v>
      </c>
      <c r="I287">
        <f t="shared" si="33"/>
        <v>0</v>
      </c>
      <c r="J287">
        <f t="shared" si="34"/>
        <v>-11</v>
      </c>
      <c r="K287">
        <f t="shared" si="35"/>
        <v>15</v>
      </c>
      <c r="L287">
        <v>7</v>
      </c>
      <c r="M287">
        <v>13</v>
      </c>
      <c r="N287">
        <v>0</v>
      </c>
      <c r="O287" s="3">
        <f t="shared" si="36"/>
        <v>0.53846153846153844</v>
      </c>
      <c r="P287" s="3">
        <f t="shared" si="37"/>
        <v>0.46666666666666667</v>
      </c>
      <c r="Q287" s="3">
        <f t="shared" si="38"/>
        <v>0.8666666666666667</v>
      </c>
      <c r="R287" s="3">
        <f t="shared" si="39"/>
        <v>0</v>
      </c>
      <c r="S287">
        <v>-46</v>
      </c>
      <c r="T287" s="4">
        <v>0.23</v>
      </c>
      <c r="U287">
        <v>153</v>
      </c>
      <c r="V287">
        <v>130</v>
      </c>
    </row>
    <row r="288" spans="1:22">
      <c r="A288">
        <v>284</v>
      </c>
      <c r="B288" s="2">
        <v>46269</v>
      </c>
      <c r="C288" t="s">
        <v>29</v>
      </c>
      <c r="D288" t="s">
        <v>24</v>
      </c>
      <c r="E288" t="s">
        <v>25</v>
      </c>
      <c r="F288">
        <v>13</v>
      </c>
      <c r="G288">
        <v>9</v>
      </c>
      <c r="H288" t="str">
        <f t="shared" si="32"/>
        <v>Win</v>
      </c>
      <c r="I288">
        <f t="shared" si="33"/>
        <v>1</v>
      </c>
      <c r="J288">
        <f t="shared" si="34"/>
        <v>4</v>
      </c>
      <c r="K288">
        <f t="shared" si="35"/>
        <v>22</v>
      </c>
      <c r="L288">
        <v>14</v>
      </c>
      <c r="M288">
        <v>15</v>
      </c>
      <c r="N288">
        <v>5</v>
      </c>
      <c r="O288" s="3">
        <f t="shared" si="36"/>
        <v>0.93333333333333335</v>
      </c>
      <c r="P288" s="3">
        <f t="shared" si="37"/>
        <v>0.63636363636363635</v>
      </c>
      <c r="Q288" s="3">
        <f t="shared" si="38"/>
        <v>0.68181818181818177</v>
      </c>
      <c r="R288" s="3">
        <f t="shared" si="39"/>
        <v>0.22727272727272727</v>
      </c>
      <c r="S288">
        <v>10</v>
      </c>
      <c r="T288" s="4">
        <v>0.18</v>
      </c>
      <c r="U288">
        <v>183</v>
      </c>
      <c r="V288">
        <v>483</v>
      </c>
    </row>
    <row r="289" spans="1:22">
      <c r="A289">
        <v>285</v>
      </c>
      <c r="B289" s="2">
        <v>46269</v>
      </c>
      <c r="C289" t="s">
        <v>40</v>
      </c>
      <c r="D289" t="s">
        <v>32</v>
      </c>
      <c r="E289" t="s">
        <v>25</v>
      </c>
      <c r="F289">
        <v>4</v>
      </c>
      <c r="G289">
        <v>13</v>
      </c>
      <c r="H289" t="str">
        <f t="shared" si="32"/>
        <v>Loss</v>
      </c>
      <c r="I289">
        <f t="shared" si="33"/>
        <v>0</v>
      </c>
      <c r="J289">
        <f t="shared" si="34"/>
        <v>-9</v>
      </c>
      <c r="K289">
        <f t="shared" si="35"/>
        <v>17</v>
      </c>
      <c r="L289">
        <v>4</v>
      </c>
      <c r="M289">
        <v>15</v>
      </c>
      <c r="N289">
        <v>2</v>
      </c>
      <c r="O289" s="3">
        <f t="shared" si="36"/>
        <v>0.26666666666666666</v>
      </c>
      <c r="P289" s="3">
        <f t="shared" si="37"/>
        <v>0.23529411764705882</v>
      </c>
      <c r="Q289" s="3">
        <f t="shared" si="38"/>
        <v>0.88235294117647056</v>
      </c>
      <c r="R289" s="3">
        <f t="shared" si="39"/>
        <v>0.11764705882352941</v>
      </c>
      <c r="S289">
        <v>-96</v>
      </c>
      <c r="T289" s="4">
        <v>0.08</v>
      </c>
      <c r="U289">
        <v>87</v>
      </c>
      <c r="V289">
        <v>100</v>
      </c>
    </row>
    <row r="290" spans="1:22">
      <c r="A290">
        <v>286</v>
      </c>
      <c r="B290" s="2">
        <v>46269</v>
      </c>
      <c r="C290" t="s">
        <v>35</v>
      </c>
      <c r="D290" t="s">
        <v>36</v>
      </c>
      <c r="E290" t="s">
        <v>25</v>
      </c>
      <c r="F290">
        <v>10</v>
      </c>
      <c r="G290">
        <v>13</v>
      </c>
      <c r="H290" t="str">
        <f t="shared" si="32"/>
        <v>Loss</v>
      </c>
      <c r="I290">
        <f t="shared" si="33"/>
        <v>0</v>
      </c>
      <c r="J290">
        <f t="shared" si="34"/>
        <v>-3</v>
      </c>
      <c r="K290">
        <f t="shared" si="35"/>
        <v>23</v>
      </c>
      <c r="L290">
        <v>14</v>
      </c>
      <c r="M290">
        <v>18</v>
      </c>
      <c r="N290">
        <v>5</v>
      </c>
      <c r="O290" s="3">
        <f t="shared" si="36"/>
        <v>0.77777777777777779</v>
      </c>
      <c r="P290" s="3">
        <f t="shared" si="37"/>
        <v>0.60869565217391308</v>
      </c>
      <c r="Q290" s="3">
        <f t="shared" si="38"/>
        <v>0.78260869565217395</v>
      </c>
      <c r="R290" s="3">
        <f t="shared" si="39"/>
        <v>0.21739130434782608</v>
      </c>
      <c r="S290">
        <v>-27</v>
      </c>
      <c r="T290" s="4">
        <v>0.17</v>
      </c>
      <c r="U290">
        <v>175</v>
      </c>
      <c r="V290">
        <v>284</v>
      </c>
    </row>
    <row r="291" spans="1:22">
      <c r="A291">
        <v>287</v>
      </c>
      <c r="B291" s="2">
        <v>46267</v>
      </c>
      <c r="C291" t="s">
        <v>35</v>
      </c>
      <c r="D291" t="s">
        <v>24</v>
      </c>
      <c r="E291" t="s">
        <v>25</v>
      </c>
      <c r="F291">
        <v>13</v>
      </c>
      <c r="G291">
        <v>10</v>
      </c>
      <c r="H291" t="str">
        <f t="shared" si="32"/>
        <v>Win</v>
      </c>
      <c r="I291">
        <f t="shared" si="33"/>
        <v>1</v>
      </c>
      <c r="J291">
        <f t="shared" si="34"/>
        <v>3</v>
      </c>
      <c r="K291">
        <f t="shared" si="35"/>
        <v>23</v>
      </c>
      <c r="L291">
        <v>13</v>
      </c>
      <c r="M291">
        <v>16</v>
      </c>
      <c r="N291">
        <v>3</v>
      </c>
      <c r="O291" s="3">
        <f t="shared" si="36"/>
        <v>0.8125</v>
      </c>
      <c r="P291" s="3">
        <f t="shared" si="37"/>
        <v>0.56521739130434778</v>
      </c>
      <c r="Q291" s="3">
        <f t="shared" si="38"/>
        <v>0.69565217391304346</v>
      </c>
      <c r="R291" s="3">
        <f t="shared" si="39"/>
        <v>0.13043478260869565</v>
      </c>
      <c r="S291">
        <v>-30</v>
      </c>
      <c r="T291" s="4">
        <v>0.22</v>
      </c>
      <c r="U291">
        <v>143</v>
      </c>
      <c r="V291">
        <v>316</v>
      </c>
    </row>
    <row r="292" spans="1:22">
      <c r="A292">
        <v>288</v>
      </c>
      <c r="B292" s="2">
        <v>46267</v>
      </c>
      <c r="C292" t="s">
        <v>41</v>
      </c>
      <c r="D292" t="s">
        <v>36</v>
      </c>
      <c r="E292" t="s">
        <v>28</v>
      </c>
      <c r="F292">
        <v>14</v>
      </c>
      <c r="G292">
        <v>12</v>
      </c>
      <c r="H292" t="str">
        <f t="shared" si="32"/>
        <v>Win</v>
      </c>
      <c r="I292">
        <f t="shared" si="33"/>
        <v>1</v>
      </c>
      <c r="J292">
        <f t="shared" si="34"/>
        <v>2</v>
      </c>
      <c r="K292">
        <f t="shared" si="35"/>
        <v>26</v>
      </c>
      <c r="L292">
        <v>19</v>
      </c>
      <c r="M292">
        <v>17</v>
      </c>
      <c r="N292">
        <v>4</v>
      </c>
      <c r="O292" s="3">
        <f t="shared" si="36"/>
        <v>1.1176470588235294</v>
      </c>
      <c r="P292" s="3">
        <f t="shared" si="37"/>
        <v>0.73076923076923073</v>
      </c>
      <c r="Q292" s="3">
        <f t="shared" si="38"/>
        <v>0.65384615384615385</v>
      </c>
      <c r="R292" s="3">
        <f t="shared" si="39"/>
        <v>0.15384615384615385</v>
      </c>
      <c r="S292">
        <v>-6</v>
      </c>
      <c r="T292" s="4">
        <v>0.12</v>
      </c>
      <c r="U292">
        <v>200</v>
      </c>
      <c r="V292">
        <v>444</v>
      </c>
    </row>
    <row r="293" spans="1:22">
      <c r="A293">
        <v>289</v>
      </c>
      <c r="B293" s="2">
        <v>46267</v>
      </c>
      <c r="C293" t="s">
        <v>23</v>
      </c>
      <c r="D293" t="s">
        <v>24</v>
      </c>
      <c r="E293" t="s">
        <v>39</v>
      </c>
      <c r="F293">
        <v>2</v>
      </c>
      <c r="G293">
        <v>13</v>
      </c>
      <c r="H293" t="str">
        <f t="shared" si="32"/>
        <v>Loss</v>
      </c>
      <c r="I293">
        <f t="shared" si="33"/>
        <v>0</v>
      </c>
      <c r="J293">
        <f t="shared" si="34"/>
        <v>-11</v>
      </c>
      <c r="K293">
        <f t="shared" si="35"/>
        <v>15</v>
      </c>
      <c r="L293">
        <v>10</v>
      </c>
      <c r="M293">
        <v>15</v>
      </c>
      <c r="N293">
        <v>3</v>
      </c>
      <c r="O293" s="3">
        <f t="shared" si="36"/>
        <v>0.66666666666666663</v>
      </c>
      <c r="P293" s="3">
        <f t="shared" si="37"/>
        <v>0.66666666666666663</v>
      </c>
      <c r="Q293" s="3">
        <f t="shared" si="38"/>
        <v>1</v>
      </c>
      <c r="R293" s="3">
        <f t="shared" si="39"/>
        <v>0.2</v>
      </c>
      <c r="S293">
        <v>-46</v>
      </c>
      <c r="T293" s="4">
        <v>0.23</v>
      </c>
      <c r="U293">
        <v>172</v>
      </c>
      <c r="V293">
        <v>218</v>
      </c>
    </row>
    <row r="294" spans="1:22">
      <c r="A294">
        <v>290</v>
      </c>
      <c r="B294" s="2">
        <v>46266</v>
      </c>
      <c r="C294" t="s">
        <v>34</v>
      </c>
      <c r="D294" t="s">
        <v>24</v>
      </c>
      <c r="E294" t="s">
        <v>25</v>
      </c>
      <c r="F294">
        <v>9</v>
      </c>
      <c r="G294">
        <v>13</v>
      </c>
      <c r="H294" t="str">
        <f t="shared" si="32"/>
        <v>Loss</v>
      </c>
      <c r="I294">
        <f t="shared" si="33"/>
        <v>0</v>
      </c>
      <c r="J294">
        <f t="shared" si="34"/>
        <v>-4</v>
      </c>
      <c r="K294">
        <f t="shared" si="35"/>
        <v>22</v>
      </c>
      <c r="L294">
        <v>13</v>
      </c>
      <c r="M294">
        <v>16</v>
      </c>
      <c r="N294">
        <v>4</v>
      </c>
      <c r="O294" s="3">
        <f t="shared" si="36"/>
        <v>0.8125</v>
      </c>
      <c r="P294" s="3">
        <f t="shared" si="37"/>
        <v>0.59090909090909094</v>
      </c>
      <c r="Q294" s="3">
        <f t="shared" si="38"/>
        <v>0.72727272727272729</v>
      </c>
      <c r="R294" s="3">
        <f t="shared" si="39"/>
        <v>0.18181818181818182</v>
      </c>
      <c r="S294">
        <v>16</v>
      </c>
      <c r="T294" s="4">
        <v>0.17</v>
      </c>
      <c r="U294">
        <v>180</v>
      </c>
      <c r="V294">
        <v>554</v>
      </c>
    </row>
    <row r="295" spans="1:22">
      <c r="A295">
        <v>291</v>
      </c>
      <c r="B295" s="2">
        <v>46266</v>
      </c>
      <c r="C295" t="s">
        <v>41</v>
      </c>
      <c r="D295" t="s">
        <v>32</v>
      </c>
      <c r="E295" t="s">
        <v>28</v>
      </c>
      <c r="F295">
        <v>11</v>
      </c>
      <c r="G295">
        <v>13</v>
      </c>
      <c r="H295" t="str">
        <f t="shared" si="32"/>
        <v>Loss</v>
      </c>
      <c r="I295">
        <f t="shared" si="33"/>
        <v>0</v>
      </c>
      <c r="J295">
        <f t="shared" si="34"/>
        <v>-2</v>
      </c>
      <c r="K295">
        <f t="shared" si="35"/>
        <v>24</v>
      </c>
      <c r="L295">
        <v>10</v>
      </c>
      <c r="M295">
        <v>20</v>
      </c>
      <c r="N295">
        <v>8</v>
      </c>
      <c r="O295" s="3">
        <f t="shared" si="36"/>
        <v>0.5</v>
      </c>
      <c r="P295" s="3">
        <f t="shared" si="37"/>
        <v>0.41666666666666669</v>
      </c>
      <c r="Q295" s="3">
        <f t="shared" si="38"/>
        <v>0.83333333333333337</v>
      </c>
      <c r="R295" s="3">
        <f t="shared" si="39"/>
        <v>0.33333333333333331</v>
      </c>
      <c r="S295">
        <v>-52</v>
      </c>
      <c r="T295" s="4">
        <v>0.11</v>
      </c>
      <c r="U295">
        <v>141</v>
      </c>
      <c r="V295">
        <v>235</v>
      </c>
    </row>
    <row r="296" spans="1:22">
      <c r="A296">
        <v>292</v>
      </c>
      <c r="B296" s="2">
        <v>46266</v>
      </c>
      <c r="C296" t="s">
        <v>40</v>
      </c>
      <c r="D296" t="s">
        <v>24</v>
      </c>
      <c r="E296" t="s">
        <v>25</v>
      </c>
      <c r="F296">
        <v>10</v>
      </c>
      <c r="G296">
        <v>13</v>
      </c>
      <c r="H296" t="str">
        <f t="shared" si="32"/>
        <v>Loss</v>
      </c>
      <c r="I296">
        <f t="shared" si="33"/>
        <v>0</v>
      </c>
      <c r="J296">
        <f t="shared" si="34"/>
        <v>-3</v>
      </c>
      <c r="K296">
        <f t="shared" si="35"/>
        <v>23</v>
      </c>
      <c r="L296">
        <v>12</v>
      </c>
      <c r="M296">
        <v>19</v>
      </c>
      <c r="N296">
        <v>4</v>
      </c>
      <c r="O296" s="3">
        <f t="shared" si="36"/>
        <v>0.63157894736842102</v>
      </c>
      <c r="P296" s="3">
        <f t="shared" si="37"/>
        <v>0.52173913043478259</v>
      </c>
      <c r="Q296" s="3">
        <f t="shared" si="38"/>
        <v>0.82608695652173914</v>
      </c>
      <c r="R296" s="3">
        <f t="shared" si="39"/>
        <v>0.17391304347826086</v>
      </c>
      <c r="S296">
        <v>-50</v>
      </c>
      <c r="T296" s="4">
        <v>0.11</v>
      </c>
      <c r="U296">
        <v>162</v>
      </c>
      <c r="V296">
        <v>270</v>
      </c>
    </row>
    <row r="297" spans="1:22">
      <c r="A297">
        <v>293</v>
      </c>
      <c r="B297" s="2">
        <v>46266</v>
      </c>
      <c r="C297" t="s">
        <v>34</v>
      </c>
      <c r="D297" t="s">
        <v>24</v>
      </c>
      <c r="E297" t="s">
        <v>25</v>
      </c>
      <c r="F297">
        <v>15</v>
      </c>
      <c r="G297">
        <v>13</v>
      </c>
      <c r="H297" t="str">
        <f t="shared" si="32"/>
        <v>Win</v>
      </c>
      <c r="I297">
        <f t="shared" si="33"/>
        <v>1</v>
      </c>
      <c r="J297">
        <f t="shared" si="34"/>
        <v>2</v>
      </c>
      <c r="K297">
        <f t="shared" si="35"/>
        <v>28</v>
      </c>
      <c r="L297">
        <v>15</v>
      </c>
      <c r="M297">
        <v>20</v>
      </c>
      <c r="N297">
        <v>4</v>
      </c>
      <c r="O297" s="3">
        <f t="shared" si="36"/>
        <v>0.75</v>
      </c>
      <c r="P297" s="3">
        <f t="shared" si="37"/>
        <v>0.5357142857142857</v>
      </c>
      <c r="Q297" s="3">
        <f t="shared" si="38"/>
        <v>0.7142857142857143</v>
      </c>
      <c r="R297" s="3">
        <f t="shared" si="39"/>
        <v>0.14285714285714285</v>
      </c>
      <c r="S297">
        <v>-28</v>
      </c>
      <c r="T297" s="4">
        <v>0.09</v>
      </c>
      <c r="U297">
        <v>145</v>
      </c>
      <c r="V297">
        <v>382</v>
      </c>
    </row>
    <row r="298" spans="1:22">
      <c r="A298">
        <v>294</v>
      </c>
      <c r="B298" s="2">
        <v>46266</v>
      </c>
      <c r="C298" t="s">
        <v>35</v>
      </c>
      <c r="D298" t="s">
        <v>36</v>
      </c>
      <c r="E298" t="s">
        <v>25</v>
      </c>
      <c r="F298">
        <v>14</v>
      </c>
      <c r="G298">
        <v>14</v>
      </c>
      <c r="H298" t="str">
        <f t="shared" si="32"/>
        <v>Draw</v>
      </c>
      <c r="I298">
        <f t="shared" si="33"/>
        <v>0</v>
      </c>
      <c r="J298">
        <f t="shared" si="34"/>
        <v>0</v>
      </c>
      <c r="K298">
        <f t="shared" si="35"/>
        <v>28</v>
      </c>
      <c r="L298">
        <v>21</v>
      </c>
      <c r="M298">
        <v>24</v>
      </c>
      <c r="N298">
        <v>4</v>
      </c>
      <c r="O298" s="3">
        <f t="shared" si="36"/>
        <v>0.875</v>
      </c>
      <c r="P298" s="3">
        <f t="shared" si="37"/>
        <v>0.75</v>
      </c>
      <c r="Q298" s="3">
        <f t="shared" si="38"/>
        <v>0.8571428571428571</v>
      </c>
      <c r="R298" s="3">
        <f t="shared" si="39"/>
        <v>0.14285714285714285</v>
      </c>
      <c r="S298">
        <v>-23</v>
      </c>
      <c r="T298" s="4">
        <v>0.12</v>
      </c>
      <c r="U298">
        <v>217</v>
      </c>
      <c r="V298">
        <v>472</v>
      </c>
    </row>
    <row r="299" spans="1:22">
      <c r="A299">
        <v>295</v>
      </c>
      <c r="B299" s="2">
        <v>46265</v>
      </c>
      <c r="C299" t="s">
        <v>35</v>
      </c>
      <c r="D299" t="s">
        <v>30</v>
      </c>
      <c r="E299" t="s">
        <v>25</v>
      </c>
      <c r="F299">
        <v>13</v>
      </c>
      <c r="G299">
        <v>6</v>
      </c>
      <c r="H299" t="str">
        <f t="shared" si="32"/>
        <v>Win</v>
      </c>
      <c r="I299">
        <f t="shared" si="33"/>
        <v>1</v>
      </c>
      <c r="J299">
        <f t="shared" si="34"/>
        <v>7</v>
      </c>
      <c r="K299">
        <f t="shared" si="35"/>
        <v>19</v>
      </c>
      <c r="L299">
        <v>9</v>
      </c>
      <c r="M299">
        <v>13</v>
      </c>
      <c r="N299">
        <v>2</v>
      </c>
      <c r="O299" s="3">
        <f t="shared" si="36"/>
        <v>0.69230769230769229</v>
      </c>
      <c r="P299" s="3">
        <f t="shared" si="37"/>
        <v>0.47368421052631576</v>
      </c>
      <c r="Q299" s="3">
        <f t="shared" si="38"/>
        <v>0.68421052631578949</v>
      </c>
      <c r="R299" s="3">
        <f t="shared" si="39"/>
        <v>0.10526315789473684</v>
      </c>
      <c r="S299">
        <v>-20</v>
      </c>
      <c r="T299" s="4">
        <v>0.17</v>
      </c>
      <c r="U299">
        <v>135</v>
      </c>
      <c r="V299">
        <v>376</v>
      </c>
    </row>
    <row r="300" spans="1:22">
      <c r="A300">
        <v>296</v>
      </c>
      <c r="B300" s="2">
        <v>46265</v>
      </c>
      <c r="C300" t="s">
        <v>41</v>
      </c>
      <c r="D300" t="s">
        <v>36</v>
      </c>
      <c r="E300" t="s">
        <v>25</v>
      </c>
      <c r="F300">
        <v>13</v>
      </c>
      <c r="G300">
        <v>5</v>
      </c>
      <c r="H300" t="str">
        <f t="shared" si="32"/>
        <v>Win</v>
      </c>
      <c r="I300">
        <f t="shared" si="33"/>
        <v>1</v>
      </c>
      <c r="J300">
        <f t="shared" si="34"/>
        <v>8</v>
      </c>
      <c r="K300">
        <f t="shared" si="35"/>
        <v>18</v>
      </c>
      <c r="L300">
        <v>14</v>
      </c>
      <c r="M300">
        <v>9</v>
      </c>
      <c r="N300">
        <v>3</v>
      </c>
      <c r="O300" s="3">
        <f t="shared" si="36"/>
        <v>1.5555555555555556</v>
      </c>
      <c r="P300" s="3">
        <f t="shared" si="37"/>
        <v>0.77777777777777779</v>
      </c>
      <c r="Q300" s="3">
        <f t="shared" si="38"/>
        <v>0.5</v>
      </c>
      <c r="R300" s="3">
        <f t="shared" si="39"/>
        <v>0.16666666666666666</v>
      </c>
      <c r="S300">
        <v>48</v>
      </c>
      <c r="T300" s="4">
        <v>0.22</v>
      </c>
      <c r="U300">
        <v>196</v>
      </c>
      <c r="V300">
        <v>725</v>
      </c>
    </row>
    <row r="301" spans="1:22">
      <c r="A301">
        <v>297</v>
      </c>
      <c r="B301" s="2">
        <v>46265</v>
      </c>
      <c r="C301" t="s">
        <v>41</v>
      </c>
      <c r="D301" t="s">
        <v>32</v>
      </c>
      <c r="E301" t="s">
        <v>25</v>
      </c>
      <c r="F301">
        <v>9</v>
      </c>
      <c r="G301">
        <v>13</v>
      </c>
      <c r="H301" t="str">
        <f t="shared" si="32"/>
        <v>Loss</v>
      </c>
      <c r="I301">
        <f t="shared" si="33"/>
        <v>0</v>
      </c>
      <c r="J301">
        <f t="shared" si="34"/>
        <v>-4</v>
      </c>
      <c r="K301">
        <f t="shared" si="35"/>
        <v>22</v>
      </c>
      <c r="L301">
        <v>8</v>
      </c>
      <c r="M301">
        <v>18</v>
      </c>
      <c r="N301">
        <v>1</v>
      </c>
      <c r="O301" s="3">
        <f t="shared" si="36"/>
        <v>0.44444444444444442</v>
      </c>
      <c r="P301" s="3">
        <f t="shared" si="37"/>
        <v>0.36363636363636365</v>
      </c>
      <c r="Q301" s="3">
        <f t="shared" si="38"/>
        <v>0.81818181818181823</v>
      </c>
      <c r="R301" s="3">
        <f t="shared" si="39"/>
        <v>4.5454545454545456E-2</v>
      </c>
      <c r="S301">
        <v>-84</v>
      </c>
      <c r="T301" s="4">
        <v>0.23</v>
      </c>
      <c r="U301">
        <v>93</v>
      </c>
      <c r="V301">
        <v>175</v>
      </c>
    </row>
    <row r="302" spans="1:22">
      <c r="A302">
        <v>298</v>
      </c>
      <c r="B302" s="2">
        <v>46265</v>
      </c>
      <c r="C302" t="s">
        <v>23</v>
      </c>
      <c r="D302" t="s">
        <v>30</v>
      </c>
      <c r="E302" t="s">
        <v>25</v>
      </c>
      <c r="F302">
        <v>13</v>
      </c>
      <c r="G302">
        <v>7</v>
      </c>
      <c r="H302" t="str">
        <f t="shared" si="32"/>
        <v>Win</v>
      </c>
      <c r="I302">
        <f t="shared" si="33"/>
        <v>1</v>
      </c>
      <c r="J302">
        <f t="shared" si="34"/>
        <v>6</v>
      </c>
      <c r="K302">
        <f t="shared" si="35"/>
        <v>20</v>
      </c>
      <c r="L302">
        <v>8</v>
      </c>
      <c r="M302">
        <v>17</v>
      </c>
      <c r="N302">
        <v>3</v>
      </c>
      <c r="O302" s="3">
        <f t="shared" si="36"/>
        <v>0.47058823529411764</v>
      </c>
      <c r="P302" s="3">
        <f t="shared" si="37"/>
        <v>0.4</v>
      </c>
      <c r="Q302" s="3">
        <f t="shared" si="38"/>
        <v>0.85</v>
      </c>
      <c r="R302" s="3">
        <f t="shared" si="39"/>
        <v>0.15</v>
      </c>
      <c r="S302">
        <v>-96</v>
      </c>
      <c r="T302" s="4">
        <v>0.06</v>
      </c>
      <c r="U302">
        <v>114</v>
      </c>
      <c r="V302">
        <v>219</v>
      </c>
    </row>
    <row r="303" spans="1:22">
      <c r="A303">
        <v>299</v>
      </c>
      <c r="B303" s="2">
        <v>46264</v>
      </c>
      <c r="C303" t="s">
        <v>23</v>
      </c>
      <c r="D303" t="s">
        <v>31</v>
      </c>
      <c r="E303" t="s">
        <v>25</v>
      </c>
      <c r="F303">
        <v>13</v>
      </c>
      <c r="G303">
        <v>8</v>
      </c>
      <c r="H303" t="str">
        <f t="shared" si="32"/>
        <v>Win</v>
      </c>
      <c r="I303">
        <f t="shared" si="33"/>
        <v>1</v>
      </c>
      <c r="J303">
        <f t="shared" si="34"/>
        <v>5</v>
      </c>
      <c r="K303">
        <f t="shared" si="35"/>
        <v>21</v>
      </c>
      <c r="L303">
        <v>8</v>
      </c>
      <c r="M303">
        <v>14</v>
      </c>
      <c r="N303">
        <v>4</v>
      </c>
      <c r="O303" s="3">
        <f t="shared" si="36"/>
        <v>0.5714285714285714</v>
      </c>
      <c r="P303" s="3">
        <f t="shared" si="37"/>
        <v>0.38095238095238093</v>
      </c>
      <c r="Q303" s="3">
        <f t="shared" si="38"/>
        <v>0.66666666666666663</v>
      </c>
      <c r="R303" s="3">
        <f t="shared" si="39"/>
        <v>0.19047619047619047</v>
      </c>
      <c r="S303">
        <v>-19</v>
      </c>
      <c r="T303" s="4">
        <v>0.13</v>
      </c>
      <c r="U303">
        <v>120</v>
      </c>
      <c r="V303">
        <v>523</v>
      </c>
    </row>
    <row r="304" spans="1:22">
      <c r="A304">
        <v>300</v>
      </c>
      <c r="B304" s="2">
        <v>46264</v>
      </c>
      <c r="C304" t="s">
        <v>34</v>
      </c>
      <c r="D304" t="s">
        <v>31</v>
      </c>
      <c r="E304" t="s">
        <v>25</v>
      </c>
      <c r="F304">
        <v>14</v>
      </c>
      <c r="G304">
        <v>12</v>
      </c>
      <c r="H304" t="str">
        <f t="shared" si="32"/>
        <v>Win</v>
      </c>
      <c r="I304">
        <f t="shared" si="33"/>
        <v>1</v>
      </c>
      <c r="J304">
        <f t="shared" si="34"/>
        <v>2</v>
      </c>
      <c r="K304">
        <f t="shared" si="35"/>
        <v>26</v>
      </c>
      <c r="L304">
        <v>11</v>
      </c>
      <c r="M304">
        <v>19</v>
      </c>
      <c r="N304">
        <v>5</v>
      </c>
      <c r="O304" s="3">
        <f t="shared" si="36"/>
        <v>0.57894736842105265</v>
      </c>
      <c r="P304" s="3">
        <f t="shared" si="37"/>
        <v>0.42307692307692307</v>
      </c>
      <c r="Q304" s="3">
        <f t="shared" si="38"/>
        <v>0.73076923076923073</v>
      </c>
      <c r="R304" s="3">
        <f t="shared" si="39"/>
        <v>0.19230769230769232</v>
      </c>
      <c r="S304">
        <v>-14</v>
      </c>
      <c r="T304" s="4">
        <v>7.0000000000000007E-2</v>
      </c>
      <c r="U304">
        <v>142</v>
      </c>
      <c r="V304">
        <v>319</v>
      </c>
    </row>
    <row r="305" spans="1:22">
      <c r="A305">
        <v>301</v>
      </c>
      <c r="B305" s="2">
        <v>46264</v>
      </c>
      <c r="C305" t="s">
        <v>29</v>
      </c>
      <c r="D305" t="s">
        <v>37</v>
      </c>
      <c r="E305" t="s">
        <v>25</v>
      </c>
      <c r="F305">
        <v>13</v>
      </c>
      <c r="G305">
        <v>10</v>
      </c>
      <c r="H305" t="str">
        <f t="shared" si="32"/>
        <v>Win</v>
      </c>
      <c r="I305">
        <f t="shared" si="33"/>
        <v>1</v>
      </c>
      <c r="J305">
        <f t="shared" si="34"/>
        <v>3</v>
      </c>
      <c r="K305">
        <f t="shared" si="35"/>
        <v>23</v>
      </c>
      <c r="L305">
        <v>21</v>
      </c>
      <c r="M305">
        <v>14</v>
      </c>
      <c r="N305">
        <v>2</v>
      </c>
      <c r="O305" s="3">
        <f t="shared" si="36"/>
        <v>1.5</v>
      </c>
      <c r="P305" s="3">
        <f t="shared" si="37"/>
        <v>0.91304347826086951</v>
      </c>
      <c r="Q305" s="3">
        <f t="shared" si="38"/>
        <v>0.60869565217391308</v>
      </c>
      <c r="R305" s="3">
        <f t="shared" si="39"/>
        <v>8.6956521739130432E-2</v>
      </c>
      <c r="S305">
        <v>23</v>
      </c>
      <c r="T305" s="4">
        <v>0.14000000000000001</v>
      </c>
      <c r="U305">
        <v>247</v>
      </c>
      <c r="V305">
        <v>683</v>
      </c>
    </row>
    <row r="306" spans="1:22">
      <c r="A306">
        <v>302</v>
      </c>
      <c r="B306" s="2">
        <v>46264</v>
      </c>
      <c r="C306" t="s">
        <v>29</v>
      </c>
      <c r="D306" t="s">
        <v>24</v>
      </c>
      <c r="E306" t="s">
        <v>25</v>
      </c>
      <c r="F306">
        <v>12</v>
      </c>
      <c r="G306">
        <v>14</v>
      </c>
      <c r="H306" t="str">
        <f t="shared" si="32"/>
        <v>Loss</v>
      </c>
      <c r="I306">
        <f t="shared" si="33"/>
        <v>0</v>
      </c>
      <c r="J306">
        <f t="shared" si="34"/>
        <v>-2</v>
      </c>
      <c r="K306">
        <f t="shared" si="35"/>
        <v>26</v>
      </c>
      <c r="L306">
        <v>19</v>
      </c>
      <c r="M306">
        <v>19</v>
      </c>
      <c r="N306">
        <v>6</v>
      </c>
      <c r="O306" s="3">
        <f t="shared" si="36"/>
        <v>1</v>
      </c>
      <c r="P306" s="3">
        <f t="shared" si="37"/>
        <v>0.73076923076923073</v>
      </c>
      <c r="Q306" s="3">
        <f t="shared" si="38"/>
        <v>0.73076923076923073</v>
      </c>
      <c r="R306" s="3">
        <f t="shared" si="39"/>
        <v>0.23076923076923078</v>
      </c>
      <c r="S306">
        <v>-14</v>
      </c>
      <c r="T306" s="4">
        <v>0.12</v>
      </c>
      <c r="U306">
        <v>200</v>
      </c>
      <c r="V306">
        <v>396</v>
      </c>
    </row>
    <row r="307" spans="1:22">
      <c r="A307">
        <v>303</v>
      </c>
      <c r="B307" s="2">
        <v>46264</v>
      </c>
      <c r="C307" t="s">
        <v>41</v>
      </c>
      <c r="D307" t="s">
        <v>36</v>
      </c>
      <c r="E307" t="s">
        <v>25</v>
      </c>
      <c r="F307">
        <v>13</v>
      </c>
      <c r="G307">
        <v>8</v>
      </c>
      <c r="H307" t="str">
        <f t="shared" si="32"/>
        <v>Win</v>
      </c>
      <c r="I307">
        <f t="shared" si="33"/>
        <v>1</v>
      </c>
      <c r="J307">
        <f t="shared" si="34"/>
        <v>5</v>
      </c>
      <c r="K307">
        <f t="shared" si="35"/>
        <v>21</v>
      </c>
      <c r="L307">
        <v>15</v>
      </c>
      <c r="M307">
        <v>13</v>
      </c>
      <c r="N307">
        <v>5</v>
      </c>
      <c r="O307" s="3">
        <f t="shared" si="36"/>
        <v>1.1538461538461537</v>
      </c>
      <c r="P307" s="3">
        <f t="shared" si="37"/>
        <v>0.7142857142857143</v>
      </c>
      <c r="Q307" s="3">
        <f t="shared" si="38"/>
        <v>0.61904761904761907</v>
      </c>
      <c r="R307" s="3">
        <f t="shared" si="39"/>
        <v>0.23809523809523808</v>
      </c>
      <c r="S307">
        <v>18</v>
      </c>
      <c r="T307" s="4">
        <v>0.06</v>
      </c>
      <c r="U307">
        <v>212</v>
      </c>
      <c r="V307">
        <v>771</v>
      </c>
    </row>
    <row r="308" spans="1:22">
      <c r="A308">
        <v>304</v>
      </c>
      <c r="B308" s="2">
        <v>46264</v>
      </c>
      <c r="C308" t="s">
        <v>26</v>
      </c>
      <c r="D308" t="s">
        <v>37</v>
      </c>
      <c r="E308" t="s">
        <v>51</v>
      </c>
      <c r="F308">
        <v>13</v>
      </c>
      <c r="G308">
        <v>4</v>
      </c>
      <c r="H308" t="str">
        <f t="shared" si="32"/>
        <v>Win</v>
      </c>
      <c r="I308">
        <f t="shared" si="33"/>
        <v>1</v>
      </c>
      <c r="J308">
        <f t="shared" si="34"/>
        <v>9</v>
      </c>
      <c r="K308">
        <f t="shared" si="35"/>
        <v>17</v>
      </c>
      <c r="L308">
        <v>15</v>
      </c>
      <c r="M308">
        <v>10</v>
      </c>
      <c r="N308">
        <v>3</v>
      </c>
      <c r="O308" s="3">
        <f t="shared" si="36"/>
        <v>1.5</v>
      </c>
      <c r="P308" s="3">
        <f t="shared" si="37"/>
        <v>0.88235294117647056</v>
      </c>
      <c r="Q308" s="3">
        <f t="shared" si="38"/>
        <v>0.58823529411764708</v>
      </c>
      <c r="R308" s="3">
        <f t="shared" si="39"/>
        <v>0.17647058823529413</v>
      </c>
      <c r="S308">
        <v>35</v>
      </c>
      <c r="T308" s="4">
        <v>7.0000000000000007E-2</v>
      </c>
      <c r="U308">
        <v>237</v>
      </c>
      <c r="V308">
        <v>812</v>
      </c>
    </row>
    <row r="309" spans="1:22">
      <c r="A309">
        <v>305</v>
      </c>
      <c r="B309" s="2">
        <v>46264</v>
      </c>
      <c r="C309" t="s">
        <v>26</v>
      </c>
      <c r="D309" t="s">
        <v>36</v>
      </c>
      <c r="E309" t="s">
        <v>51</v>
      </c>
      <c r="F309">
        <v>10</v>
      </c>
      <c r="G309">
        <v>13</v>
      </c>
      <c r="H309" t="str">
        <f t="shared" si="32"/>
        <v>Loss</v>
      </c>
      <c r="I309">
        <f t="shared" si="33"/>
        <v>0</v>
      </c>
      <c r="J309">
        <f t="shared" si="34"/>
        <v>-3</v>
      </c>
      <c r="K309">
        <f t="shared" si="35"/>
        <v>23</v>
      </c>
      <c r="L309">
        <v>20</v>
      </c>
      <c r="M309">
        <v>17</v>
      </c>
      <c r="N309">
        <v>2</v>
      </c>
      <c r="O309" s="3">
        <f t="shared" si="36"/>
        <v>1.1764705882352942</v>
      </c>
      <c r="P309" s="3">
        <f t="shared" si="37"/>
        <v>0.86956521739130432</v>
      </c>
      <c r="Q309" s="3">
        <f t="shared" si="38"/>
        <v>0.73913043478260865</v>
      </c>
      <c r="R309" s="3">
        <f t="shared" si="39"/>
        <v>8.6956521739130432E-2</v>
      </c>
      <c r="S309">
        <v>10</v>
      </c>
      <c r="T309" s="4">
        <v>0.16</v>
      </c>
      <c r="U309">
        <v>243</v>
      </c>
      <c r="V309">
        <v>548</v>
      </c>
    </row>
    <row r="310" spans="1:22">
      <c r="A310">
        <v>306</v>
      </c>
      <c r="B310" s="2">
        <v>46264</v>
      </c>
      <c r="C310" t="s">
        <v>35</v>
      </c>
      <c r="D310" t="s">
        <v>36</v>
      </c>
      <c r="E310" t="s">
        <v>25</v>
      </c>
      <c r="F310">
        <v>13</v>
      </c>
      <c r="G310">
        <v>7</v>
      </c>
      <c r="H310" t="str">
        <f t="shared" si="32"/>
        <v>Win</v>
      </c>
      <c r="I310">
        <f t="shared" si="33"/>
        <v>1</v>
      </c>
      <c r="J310">
        <f t="shared" si="34"/>
        <v>6</v>
      </c>
      <c r="K310">
        <f t="shared" si="35"/>
        <v>20</v>
      </c>
      <c r="L310">
        <v>13</v>
      </c>
      <c r="M310">
        <v>16</v>
      </c>
      <c r="N310">
        <v>5</v>
      </c>
      <c r="O310" s="3">
        <f t="shared" si="36"/>
        <v>0.8125</v>
      </c>
      <c r="P310" s="3">
        <f t="shared" si="37"/>
        <v>0.65</v>
      </c>
      <c r="Q310" s="3">
        <f t="shared" si="38"/>
        <v>0.8</v>
      </c>
      <c r="R310" s="3">
        <f t="shared" si="39"/>
        <v>0.25</v>
      </c>
      <c r="S310">
        <v>12</v>
      </c>
      <c r="T310" s="4">
        <v>0.18</v>
      </c>
      <c r="U310">
        <v>204</v>
      </c>
      <c r="V310">
        <v>601</v>
      </c>
    </row>
    <row r="311" spans="1:22">
      <c r="A311">
        <v>307</v>
      </c>
      <c r="B311" s="2">
        <v>46264</v>
      </c>
      <c r="C311" t="s">
        <v>23</v>
      </c>
      <c r="D311" t="s">
        <v>24</v>
      </c>
      <c r="E311" t="s">
        <v>25</v>
      </c>
      <c r="F311">
        <v>13</v>
      </c>
      <c r="G311">
        <v>9</v>
      </c>
      <c r="H311" t="str">
        <f t="shared" si="32"/>
        <v>Win</v>
      </c>
      <c r="I311">
        <f t="shared" si="33"/>
        <v>1</v>
      </c>
      <c r="J311">
        <f t="shared" si="34"/>
        <v>4</v>
      </c>
      <c r="K311">
        <f t="shared" si="35"/>
        <v>22</v>
      </c>
      <c r="L311">
        <v>17</v>
      </c>
      <c r="M311">
        <v>17</v>
      </c>
      <c r="N311">
        <v>3</v>
      </c>
      <c r="O311" s="3">
        <f t="shared" si="36"/>
        <v>1</v>
      </c>
      <c r="P311" s="3">
        <f t="shared" si="37"/>
        <v>0.77272727272727271</v>
      </c>
      <c r="Q311" s="3">
        <f t="shared" si="38"/>
        <v>0.77272727272727271</v>
      </c>
      <c r="R311" s="3">
        <f t="shared" si="39"/>
        <v>0.13636363636363635</v>
      </c>
      <c r="S311">
        <v>-14</v>
      </c>
      <c r="T311" s="4">
        <v>0.16</v>
      </c>
      <c r="U311">
        <v>207</v>
      </c>
      <c r="V311">
        <v>477</v>
      </c>
    </row>
    <row r="312" spans="1:22">
      <c r="A312">
        <v>308</v>
      </c>
      <c r="B312" s="2">
        <v>46264</v>
      </c>
      <c r="C312" t="s">
        <v>29</v>
      </c>
      <c r="D312" t="s">
        <v>27</v>
      </c>
      <c r="E312" t="s">
        <v>25</v>
      </c>
      <c r="F312">
        <v>13</v>
      </c>
      <c r="G312">
        <v>1</v>
      </c>
      <c r="H312" t="str">
        <f t="shared" si="32"/>
        <v>Win</v>
      </c>
      <c r="I312">
        <f t="shared" si="33"/>
        <v>1</v>
      </c>
      <c r="J312">
        <f t="shared" si="34"/>
        <v>12</v>
      </c>
      <c r="K312">
        <f t="shared" si="35"/>
        <v>14</v>
      </c>
      <c r="L312">
        <v>12</v>
      </c>
      <c r="M312">
        <v>6</v>
      </c>
      <c r="N312">
        <v>5</v>
      </c>
      <c r="O312" s="3">
        <f t="shared" si="36"/>
        <v>2</v>
      </c>
      <c r="P312" s="3">
        <f t="shared" si="37"/>
        <v>0.8571428571428571</v>
      </c>
      <c r="Q312" s="3">
        <f t="shared" si="38"/>
        <v>0.42857142857142855</v>
      </c>
      <c r="R312" s="3">
        <f t="shared" si="39"/>
        <v>0.35714285714285715</v>
      </c>
      <c r="S312">
        <v>94</v>
      </c>
      <c r="T312" s="4">
        <v>7.0000000000000007E-2</v>
      </c>
      <c r="U312">
        <v>232</v>
      </c>
      <c r="V312">
        <v>903</v>
      </c>
    </row>
    <row r="313" spans="1:22">
      <c r="A313">
        <v>309</v>
      </c>
      <c r="B313" s="2">
        <v>46263</v>
      </c>
      <c r="C313" t="s">
        <v>34</v>
      </c>
      <c r="D313" t="s">
        <v>32</v>
      </c>
      <c r="E313" t="s">
        <v>25</v>
      </c>
      <c r="F313">
        <v>9</v>
      </c>
      <c r="G313">
        <v>13</v>
      </c>
      <c r="H313" t="str">
        <f t="shared" si="32"/>
        <v>Loss</v>
      </c>
      <c r="I313">
        <f t="shared" si="33"/>
        <v>0</v>
      </c>
      <c r="J313">
        <f t="shared" si="34"/>
        <v>-4</v>
      </c>
      <c r="K313">
        <f t="shared" si="35"/>
        <v>22</v>
      </c>
      <c r="L313">
        <v>9</v>
      </c>
      <c r="M313">
        <v>17</v>
      </c>
      <c r="N313">
        <v>3</v>
      </c>
      <c r="O313" s="3">
        <f t="shared" si="36"/>
        <v>0.52941176470588236</v>
      </c>
      <c r="P313" s="3">
        <f t="shared" si="37"/>
        <v>0.40909090909090912</v>
      </c>
      <c r="Q313" s="3">
        <f t="shared" si="38"/>
        <v>0.77272727272727271</v>
      </c>
      <c r="R313" s="3">
        <f t="shared" si="39"/>
        <v>0.13636363636363635</v>
      </c>
      <c r="S313">
        <v>-57</v>
      </c>
      <c r="T313" s="4">
        <v>0.09</v>
      </c>
      <c r="U313">
        <v>123</v>
      </c>
      <c r="V313">
        <v>143</v>
      </c>
    </row>
    <row r="314" spans="1:22">
      <c r="A314">
        <v>310</v>
      </c>
      <c r="B314" s="2">
        <v>46263</v>
      </c>
      <c r="C314" t="s">
        <v>29</v>
      </c>
      <c r="D314" t="s">
        <v>27</v>
      </c>
      <c r="E314" t="s">
        <v>25</v>
      </c>
      <c r="F314">
        <v>13</v>
      </c>
      <c r="G314">
        <v>6</v>
      </c>
      <c r="H314" t="str">
        <f t="shared" si="32"/>
        <v>Win</v>
      </c>
      <c r="I314">
        <f t="shared" si="33"/>
        <v>1</v>
      </c>
      <c r="J314">
        <f t="shared" si="34"/>
        <v>7</v>
      </c>
      <c r="K314">
        <f t="shared" si="35"/>
        <v>19</v>
      </c>
      <c r="L314">
        <v>16</v>
      </c>
      <c r="M314">
        <v>10</v>
      </c>
      <c r="N314">
        <v>4</v>
      </c>
      <c r="O314" s="3">
        <f t="shared" si="36"/>
        <v>1.6</v>
      </c>
      <c r="P314" s="3">
        <f t="shared" si="37"/>
        <v>0.84210526315789469</v>
      </c>
      <c r="Q314" s="3">
        <f t="shared" si="38"/>
        <v>0.52631578947368418</v>
      </c>
      <c r="R314" s="3">
        <f t="shared" si="39"/>
        <v>0.21052631578947367</v>
      </c>
      <c r="S314">
        <v>27</v>
      </c>
      <c r="T314" s="4">
        <v>0.15</v>
      </c>
      <c r="U314">
        <v>225</v>
      </c>
      <c r="V314">
        <v>756</v>
      </c>
    </row>
    <row r="315" spans="1:22">
      <c r="A315">
        <v>311</v>
      </c>
      <c r="B315" s="2">
        <v>46263</v>
      </c>
      <c r="C315" t="s">
        <v>34</v>
      </c>
      <c r="D315" t="s">
        <v>31</v>
      </c>
      <c r="E315" t="s">
        <v>25</v>
      </c>
      <c r="F315">
        <v>2</v>
      </c>
      <c r="G315">
        <v>13</v>
      </c>
      <c r="H315" t="str">
        <f t="shared" si="32"/>
        <v>Loss</v>
      </c>
      <c r="I315">
        <f t="shared" si="33"/>
        <v>0</v>
      </c>
      <c r="J315">
        <f t="shared" si="34"/>
        <v>-11</v>
      </c>
      <c r="K315">
        <f t="shared" si="35"/>
        <v>15</v>
      </c>
      <c r="L315">
        <v>2</v>
      </c>
      <c r="M315">
        <v>12</v>
      </c>
      <c r="N315">
        <v>3</v>
      </c>
      <c r="O315" s="3">
        <f t="shared" si="36"/>
        <v>0.16666666666666666</v>
      </c>
      <c r="P315" s="3">
        <f t="shared" si="37"/>
        <v>0.13333333333333333</v>
      </c>
      <c r="Q315" s="3">
        <f t="shared" si="38"/>
        <v>0.8</v>
      </c>
      <c r="R315" s="3">
        <f t="shared" si="39"/>
        <v>0.2</v>
      </c>
      <c r="S315">
        <v>-87</v>
      </c>
      <c r="T315" s="4">
        <v>0.11</v>
      </c>
      <c r="U315">
        <v>57</v>
      </c>
      <c r="V315">
        <v>100</v>
      </c>
    </row>
    <row r="316" spans="1:22">
      <c r="A316">
        <v>312</v>
      </c>
      <c r="B316" s="2">
        <v>46263</v>
      </c>
      <c r="C316" t="s">
        <v>41</v>
      </c>
      <c r="D316" t="s">
        <v>30</v>
      </c>
      <c r="E316" t="s">
        <v>28</v>
      </c>
      <c r="F316">
        <v>13</v>
      </c>
      <c r="G316">
        <v>2</v>
      </c>
      <c r="H316" t="str">
        <f t="shared" si="32"/>
        <v>Win</v>
      </c>
      <c r="I316">
        <f t="shared" si="33"/>
        <v>1</v>
      </c>
      <c r="J316">
        <f t="shared" si="34"/>
        <v>11</v>
      </c>
      <c r="K316">
        <f t="shared" si="35"/>
        <v>15</v>
      </c>
      <c r="L316">
        <v>2</v>
      </c>
      <c r="M316">
        <v>6</v>
      </c>
      <c r="N316">
        <v>4</v>
      </c>
      <c r="O316" s="3">
        <f t="shared" si="36"/>
        <v>0.33333333333333331</v>
      </c>
      <c r="P316" s="3">
        <f t="shared" si="37"/>
        <v>0.13333333333333333</v>
      </c>
      <c r="Q316" s="3">
        <f t="shared" si="38"/>
        <v>0.4</v>
      </c>
      <c r="R316" s="3">
        <f t="shared" si="39"/>
        <v>0.26666666666666666</v>
      </c>
      <c r="S316">
        <v>-24</v>
      </c>
      <c r="T316" s="4">
        <v>0.13</v>
      </c>
      <c r="U316">
        <v>56</v>
      </c>
      <c r="V316">
        <v>410</v>
      </c>
    </row>
    <row r="317" spans="1:22">
      <c r="A317">
        <v>313</v>
      </c>
      <c r="B317" s="2">
        <v>46263</v>
      </c>
      <c r="C317" t="s">
        <v>35</v>
      </c>
      <c r="D317" t="s">
        <v>27</v>
      </c>
      <c r="E317" t="s">
        <v>25</v>
      </c>
      <c r="F317">
        <v>3</v>
      </c>
      <c r="G317">
        <v>13</v>
      </c>
      <c r="H317" t="str">
        <f t="shared" si="32"/>
        <v>Loss</v>
      </c>
      <c r="I317">
        <f t="shared" si="33"/>
        <v>0</v>
      </c>
      <c r="J317">
        <f t="shared" si="34"/>
        <v>-10</v>
      </c>
      <c r="K317">
        <f t="shared" si="35"/>
        <v>16</v>
      </c>
      <c r="L317">
        <v>10</v>
      </c>
      <c r="M317">
        <v>13</v>
      </c>
      <c r="N317">
        <v>3</v>
      </c>
      <c r="O317" s="3">
        <f t="shared" si="36"/>
        <v>0.76923076923076927</v>
      </c>
      <c r="P317" s="3">
        <f t="shared" si="37"/>
        <v>0.625</v>
      </c>
      <c r="Q317" s="3">
        <f t="shared" si="38"/>
        <v>0.8125</v>
      </c>
      <c r="R317" s="3">
        <f t="shared" si="39"/>
        <v>0.1875</v>
      </c>
      <c r="S317">
        <v>3</v>
      </c>
      <c r="T317" s="4">
        <v>0.12</v>
      </c>
      <c r="U317">
        <v>203</v>
      </c>
      <c r="V317">
        <v>441</v>
      </c>
    </row>
    <row r="318" spans="1:22">
      <c r="A318">
        <v>314</v>
      </c>
      <c r="B318" s="2">
        <v>46263</v>
      </c>
      <c r="C318" t="s">
        <v>34</v>
      </c>
      <c r="D318" t="s">
        <v>24</v>
      </c>
      <c r="E318" t="s">
        <v>25</v>
      </c>
      <c r="F318">
        <v>13</v>
      </c>
      <c r="G318">
        <v>6</v>
      </c>
      <c r="H318" t="str">
        <f t="shared" si="32"/>
        <v>Win</v>
      </c>
      <c r="I318">
        <f t="shared" si="33"/>
        <v>1</v>
      </c>
      <c r="J318">
        <f t="shared" si="34"/>
        <v>7</v>
      </c>
      <c r="K318">
        <f t="shared" si="35"/>
        <v>19</v>
      </c>
      <c r="L318">
        <v>12</v>
      </c>
      <c r="M318">
        <v>11</v>
      </c>
      <c r="N318">
        <v>5</v>
      </c>
      <c r="O318" s="3">
        <f t="shared" si="36"/>
        <v>1.0909090909090908</v>
      </c>
      <c r="P318" s="3">
        <f t="shared" si="37"/>
        <v>0.63157894736842102</v>
      </c>
      <c r="Q318" s="3">
        <f t="shared" si="38"/>
        <v>0.57894736842105265</v>
      </c>
      <c r="R318" s="3">
        <f t="shared" si="39"/>
        <v>0.26315789473684209</v>
      </c>
      <c r="S318">
        <v>-4</v>
      </c>
      <c r="T318" s="4">
        <v>0.08</v>
      </c>
      <c r="U318">
        <v>183</v>
      </c>
      <c r="V318">
        <v>523</v>
      </c>
    </row>
    <row r="319" spans="1:22">
      <c r="A319">
        <v>315</v>
      </c>
      <c r="B319" s="2">
        <v>46263</v>
      </c>
      <c r="C319" t="s">
        <v>41</v>
      </c>
      <c r="D319" t="s">
        <v>27</v>
      </c>
      <c r="E319" t="s">
        <v>51</v>
      </c>
      <c r="F319">
        <v>13</v>
      </c>
      <c r="G319">
        <v>10</v>
      </c>
      <c r="H319" t="str">
        <f t="shared" si="32"/>
        <v>Win</v>
      </c>
      <c r="I319">
        <f t="shared" si="33"/>
        <v>1</v>
      </c>
      <c r="J319">
        <f t="shared" si="34"/>
        <v>3</v>
      </c>
      <c r="K319">
        <f t="shared" si="35"/>
        <v>23</v>
      </c>
      <c r="L319">
        <v>19</v>
      </c>
      <c r="M319">
        <v>15</v>
      </c>
      <c r="N319">
        <v>4</v>
      </c>
      <c r="O319" s="3">
        <f t="shared" si="36"/>
        <v>1.2666666666666666</v>
      </c>
      <c r="P319" s="3">
        <f t="shared" si="37"/>
        <v>0.82608695652173914</v>
      </c>
      <c r="Q319" s="3">
        <f t="shared" si="38"/>
        <v>0.65217391304347827</v>
      </c>
      <c r="R319" s="3">
        <f t="shared" si="39"/>
        <v>0.17391304347826086</v>
      </c>
      <c r="S319">
        <v>29</v>
      </c>
      <c r="T319" s="4">
        <v>0.16</v>
      </c>
      <c r="U319">
        <v>225</v>
      </c>
      <c r="V319">
        <v>806</v>
      </c>
    </row>
    <row r="320" spans="1:22">
      <c r="A320">
        <v>316</v>
      </c>
      <c r="B320" s="2">
        <v>46263</v>
      </c>
      <c r="C320" t="s">
        <v>26</v>
      </c>
      <c r="D320" t="s">
        <v>32</v>
      </c>
      <c r="E320" t="s">
        <v>25</v>
      </c>
      <c r="F320">
        <v>13</v>
      </c>
      <c r="G320">
        <v>8</v>
      </c>
      <c r="H320" t="str">
        <f t="shared" si="32"/>
        <v>Win</v>
      </c>
      <c r="I320">
        <f t="shared" si="33"/>
        <v>1</v>
      </c>
      <c r="J320">
        <f t="shared" si="34"/>
        <v>5</v>
      </c>
      <c r="K320">
        <f t="shared" si="35"/>
        <v>21</v>
      </c>
      <c r="L320">
        <v>13</v>
      </c>
      <c r="M320">
        <v>16</v>
      </c>
      <c r="N320">
        <v>4</v>
      </c>
      <c r="O320" s="3">
        <f t="shared" si="36"/>
        <v>0.8125</v>
      </c>
      <c r="P320" s="3">
        <f t="shared" si="37"/>
        <v>0.61904761904761907</v>
      </c>
      <c r="Q320" s="3">
        <f t="shared" si="38"/>
        <v>0.76190476190476186</v>
      </c>
      <c r="R320" s="3">
        <f t="shared" si="39"/>
        <v>0.19047619047619047</v>
      </c>
      <c r="S320">
        <v>-11</v>
      </c>
      <c r="T320" s="4">
        <v>0.13</v>
      </c>
      <c r="U320">
        <v>165</v>
      </c>
      <c r="V320">
        <v>423</v>
      </c>
    </row>
    <row r="321" spans="1:22">
      <c r="A321">
        <v>317</v>
      </c>
      <c r="B321" s="2">
        <v>46262</v>
      </c>
      <c r="C321" t="s">
        <v>26</v>
      </c>
      <c r="D321" t="s">
        <v>37</v>
      </c>
      <c r="E321" t="s">
        <v>51</v>
      </c>
      <c r="F321">
        <v>15</v>
      </c>
      <c r="G321">
        <v>13</v>
      </c>
      <c r="H321" t="str">
        <f t="shared" si="32"/>
        <v>Win</v>
      </c>
      <c r="I321">
        <f t="shared" si="33"/>
        <v>1</v>
      </c>
      <c r="J321">
        <f t="shared" si="34"/>
        <v>2</v>
      </c>
      <c r="K321">
        <f t="shared" si="35"/>
        <v>28</v>
      </c>
      <c r="L321">
        <v>25</v>
      </c>
      <c r="M321">
        <v>20</v>
      </c>
      <c r="N321">
        <v>5</v>
      </c>
      <c r="O321" s="3">
        <f t="shared" si="36"/>
        <v>1.25</v>
      </c>
      <c r="P321" s="3">
        <f t="shared" si="37"/>
        <v>0.8928571428571429</v>
      </c>
      <c r="Q321" s="3">
        <f t="shared" si="38"/>
        <v>0.7142857142857143</v>
      </c>
      <c r="R321" s="3">
        <f t="shared" si="39"/>
        <v>0.17857142857142858</v>
      </c>
      <c r="S321">
        <v>-18</v>
      </c>
      <c r="T321" s="4">
        <v>0.09</v>
      </c>
      <c r="U321">
        <v>229</v>
      </c>
      <c r="V321">
        <v>644</v>
      </c>
    </row>
    <row r="322" spans="1:22">
      <c r="A322">
        <v>318</v>
      </c>
      <c r="B322" s="2">
        <v>46262</v>
      </c>
      <c r="C322" t="s">
        <v>23</v>
      </c>
      <c r="D322" t="s">
        <v>30</v>
      </c>
      <c r="E322" t="s">
        <v>39</v>
      </c>
      <c r="F322">
        <v>13</v>
      </c>
      <c r="G322">
        <v>9</v>
      </c>
      <c r="H322" t="str">
        <f t="shared" si="32"/>
        <v>Win</v>
      </c>
      <c r="I322">
        <f t="shared" si="33"/>
        <v>1</v>
      </c>
      <c r="J322">
        <f t="shared" si="34"/>
        <v>4</v>
      </c>
      <c r="K322">
        <f t="shared" si="35"/>
        <v>22</v>
      </c>
      <c r="L322">
        <v>12</v>
      </c>
      <c r="M322">
        <v>15</v>
      </c>
      <c r="N322">
        <v>2</v>
      </c>
      <c r="O322" s="3">
        <f t="shared" si="36"/>
        <v>0.8</v>
      </c>
      <c r="P322" s="3">
        <f t="shared" si="37"/>
        <v>0.54545454545454541</v>
      </c>
      <c r="Q322" s="3">
        <f t="shared" si="38"/>
        <v>0.68181818181818177</v>
      </c>
      <c r="R322" s="3">
        <f t="shared" si="39"/>
        <v>9.0909090909090912E-2</v>
      </c>
      <c r="S322">
        <v>2</v>
      </c>
      <c r="T322" s="4">
        <v>0.11</v>
      </c>
      <c r="U322">
        <v>144</v>
      </c>
      <c r="V322">
        <v>436</v>
      </c>
    </row>
    <row r="323" spans="1:22">
      <c r="A323">
        <v>319</v>
      </c>
      <c r="B323" s="2">
        <v>46262</v>
      </c>
      <c r="C323" t="s">
        <v>34</v>
      </c>
      <c r="D323" t="s">
        <v>24</v>
      </c>
      <c r="E323" t="s">
        <v>25</v>
      </c>
      <c r="F323">
        <v>10</v>
      </c>
      <c r="G323">
        <v>13</v>
      </c>
      <c r="H323" t="str">
        <f t="shared" si="32"/>
        <v>Loss</v>
      </c>
      <c r="I323">
        <f t="shared" si="33"/>
        <v>0</v>
      </c>
      <c r="J323">
        <f t="shared" si="34"/>
        <v>-3</v>
      </c>
      <c r="K323">
        <f t="shared" si="35"/>
        <v>23</v>
      </c>
      <c r="L323">
        <v>16</v>
      </c>
      <c r="M323">
        <v>20</v>
      </c>
      <c r="N323">
        <v>2</v>
      </c>
      <c r="O323" s="3">
        <f t="shared" si="36"/>
        <v>0.8</v>
      </c>
      <c r="P323" s="3">
        <f t="shared" si="37"/>
        <v>0.69565217391304346</v>
      </c>
      <c r="Q323" s="3">
        <f t="shared" si="38"/>
        <v>0.86956521739130432</v>
      </c>
      <c r="R323" s="3">
        <f t="shared" si="39"/>
        <v>8.6956521739130432E-2</v>
      </c>
      <c r="S323">
        <v>-29</v>
      </c>
      <c r="T323" s="4">
        <v>0.06</v>
      </c>
      <c r="U323">
        <v>203</v>
      </c>
      <c r="V323">
        <v>354</v>
      </c>
    </row>
    <row r="324" spans="1:22">
      <c r="A324">
        <v>320</v>
      </c>
      <c r="B324" s="2">
        <v>46262</v>
      </c>
      <c r="C324" t="s">
        <v>29</v>
      </c>
      <c r="D324" t="s">
        <v>46</v>
      </c>
      <c r="E324" t="s">
        <v>25</v>
      </c>
      <c r="F324">
        <v>13</v>
      </c>
      <c r="G324">
        <v>8</v>
      </c>
      <c r="H324" t="str">
        <f t="shared" si="32"/>
        <v>Win</v>
      </c>
      <c r="I324">
        <f t="shared" si="33"/>
        <v>1</v>
      </c>
      <c r="J324">
        <f t="shared" si="34"/>
        <v>5</v>
      </c>
      <c r="K324">
        <f t="shared" si="35"/>
        <v>21</v>
      </c>
      <c r="L324">
        <v>19</v>
      </c>
      <c r="M324">
        <v>13</v>
      </c>
      <c r="N324">
        <v>5</v>
      </c>
      <c r="O324" s="3">
        <f t="shared" si="36"/>
        <v>1.4615384615384615</v>
      </c>
      <c r="P324" s="3">
        <f t="shared" si="37"/>
        <v>0.90476190476190477</v>
      </c>
      <c r="Q324" s="3">
        <f t="shared" si="38"/>
        <v>0.61904761904761907</v>
      </c>
      <c r="R324" s="3">
        <f t="shared" si="39"/>
        <v>0.23809523809523808</v>
      </c>
      <c r="S324">
        <v>19</v>
      </c>
      <c r="T324" s="4">
        <v>0.11</v>
      </c>
      <c r="U324">
        <v>248</v>
      </c>
      <c r="V324">
        <v>699</v>
      </c>
    </row>
    <row r="325" spans="1:22">
      <c r="A325">
        <v>321</v>
      </c>
      <c r="B325" s="2">
        <v>46262</v>
      </c>
      <c r="C325" t="s">
        <v>41</v>
      </c>
      <c r="D325" t="s">
        <v>42</v>
      </c>
      <c r="E325" t="s">
        <v>28</v>
      </c>
      <c r="F325">
        <v>9</v>
      </c>
      <c r="G325">
        <v>13</v>
      </c>
      <c r="H325" t="str">
        <f t="shared" ref="H325:H388" si="40">IF(F325&gt;G325,"Win",IF(F325&lt;G325,"Loss","Draw"))</f>
        <v>Loss</v>
      </c>
      <c r="I325">
        <f t="shared" ref="I325:I388" si="41">IF(H325="Win",1,0)</f>
        <v>0</v>
      </c>
      <c r="J325">
        <f t="shared" ref="J325:J388" si="42">F325-G325</f>
        <v>-4</v>
      </c>
      <c r="K325">
        <f t="shared" ref="K325:K388" si="43">F325+G325</f>
        <v>22</v>
      </c>
      <c r="L325">
        <v>17</v>
      </c>
      <c r="M325">
        <v>14</v>
      </c>
      <c r="N325">
        <v>5</v>
      </c>
      <c r="O325" s="3">
        <f t="shared" ref="O325:O388" si="44">IFERROR(L325/M325,0)</f>
        <v>1.2142857142857142</v>
      </c>
      <c r="P325" s="3">
        <f t="shared" ref="P325:P388" si="45">IFERROR(L325/K325,0)</f>
        <v>0.77272727272727271</v>
      </c>
      <c r="Q325" s="3">
        <f t="shared" ref="Q325:Q388" si="46">IFERROR(M325/K325,0)</f>
        <v>0.63636363636363635</v>
      </c>
      <c r="R325" s="3">
        <f t="shared" ref="R325:R388" si="47">IFERROR(N325/K325,0)</f>
        <v>0.22727272727272727</v>
      </c>
      <c r="S325">
        <v>33</v>
      </c>
      <c r="T325" s="4">
        <v>0.14000000000000001</v>
      </c>
      <c r="U325">
        <v>236</v>
      </c>
      <c r="V325">
        <v>680</v>
      </c>
    </row>
    <row r="326" spans="1:22">
      <c r="A326">
        <v>322</v>
      </c>
      <c r="B326" s="2">
        <v>46262</v>
      </c>
      <c r="C326" t="s">
        <v>35</v>
      </c>
      <c r="D326" t="s">
        <v>32</v>
      </c>
      <c r="E326" t="s">
        <v>25</v>
      </c>
      <c r="F326">
        <v>3</v>
      </c>
      <c r="G326">
        <v>13</v>
      </c>
      <c r="H326" t="str">
        <f t="shared" si="40"/>
        <v>Loss</v>
      </c>
      <c r="I326">
        <f t="shared" si="41"/>
        <v>0</v>
      </c>
      <c r="J326">
        <f t="shared" si="42"/>
        <v>-10</v>
      </c>
      <c r="K326">
        <f t="shared" si="43"/>
        <v>16</v>
      </c>
      <c r="L326">
        <v>5</v>
      </c>
      <c r="M326">
        <v>16</v>
      </c>
      <c r="N326">
        <v>3</v>
      </c>
      <c r="O326" s="3">
        <f t="shared" si="44"/>
        <v>0.3125</v>
      </c>
      <c r="P326" s="3">
        <f t="shared" si="45"/>
        <v>0.3125</v>
      </c>
      <c r="Q326" s="3">
        <f t="shared" si="46"/>
        <v>1</v>
      </c>
      <c r="R326" s="3">
        <f t="shared" si="47"/>
        <v>0.1875</v>
      </c>
      <c r="S326">
        <v>-65</v>
      </c>
      <c r="T326" s="4">
        <v>0.08</v>
      </c>
      <c r="U326">
        <v>121</v>
      </c>
      <c r="V326">
        <v>100</v>
      </c>
    </row>
    <row r="327" spans="1:22">
      <c r="A327">
        <v>323</v>
      </c>
      <c r="B327" s="2">
        <v>46261</v>
      </c>
      <c r="C327" t="s">
        <v>29</v>
      </c>
      <c r="D327" t="s">
        <v>31</v>
      </c>
      <c r="E327" t="s">
        <v>25</v>
      </c>
      <c r="F327">
        <v>4</v>
      </c>
      <c r="G327">
        <v>13</v>
      </c>
      <c r="H327" t="str">
        <f t="shared" si="40"/>
        <v>Loss</v>
      </c>
      <c r="I327">
        <f t="shared" si="41"/>
        <v>0</v>
      </c>
      <c r="J327">
        <f t="shared" si="42"/>
        <v>-9</v>
      </c>
      <c r="K327">
        <f t="shared" si="43"/>
        <v>17</v>
      </c>
      <c r="L327">
        <v>8</v>
      </c>
      <c r="M327">
        <v>14</v>
      </c>
      <c r="N327">
        <v>4</v>
      </c>
      <c r="O327" s="3">
        <f t="shared" si="44"/>
        <v>0.5714285714285714</v>
      </c>
      <c r="P327" s="3">
        <f t="shared" si="45"/>
        <v>0.47058823529411764</v>
      </c>
      <c r="Q327" s="3">
        <f t="shared" si="46"/>
        <v>0.82352941176470584</v>
      </c>
      <c r="R327" s="3">
        <f t="shared" si="47"/>
        <v>0.23529411764705882</v>
      </c>
      <c r="S327">
        <v>-66</v>
      </c>
      <c r="T327" s="4">
        <v>0.05</v>
      </c>
      <c r="U327">
        <v>137</v>
      </c>
      <c r="V327">
        <v>115</v>
      </c>
    </row>
    <row r="328" spans="1:22">
      <c r="A328">
        <v>324</v>
      </c>
      <c r="B328" s="2">
        <v>46261</v>
      </c>
      <c r="C328" t="s">
        <v>35</v>
      </c>
      <c r="D328" t="s">
        <v>42</v>
      </c>
      <c r="E328" t="s">
        <v>25</v>
      </c>
      <c r="F328">
        <v>13</v>
      </c>
      <c r="G328">
        <v>8</v>
      </c>
      <c r="H328" t="str">
        <f t="shared" si="40"/>
        <v>Win</v>
      </c>
      <c r="I328">
        <f t="shared" si="41"/>
        <v>1</v>
      </c>
      <c r="J328">
        <f t="shared" si="42"/>
        <v>5</v>
      </c>
      <c r="K328">
        <f t="shared" si="43"/>
        <v>21</v>
      </c>
      <c r="L328">
        <v>21</v>
      </c>
      <c r="M328">
        <v>8</v>
      </c>
      <c r="N328">
        <v>4</v>
      </c>
      <c r="O328" s="3">
        <f t="shared" si="44"/>
        <v>2.625</v>
      </c>
      <c r="P328" s="3">
        <f t="shared" si="45"/>
        <v>1</v>
      </c>
      <c r="Q328" s="3">
        <f t="shared" si="46"/>
        <v>0.38095238095238093</v>
      </c>
      <c r="R328" s="3">
        <f t="shared" si="47"/>
        <v>0.19047619047619047</v>
      </c>
      <c r="S328">
        <v>104</v>
      </c>
      <c r="T328" s="4">
        <v>0.15</v>
      </c>
      <c r="U328">
        <v>272</v>
      </c>
      <c r="V328">
        <v>856</v>
      </c>
    </row>
    <row r="329" spans="1:22">
      <c r="A329">
        <v>325</v>
      </c>
      <c r="B329" s="2">
        <v>46261</v>
      </c>
      <c r="C329" t="s">
        <v>23</v>
      </c>
      <c r="D329" t="s">
        <v>30</v>
      </c>
      <c r="E329" t="s">
        <v>39</v>
      </c>
      <c r="F329">
        <v>5</v>
      </c>
      <c r="G329">
        <v>13</v>
      </c>
      <c r="H329" t="str">
        <f t="shared" si="40"/>
        <v>Loss</v>
      </c>
      <c r="I329">
        <f t="shared" si="41"/>
        <v>0</v>
      </c>
      <c r="J329">
        <f t="shared" si="42"/>
        <v>-8</v>
      </c>
      <c r="K329">
        <f t="shared" si="43"/>
        <v>18</v>
      </c>
      <c r="L329">
        <v>12</v>
      </c>
      <c r="M329">
        <v>18</v>
      </c>
      <c r="N329">
        <v>4</v>
      </c>
      <c r="O329" s="3">
        <f t="shared" si="44"/>
        <v>0.66666666666666663</v>
      </c>
      <c r="P329" s="3">
        <f t="shared" si="45"/>
        <v>0.66666666666666663</v>
      </c>
      <c r="Q329" s="3">
        <f t="shared" si="46"/>
        <v>1</v>
      </c>
      <c r="R329" s="3">
        <f t="shared" si="47"/>
        <v>0.22222222222222221</v>
      </c>
      <c r="S329">
        <v>-46</v>
      </c>
      <c r="T329" s="4">
        <v>0.03</v>
      </c>
      <c r="U329">
        <v>196</v>
      </c>
      <c r="V329">
        <v>380</v>
      </c>
    </row>
    <row r="330" spans="1:22">
      <c r="A330">
        <v>326</v>
      </c>
      <c r="B330" s="2">
        <v>46261</v>
      </c>
      <c r="C330" t="s">
        <v>23</v>
      </c>
      <c r="D330" t="s">
        <v>30</v>
      </c>
      <c r="E330" t="s">
        <v>39</v>
      </c>
      <c r="F330">
        <v>10</v>
      </c>
      <c r="G330">
        <v>2</v>
      </c>
      <c r="H330" t="str">
        <f t="shared" si="40"/>
        <v>Win</v>
      </c>
      <c r="I330">
        <f t="shared" si="41"/>
        <v>1</v>
      </c>
      <c r="J330">
        <f t="shared" si="42"/>
        <v>8</v>
      </c>
      <c r="K330">
        <f t="shared" si="43"/>
        <v>12</v>
      </c>
      <c r="L330">
        <v>6</v>
      </c>
      <c r="M330">
        <v>5</v>
      </c>
      <c r="N330">
        <v>1</v>
      </c>
      <c r="O330" s="3">
        <f t="shared" si="44"/>
        <v>1.2</v>
      </c>
      <c r="P330" s="3">
        <f t="shared" si="45"/>
        <v>0.5</v>
      </c>
      <c r="Q330" s="3">
        <f t="shared" si="46"/>
        <v>0.41666666666666669</v>
      </c>
      <c r="R330" s="3">
        <f t="shared" si="47"/>
        <v>8.3333333333333329E-2</v>
      </c>
      <c r="S330">
        <v>-42</v>
      </c>
      <c r="T330" s="4">
        <v>0</v>
      </c>
      <c r="U330">
        <v>89</v>
      </c>
      <c r="V330">
        <v>322</v>
      </c>
    </row>
    <row r="331" spans="1:22">
      <c r="A331">
        <v>327</v>
      </c>
      <c r="B331" s="2">
        <v>46261</v>
      </c>
      <c r="C331" t="s">
        <v>26</v>
      </c>
      <c r="D331" t="s">
        <v>27</v>
      </c>
      <c r="E331" t="s">
        <v>28</v>
      </c>
      <c r="F331">
        <v>13</v>
      </c>
      <c r="G331">
        <v>11</v>
      </c>
      <c r="H331" t="str">
        <f t="shared" si="40"/>
        <v>Win</v>
      </c>
      <c r="I331">
        <f t="shared" si="41"/>
        <v>1</v>
      </c>
      <c r="J331">
        <f t="shared" si="42"/>
        <v>2</v>
      </c>
      <c r="K331">
        <f t="shared" si="43"/>
        <v>24</v>
      </c>
      <c r="L331">
        <v>20</v>
      </c>
      <c r="M331">
        <v>16</v>
      </c>
      <c r="N331">
        <v>8</v>
      </c>
      <c r="O331" s="3">
        <f t="shared" si="44"/>
        <v>1.25</v>
      </c>
      <c r="P331" s="3">
        <f t="shared" si="45"/>
        <v>0.83333333333333337</v>
      </c>
      <c r="Q331" s="3">
        <f t="shared" si="46"/>
        <v>0.66666666666666663</v>
      </c>
      <c r="R331" s="3">
        <f t="shared" si="47"/>
        <v>0.33333333333333331</v>
      </c>
      <c r="S331">
        <v>21</v>
      </c>
      <c r="T331" s="4">
        <v>0.13</v>
      </c>
      <c r="U331">
        <v>240</v>
      </c>
      <c r="V331">
        <v>740</v>
      </c>
    </row>
    <row r="332" spans="1:22">
      <c r="A332">
        <v>328</v>
      </c>
      <c r="B332" s="2">
        <v>46261</v>
      </c>
      <c r="C332" t="s">
        <v>29</v>
      </c>
      <c r="D332" t="s">
        <v>30</v>
      </c>
      <c r="E332" t="s">
        <v>25</v>
      </c>
      <c r="F332">
        <v>3</v>
      </c>
      <c r="G332">
        <v>13</v>
      </c>
      <c r="H332" t="str">
        <f t="shared" si="40"/>
        <v>Loss</v>
      </c>
      <c r="I332">
        <f t="shared" si="41"/>
        <v>0</v>
      </c>
      <c r="J332">
        <f t="shared" si="42"/>
        <v>-10</v>
      </c>
      <c r="K332">
        <f t="shared" si="43"/>
        <v>16</v>
      </c>
      <c r="L332">
        <v>7</v>
      </c>
      <c r="M332">
        <v>13</v>
      </c>
      <c r="N332">
        <v>6</v>
      </c>
      <c r="O332" s="3">
        <f t="shared" si="44"/>
        <v>0.53846153846153844</v>
      </c>
      <c r="P332" s="3">
        <f t="shared" si="45"/>
        <v>0.4375</v>
      </c>
      <c r="Q332" s="3">
        <f t="shared" si="46"/>
        <v>0.8125</v>
      </c>
      <c r="R332" s="3">
        <f t="shared" si="47"/>
        <v>0.375</v>
      </c>
      <c r="S332">
        <v>-57</v>
      </c>
      <c r="T332" s="4">
        <v>0.02</v>
      </c>
      <c r="U332">
        <v>120</v>
      </c>
      <c r="V332">
        <v>144</v>
      </c>
    </row>
    <row r="333" spans="1:22">
      <c r="A333">
        <v>329</v>
      </c>
      <c r="B333" s="2">
        <v>46260</v>
      </c>
      <c r="C333" t="s">
        <v>34</v>
      </c>
      <c r="D333" t="s">
        <v>46</v>
      </c>
      <c r="E333" t="s">
        <v>25</v>
      </c>
      <c r="F333">
        <v>7</v>
      </c>
      <c r="G333">
        <v>13</v>
      </c>
      <c r="H333" t="str">
        <f t="shared" si="40"/>
        <v>Loss</v>
      </c>
      <c r="I333">
        <f t="shared" si="41"/>
        <v>0</v>
      </c>
      <c r="J333">
        <f t="shared" si="42"/>
        <v>-6</v>
      </c>
      <c r="K333">
        <f t="shared" si="43"/>
        <v>20</v>
      </c>
      <c r="L333">
        <v>22</v>
      </c>
      <c r="M333">
        <v>15</v>
      </c>
      <c r="N333">
        <v>3</v>
      </c>
      <c r="O333" s="3">
        <f t="shared" si="44"/>
        <v>1.4666666666666666</v>
      </c>
      <c r="P333" s="3">
        <f t="shared" si="45"/>
        <v>1.1000000000000001</v>
      </c>
      <c r="Q333" s="3">
        <f t="shared" si="46"/>
        <v>0.75</v>
      </c>
      <c r="R333" s="3">
        <f t="shared" si="47"/>
        <v>0.15</v>
      </c>
      <c r="S333">
        <v>56</v>
      </c>
      <c r="T333" s="4">
        <v>0.05</v>
      </c>
      <c r="U333">
        <v>305</v>
      </c>
      <c r="V333">
        <v>783</v>
      </c>
    </row>
    <row r="334" spans="1:22">
      <c r="A334">
        <v>330</v>
      </c>
      <c r="B334" s="2">
        <v>46260</v>
      </c>
      <c r="C334" t="s">
        <v>29</v>
      </c>
      <c r="D334" t="s">
        <v>30</v>
      </c>
      <c r="E334" t="s">
        <v>25</v>
      </c>
      <c r="F334">
        <v>13</v>
      </c>
      <c r="G334">
        <v>9</v>
      </c>
      <c r="H334" t="str">
        <f t="shared" si="40"/>
        <v>Win</v>
      </c>
      <c r="I334">
        <f t="shared" si="41"/>
        <v>1</v>
      </c>
      <c r="J334">
        <f t="shared" si="42"/>
        <v>4</v>
      </c>
      <c r="K334">
        <f t="shared" si="43"/>
        <v>22</v>
      </c>
      <c r="L334">
        <v>13</v>
      </c>
      <c r="M334">
        <v>13</v>
      </c>
      <c r="N334">
        <v>3</v>
      </c>
      <c r="O334" s="3">
        <f t="shared" si="44"/>
        <v>1</v>
      </c>
      <c r="P334" s="3">
        <f t="shared" si="45"/>
        <v>0.59090909090909094</v>
      </c>
      <c r="Q334" s="3">
        <f t="shared" si="46"/>
        <v>0.59090909090909094</v>
      </c>
      <c r="R334" s="3">
        <f t="shared" si="47"/>
        <v>0.13636363636363635</v>
      </c>
      <c r="S334">
        <v>-6</v>
      </c>
      <c r="T334" s="4">
        <v>0.11</v>
      </c>
      <c r="U334">
        <v>167</v>
      </c>
      <c r="V334">
        <v>455</v>
      </c>
    </row>
    <row r="335" spans="1:22">
      <c r="A335">
        <v>331</v>
      </c>
      <c r="B335" s="2">
        <v>46260</v>
      </c>
      <c r="C335" t="s">
        <v>41</v>
      </c>
      <c r="D335" t="s">
        <v>42</v>
      </c>
      <c r="E335" t="s">
        <v>28</v>
      </c>
      <c r="F335">
        <v>13</v>
      </c>
      <c r="G335">
        <v>3</v>
      </c>
      <c r="H335" t="str">
        <f t="shared" si="40"/>
        <v>Win</v>
      </c>
      <c r="I335">
        <f t="shared" si="41"/>
        <v>1</v>
      </c>
      <c r="J335">
        <f t="shared" si="42"/>
        <v>10</v>
      </c>
      <c r="K335">
        <f t="shared" si="43"/>
        <v>16</v>
      </c>
      <c r="L335">
        <v>17</v>
      </c>
      <c r="M335">
        <v>11</v>
      </c>
      <c r="N335">
        <v>7</v>
      </c>
      <c r="O335" s="3">
        <f t="shared" si="44"/>
        <v>1.5454545454545454</v>
      </c>
      <c r="P335" s="3">
        <f t="shared" si="45"/>
        <v>1.0625</v>
      </c>
      <c r="Q335" s="3">
        <f t="shared" si="46"/>
        <v>0.6875</v>
      </c>
      <c r="R335" s="3">
        <f t="shared" si="47"/>
        <v>0.4375</v>
      </c>
      <c r="S335">
        <v>54</v>
      </c>
      <c r="T335" s="4">
        <v>0.11</v>
      </c>
      <c r="U335">
        <v>318</v>
      </c>
      <c r="V335">
        <v>946</v>
      </c>
    </row>
    <row r="336" spans="1:22">
      <c r="A336">
        <v>332</v>
      </c>
      <c r="B336" s="2">
        <v>46260</v>
      </c>
      <c r="C336" t="s">
        <v>35</v>
      </c>
      <c r="D336" t="s">
        <v>27</v>
      </c>
      <c r="E336" t="s">
        <v>25</v>
      </c>
      <c r="F336">
        <v>4</v>
      </c>
      <c r="G336">
        <v>13</v>
      </c>
      <c r="H336" t="str">
        <f t="shared" si="40"/>
        <v>Loss</v>
      </c>
      <c r="I336">
        <f t="shared" si="41"/>
        <v>0</v>
      </c>
      <c r="J336">
        <f t="shared" si="42"/>
        <v>-9</v>
      </c>
      <c r="K336">
        <f t="shared" si="43"/>
        <v>17</v>
      </c>
      <c r="L336">
        <v>12</v>
      </c>
      <c r="M336">
        <v>12</v>
      </c>
      <c r="N336">
        <v>2</v>
      </c>
      <c r="O336" s="3">
        <f t="shared" si="44"/>
        <v>1</v>
      </c>
      <c r="P336" s="3">
        <f t="shared" si="45"/>
        <v>0.70588235294117652</v>
      </c>
      <c r="Q336" s="3">
        <f t="shared" si="46"/>
        <v>0.70588235294117652</v>
      </c>
      <c r="R336" s="3">
        <f t="shared" si="47"/>
        <v>0.11764705882352941</v>
      </c>
      <c r="S336">
        <v>7</v>
      </c>
      <c r="T336" s="4">
        <v>0.1</v>
      </c>
      <c r="U336">
        <v>203</v>
      </c>
      <c r="V336">
        <v>375</v>
      </c>
    </row>
    <row r="337" spans="1:22">
      <c r="A337">
        <v>333</v>
      </c>
      <c r="B337" s="2">
        <v>46260</v>
      </c>
      <c r="C337" t="s">
        <v>40</v>
      </c>
      <c r="D337" t="s">
        <v>24</v>
      </c>
      <c r="E337" t="s">
        <v>25</v>
      </c>
      <c r="F337">
        <v>13</v>
      </c>
      <c r="G337">
        <v>11</v>
      </c>
      <c r="H337" t="str">
        <f t="shared" si="40"/>
        <v>Win</v>
      </c>
      <c r="I337">
        <f t="shared" si="41"/>
        <v>1</v>
      </c>
      <c r="J337">
        <f t="shared" si="42"/>
        <v>2</v>
      </c>
      <c r="K337">
        <f t="shared" si="43"/>
        <v>24</v>
      </c>
      <c r="L337">
        <v>16</v>
      </c>
      <c r="M337">
        <v>14</v>
      </c>
      <c r="N337">
        <v>7</v>
      </c>
      <c r="O337" s="3">
        <f t="shared" si="44"/>
        <v>1.1428571428571428</v>
      </c>
      <c r="P337" s="3">
        <f t="shared" si="45"/>
        <v>0.66666666666666663</v>
      </c>
      <c r="Q337" s="3">
        <f t="shared" si="46"/>
        <v>0.58333333333333337</v>
      </c>
      <c r="R337" s="3">
        <f t="shared" si="47"/>
        <v>0.29166666666666669</v>
      </c>
      <c r="S337">
        <v>2</v>
      </c>
      <c r="T337" s="4">
        <v>0.08</v>
      </c>
      <c r="U337">
        <v>179</v>
      </c>
      <c r="V337">
        <v>629</v>
      </c>
    </row>
    <row r="338" spans="1:22">
      <c r="A338">
        <v>334</v>
      </c>
      <c r="B338" s="2">
        <v>46260</v>
      </c>
      <c r="C338" t="s">
        <v>41</v>
      </c>
      <c r="D338" t="s">
        <v>32</v>
      </c>
      <c r="E338" t="s">
        <v>28</v>
      </c>
      <c r="F338">
        <v>3</v>
      </c>
      <c r="G338">
        <v>13</v>
      </c>
      <c r="H338" t="str">
        <f t="shared" si="40"/>
        <v>Loss</v>
      </c>
      <c r="I338">
        <f t="shared" si="41"/>
        <v>0</v>
      </c>
      <c r="J338">
        <f t="shared" si="42"/>
        <v>-10</v>
      </c>
      <c r="K338">
        <f t="shared" si="43"/>
        <v>16</v>
      </c>
      <c r="L338">
        <v>7</v>
      </c>
      <c r="M338">
        <v>15</v>
      </c>
      <c r="N338">
        <v>2</v>
      </c>
      <c r="O338" s="3">
        <f t="shared" si="44"/>
        <v>0.46666666666666667</v>
      </c>
      <c r="P338" s="3">
        <f t="shared" si="45"/>
        <v>0.4375</v>
      </c>
      <c r="Q338" s="3">
        <f t="shared" si="46"/>
        <v>0.9375</v>
      </c>
      <c r="R338" s="3">
        <f t="shared" si="47"/>
        <v>0.125</v>
      </c>
      <c r="S338">
        <v>-57</v>
      </c>
      <c r="T338" s="4">
        <v>0.02</v>
      </c>
      <c r="U338">
        <v>133</v>
      </c>
      <c r="V338">
        <v>106</v>
      </c>
    </row>
    <row r="339" spans="1:22">
      <c r="A339">
        <v>335</v>
      </c>
      <c r="B339" s="2">
        <v>46260</v>
      </c>
      <c r="C339" t="s">
        <v>29</v>
      </c>
      <c r="D339" t="s">
        <v>32</v>
      </c>
      <c r="E339" t="s">
        <v>50</v>
      </c>
      <c r="F339">
        <v>13</v>
      </c>
      <c r="G339">
        <v>9</v>
      </c>
      <c r="H339" t="str">
        <f t="shared" si="40"/>
        <v>Win</v>
      </c>
      <c r="I339">
        <f t="shared" si="41"/>
        <v>1</v>
      </c>
      <c r="J339">
        <f t="shared" si="42"/>
        <v>4</v>
      </c>
      <c r="K339">
        <f t="shared" si="43"/>
        <v>22</v>
      </c>
      <c r="L339">
        <v>12</v>
      </c>
      <c r="M339">
        <v>16</v>
      </c>
      <c r="N339">
        <v>5</v>
      </c>
      <c r="O339" s="3">
        <f t="shared" si="44"/>
        <v>0.75</v>
      </c>
      <c r="P339" s="3">
        <f t="shared" si="45"/>
        <v>0.54545454545454541</v>
      </c>
      <c r="Q339" s="3">
        <f t="shared" si="46"/>
        <v>0.72727272727272729</v>
      </c>
      <c r="R339" s="3">
        <f t="shared" si="47"/>
        <v>0.22727272727272727</v>
      </c>
      <c r="S339">
        <v>-24</v>
      </c>
      <c r="T339" s="4">
        <v>0.24</v>
      </c>
      <c r="U339">
        <v>158</v>
      </c>
      <c r="V339">
        <v>403</v>
      </c>
    </row>
    <row r="340" spans="1:22">
      <c r="A340">
        <v>336</v>
      </c>
      <c r="B340" s="2">
        <v>46260</v>
      </c>
      <c r="C340" t="s">
        <v>23</v>
      </c>
      <c r="D340" t="s">
        <v>31</v>
      </c>
      <c r="E340" t="s">
        <v>45</v>
      </c>
      <c r="F340">
        <v>4</v>
      </c>
      <c r="G340">
        <v>13</v>
      </c>
      <c r="H340" t="str">
        <f t="shared" si="40"/>
        <v>Loss</v>
      </c>
      <c r="I340">
        <f t="shared" si="41"/>
        <v>0</v>
      </c>
      <c r="J340">
        <f t="shared" si="42"/>
        <v>-9</v>
      </c>
      <c r="K340">
        <f t="shared" si="43"/>
        <v>17</v>
      </c>
      <c r="L340">
        <v>6</v>
      </c>
      <c r="M340">
        <v>15</v>
      </c>
      <c r="N340">
        <v>7</v>
      </c>
      <c r="O340" s="3">
        <f t="shared" si="44"/>
        <v>0.4</v>
      </c>
      <c r="P340" s="3">
        <f t="shared" si="45"/>
        <v>0.35294117647058826</v>
      </c>
      <c r="Q340" s="3">
        <f t="shared" si="46"/>
        <v>0.88235294117647056</v>
      </c>
      <c r="R340" s="3">
        <f t="shared" si="47"/>
        <v>0.41176470588235292</v>
      </c>
      <c r="S340">
        <v>-59</v>
      </c>
      <c r="T340" s="4">
        <v>0.05</v>
      </c>
      <c r="U340">
        <v>136</v>
      </c>
      <c r="V340">
        <v>151</v>
      </c>
    </row>
    <row r="341" spans="1:22">
      <c r="A341">
        <v>337</v>
      </c>
      <c r="B341" s="2">
        <v>46260</v>
      </c>
      <c r="C341" t="s">
        <v>41</v>
      </c>
      <c r="D341" t="s">
        <v>24</v>
      </c>
      <c r="E341" t="s">
        <v>28</v>
      </c>
      <c r="F341">
        <v>13</v>
      </c>
      <c r="G341">
        <v>11</v>
      </c>
      <c r="H341" t="str">
        <f t="shared" si="40"/>
        <v>Win</v>
      </c>
      <c r="I341">
        <f t="shared" si="41"/>
        <v>1</v>
      </c>
      <c r="J341">
        <f t="shared" si="42"/>
        <v>2</v>
      </c>
      <c r="K341">
        <f t="shared" si="43"/>
        <v>24</v>
      </c>
      <c r="L341">
        <v>14</v>
      </c>
      <c r="M341">
        <v>18</v>
      </c>
      <c r="N341">
        <v>0</v>
      </c>
      <c r="O341" s="3">
        <f t="shared" si="44"/>
        <v>0.77777777777777779</v>
      </c>
      <c r="P341" s="3">
        <f t="shared" si="45"/>
        <v>0.58333333333333337</v>
      </c>
      <c r="Q341" s="3">
        <f t="shared" si="46"/>
        <v>0.75</v>
      </c>
      <c r="R341" s="3">
        <f t="shared" si="47"/>
        <v>0</v>
      </c>
      <c r="S341">
        <v>-29</v>
      </c>
      <c r="T341" s="4">
        <v>0.06</v>
      </c>
      <c r="U341">
        <v>181</v>
      </c>
      <c r="V341">
        <v>366</v>
      </c>
    </row>
    <row r="342" spans="1:22">
      <c r="A342">
        <v>338</v>
      </c>
      <c r="B342" s="2">
        <v>46259</v>
      </c>
      <c r="C342" t="s">
        <v>26</v>
      </c>
      <c r="D342" t="s">
        <v>31</v>
      </c>
      <c r="E342" t="s">
        <v>28</v>
      </c>
      <c r="F342">
        <v>8</v>
      </c>
      <c r="G342">
        <v>13</v>
      </c>
      <c r="H342" t="str">
        <f t="shared" si="40"/>
        <v>Loss</v>
      </c>
      <c r="I342">
        <f t="shared" si="41"/>
        <v>0</v>
      </c>
      <c r="J342">
        <f t="shared" si="42"/>
        <v>-5</v>
      </c>
      <c r="K342">
        <f t="shared" si="43"/>
        <v>21</v>
      </c>
      <c r="L342">
        <v>10</v>
      </c>
      <c r="M342">
        <v>17</v>
      </c>
      <c r="N342">
        <v>2</v>
      </c>
      <c r="O342" s="3">
        <f t="shared" si="44"/>
        <v>0.58823529411764708</v>
      </c>
      <c r="P342" s="3">
        <f t="shared" si="45"/>
        <v>0.47619047619047616</v>
      </c>
      <c r="Q342" s="3">
        <f t="shared" si="46"/>
        <v>0.80952380952380953</v>
      </c>
      <c r="R342" s="3">
        <f t="shared" si="47"/>
        <v>9.5238095238095233E-2</v>
      </c>
      <c r="S342">
        <v>-50</v>
      </c>
      <c r="T342" s="4">
        <v>0.1</v>
      </c>
      <c r="U342">
        <v>140</v>
      </c>
      <c r="V342">
        <v>189</v>
      </c>
    </row>
    <row r="343" spans="1:22">
      <c r="A343">
        <v>339</v>
      </c>
      <c r="B343" s="2">
        <v>46259</v>
      </c>
      <c r="C343" t="s">
        <v>40</v>
      </c>
      <c r="D343" t="s">
        <v>46</v>
      </c>
      <c r="E343" t="s">
        <v>28</v>
      </c>
      <c r="F343">
        <v>10</v>
      </c>
      <c r="G343">
        <v>13</v>
      </c>
      <c r="H343" t="str">
        <f t="shared" si="40"/>
        <v>Loss</v>
      </c>
      <c r="I343">
        <f t="shared" si="41"/>
        <v>0</v>
      </c>
      <c r="J343">
        <f t="shared" si="42"/>
        <v>-3</v>
      </c>
      <c r="K343">
        <f t="shared" si="43"/>
        <v>23</v>
      </c>
      <c r="L343">
        <v>20</v>
      </c>
      <c r="M343">
        <v>17</v>
      </c>
      <c r="N343">
        <v>8</v>
      </c>
      <c r="O343" s="3">
        <f t="shared" si="44"/>
        <v>1.1764705882352942</v>
      </c>
      <c r="P343" s="3">
        <f t="shared" si="45"/>
        <v>0.86956521739130432</v>
      </c>
      <c r="Q343" s="3">
        <f t="shared" si="46"/>
        <v>0.73913043478260865</v>
      </c>
      <c r="R343" s="3">
        <f t="shared" si="47"/>
        <v>0.34782608695652173</v>
      </c>
      <c r="S343">
        <v>-3</v>
      </c>
      <c r="T343" s="4">
        <v>0.13</v>
      </c>
      <c r="U343">
        <v>264</v>
      </c>
      <c r="V343">
        <v>590</v>
      </c>
    </row>
    <row r="344" spans="1:22">
      <c r="A344">
        <v>340</v>
      </c>
      <c r="B344" s="2">
        <v>46259</v>
      </c>
      <c r="C344" t="s">
        <v>35</v>
      </c>
      <c r="D344" t="s">
        <v>24</v>
      </c>
      <c r="E344" t="s">
        <v>25</v>
      </c>
      <c r="F344">
        <v>13</v>
      </c>
      <c r="G344">
        <v>8</v>
      </c>
      <c r="H344" t="str">
        <f t="shared" si="40"/>
        <v>Win</v>
      </c>
      <c r="I344">
        <f t="shared" si="41"/>
        <v>1</v>
      </c>
      <c r="J344">
        <f t="shared" si="42"/>
        <v>5</v>
      </c>
      <c r="K344">
        <f t="shared" si="43"/>
        <v>21</v>
      </c>
      <c r="L344">
        <v>15</v>
      </c>
      <c r="M344">
        <v>13</v>
      </c>
      <c r="N344">
        <v>2</v>
      </c>
      <c r="O344" s="3">
        <f t="shared" si="44"/>
        <v>1.1538461538461537</v>
      </c>
      <c r="P344" s="3">
        <f t="shared" si="45"/>
        <v>0.7142857142857143</v>
      </c>
      <c r="Q344" s="3">
        <f t="shared" si="46"/>
        <v>0.61904761904761907</v>
      </c>
      <c r="R344" s="3">
        <f t="shared" si="47"/>
        <v>9.5238095238095233E-2</v>
      </c>
      <c r="S344">
        <v>-21</v>
      </c>
      <c r="T344" s="4">
        <v>7.0000000000000007E-2</v>
      </c>
      <c r="U344">
        <v>180</v>
      </c>
      <c r="V344">
        <v>602</v>
      </c>
    </row>
    <row r="345" spans="1:22">
      <c r="A345">
        <v>341</v>
      </c>
      <c r="B345" s="2">
        <v>46259</v>
      </c>
      <c r="C345" t="s">
        <v>41</v>
      </c>
      <c r="D345" t="s">
        <v>36</v>
      </c>
      <c r="E345" t="s">
        <v>28</v>
      </c>
      <c r="F345">
        <v>13</v>
      </c>
      <c r="G345">
        <v>11</v>
      </c>
      <c r="H345" t="str">
        <f t="shared" si="40"/>
        <v>Win</v>
      </c>
      <c r="I345">
        <f t="shared" si="41"/>
        <v>1</v>
      </c>
      <c r="J345">
        <f t="shared" si="42"/>
        <v>2</v>
      </c>
      <c r="K345">
        <f t="shared" si="43"/>
        <v>24</v>
      </c>
      <c r="L345">
        <v>18</v>
      </c>
      <c r="M345">
        <v>13</v>
      </c>
      <c r="N345">
        <v>6</v>
      </c>
      <c r="O345" s="3">
        <f t="shared" si="44"/>
        <v>1.3846153846153846</v>
      </c>
      <c r="P345" s="3">
        <f t="shared" si="45"/>
        <v>0.75</v>
      </c>
      <c r="Q345" s="3">
        <f t="shared" si="46"/>
        <v>0.54166666666666663</v>
      </c>
      <c r="R345" s="3">
        <f t="shared" si="47"/>
        <v>0.25</v>
      </c>
      <c r="S345">
        <v>48</v>
      </c>
      <c r="T345" s="4">
        <v>0.12</v>
      </c>
      <c r="U345">
        <v>221</v>
      </c>
      <c r="V345">
        <v>748</v>
      </c>
    </row>
    <row r="346" spans="1:22">
      <c r="A346">
        <v>342</v>
      </c>
      <c r="B346" s="2">
        <v>46259</v>
      </c>
      <c r="C346" t="s">
        <v>26</v>
      </c>
      <c r="D346" t="s">
        <v>36</v>
      </c>
      <c r="E346" t="s">
        <v>28</v>
      </c>
      <c r="F346">
        <v>14</v>
      </c>
      <c r="G346">
        <v>12</v>
      </c>
      <c r="H346" t="str">
        <f t="shared" si="40"/>
        <v>Win</v>
      </c>
      <c r="I346">
        <f t="shared" si="41"/>
        <v>1</v>
      </c>
      <c r="J346">
        <f t="shared" si="42"/>
        <v>2</v>
      </c>
      <c r="K346">
        <f t="shared" si="43"/>
        <v>26</v>
      </c>
      <c r="L346">
        <v>18</v>
      </c>
      <c r="M346">
        <v>19</v>
      </c>
      <c r="N346">
        <v>10</v>
      </c>
      <c r="O346" s="3">
        <f t="shared" si="44"/>
        <v>0.94736842105263153</v>
      </c>
      <c r="P346" s="3">
        <f t="shared" si="45"/>
        <v>0.69230769230769229</v>
      </c>
      <c r="Q346" s="3">
        <f t="shared" si="46"/>
        <v>0.73076923076923073</v>
      </c>
      <c r="R346" s="3">
        <f t="shared" si="47"/>
        <v>0.38461538461538464</v>
      </c>
      <c r="S346">
        <v>-5</v>
      </c>
      <c r="T346" s="4">
        <v>0.06</v>
      </c>
      <c r="U346">
        <v>207</v>
      </c>
      <c r="V346">
        <v>679</v>
      </c>
    </row>
    <row r="347" spans="1:22">
      <c r="A347">
        <v>343</v>
      </c>
      <c r="B347" s="2">
        <v>46259</v>
      </c>
      <c r="C347" t="s">
        <v>35</v>
      </c>
      <c r="D347" t="s">
        <v>30</v>
      </c>
      <c r="E347" t="s">
        <v>25</v>
      </c>
      <c r="F347">
        <v>7</v>
      </c>
      <c r="G347">
        <v>13</v>
      </c>
      <c r="H347" t="str">
        <f t="shared" si="40"/>
        <v>Loss</v>
      </c>
      <c r="I347">
        <f t="shared" si="41"/>
        <v>0</v>
      </c>
      <c r="J347">
        <f t="shared" si="42"/>
        <v>-6</v>
      </c>
      <c r="K347">
        <f t="shared" si="43"/>
        <v>20</v>
      </c>
      <c r="L347">
        <v>9</v>
      </c>
      <c r="M347">
        <v>15</v>
      </c>
      <c r="N347">
        <v>3</v>
      </c>
      <c r="O347" s="3">
        <f t="shared" si="44"/>
        <v>0.6</v>
      </c>
      <c r="P347" s="3">
        <f t="shared" si="45"/>
        <v>0.45</v>
      </c>
      <c r="Q347" s="3">
        <f t="shared" si="46"/>
        <v>0.75</v>
      </c>
      <c r="R347" s="3">
        <f t="shared" si="47"/>
        <v>0.15</v>
      </c>
      <c r="S347">
        <v>-28</v>
      </c>
      <c r="T347" s="4">
        <v>0.13</v>
      </c>
      <c r="U347">
        <v>149</v>
      </c>
      <c r="V347">
        <v>248</v>
      </c>
    </row>
    <row r="348" spans="1:22">
      <c r="A348">
        <v>344</v>
      </c>
      <c r="B348" s="2">
        <v>46259</v>
      </c>
      <c r="C348" t="s">
        <v>40</v>
      </c>
      <c r="D348" t="s">
        <v>46</v>
      </c>
      <c r="E348" t="s">
        <v>25</v>
      </c>
      <c r="F348">
        <v>13</v>
      </c>
      <c r="G348">
        <v>4</v>
      </c>
      <c r="H348" t="str">
        <f t="shared" si="40"/>
        <v>Win</v>
      </c>
      <c r="I348">
        <f t="shared" si="41"/>
        <v>1</v>
      </c>
      <c r="J348">
        <f t="shared" si="42"/>
        <v>9</v>
      </c>
      <c r="K348">
        <f t="shared" si="43"/>
        <v>17</v>
      </c>
      <c r="L348">
        <v>20</v>
      </c>
      <c r="M348">
        <v>9</v>
      </c>
      <c r="N348">
        <v>7</v>
      </c>
      <c r="O348" s="3">
        <f t="shared" si="44"/>
        <v>2.2222222222222223</v>
      </c>
      <c r="P348" s="3">
        <f t="shared" si="45"/>
        <v>1.1764705882352942</v>
      </c>
      <c r="Q348" s="3">
        <f t="shared" si="46"/>
        <v>0.52941176470588236</v>
      </c>
      <c r="R348" s="3">
        <f t="shared" si="47"/>
        <v>0.41176470588235292</v>
      </c>
      <c r="S348">
        <v>110</v>
      </c>
      <c r="T348" s="4">
        <v>0.1</v>
      </c>
      <c r="U348">
        <v>331</v>
      </c>
      <c r="V348">
        <v>993</v>
      </c>
    </row>
    <row r="349" spans="1:22">
      <c r="A349">
        <v>345</v>
      </c>
      <c r="B349" s="2">
        <v>46259</v>
      </c>
      <c r="C349" t="s">
        <v>23</v>
      </c>
      <c r="D349" t="s">
        <v>27</v>
      </c>
      <c r="E349" t="s">
        <v>39</v>
      </c>
      <c r="F349">
        <v>13</v>
      </c>
      <c r="G349">
        <v>3</v>
      </c>
      <c r="H349" t="str">
        <f t="shared" si="40"/>
        <v>Win</v>
      </c>
      <c r="I349">
        <f t="shared" si="41"/>
        <v>1</v>
      </c>
      <c r="J349">
        <f t="shared" si="42"/>
        <v>10</v>
      </c>
      <c r="K349">
        <f t="shared" si="43"/>
        <v>16</v>
      </c>
      <c r="L349">
        <v>15</v>
      </c>
      <c r="M349">
        <v>9</v>
      </c>
      <c r="N349">
        <v>2</v>
      </c>
      <c r="O349" s="3">
        <f t="shared" si="44"/>
        <v>1.6666666666666667</v>
      </c>
      <c r="P349" s="3">
        <f t="shared" si="45"/>
        <v>0.9375</v>
      </c>
      <c r="Q349" s="3">
        <f t="shared" si="46"/>
        <v>0.5625</v>
      </c>
      <c r="R349" s="3">
        <f t="shared" si="47"/>
        <v>0.125</v>
      </c>
      <c r="S349">
        <v>22</v>
      </c>
      <c r="T349" s="4">
        <v>0.1</v>
      </c>
      <c r="U349">
        <v>232</v>
      </c>
      <c r="V349">
        <v>820</v>
      </c>
    </row>
    <row r="350" spans="1:22">
      <c r="A350">
        <v>346</v>
      </c>
      <c r="B350" s="2">
        <v>46259</v>
      </c>
      <c r="C350" t="s">
        <v>35</v>
      </c>
      <c r="D350" t="s">
        <v>42</v>
      </c>
      <c r="E350" t="s">
        <v>25</v>
      </c>
      <c r="F350">
        <v>14</v>
      </c>
      <c r="G350">
        <v>12</v>
      </c>
      <c r="H350" t="str">
        <f t="shared" si="40"/>
        <v>Win</v>
      </c>
      <c r="I350">
        <f t="shared" si="41"/>
        <v>1</v>
      </c>
      <c r="J350">
        <f t="shared" si="42"/>
        <v>2</v>
      </c>
      <c r="K350">
        <f t="shared" si="43"/>
        <v>26</v>
      </c>
      <c r="L350">
        <v>29</v>
      </c>
      <c r="M350">
        <v>18</v>
      </c>
      <c r="N350">
        <v>3</v>
      </c>
      <c r="O350" s="3">
        <f t="shared" si="44"/>
        <v>1.6111111111111112</v>
      </c>
      <c r="P350" s="3">
        <f t="shared" si="45"/>
        <v>1.1153846153846154</v>
      </c>
      <c r="Q350" s="3">
        <f t="shared" si="46"/>
        <v>0.69230769230769229</v>
      </c>
      <c r="R350" s="3">
        <f t="shared" si="47"/>
        <v>0.11538461538461539</v>
      </c>
      <c r="S350">
        <v>48</v>
      </c>
      <c r="T350" s="4">
        <v>0.1</v>
      </c>
      <c r="U350">
        <v>269</v>
      </c>
      <c r="V350">
        <v>873</v>
      </c>
    </row>
    <row r="351" spans="1:22">
      <c r="A351">
        <v>347</v>
      </c>
      <c r="B351" s="2">
        <v>46258</v>
      </c>
      <c r="C351" t="s">
        <v>41</v>
      </c>
      <c r="D351" t="s">
        <v>32</v>
      </c>
      <c r="E351" t="s">
        <v>28</v>
      </c>
      <c r="F351">
        <v>11</v>
      </c>
      <c r="G351">
        <v>13</v>
      </c>
      <c r="H351" t="str">
        <f t="shared" si="40"/>
        <v>Loss</v>
      </c>
      <c r="I351">
        <f t="shared" si="41"/>
        <v>0</v>
      </c>
      <c r="J351">
        <f t="shared" si="42"/>
        <v>-2</v>
      </c>
      <c r="K351">
        <f t="shared" si="43"/>
        <v>24</v>
      </c>
      <c r="L351">
        <v>12</v>
      </c>
      <c r="M351">
        <v>16</v>
      </c>
      <c r="N351">
        <v>6</v>
      </c>
      <c r="O351" s="3">
        <f t="shared" si="44"/>
        <v>0.75</v>
      </c>
      <c r="P351" s="3">
        <f t="shared" si="45"/>
        <v>0.5</v>
      </c>
      <c r="Q351" s="3">
        <f t="shared" si="46"/>
        <v>0.66666666666666663</v>
      </c>
      <c r="R351" s="3">
        <f t="shared" si="47"/>
        <v>0.25</v>
      </c>
      <c r="S351">
        <v>-28</v>
      </c>
      <c r="T351" s="4">
        <v>0.08</v>
      </c>
      <c r="U351">
        <v>163</v>
      </c>
      <c r="V351">
        <v>362</v>
      </c>
    </row>
    <row r="352" spans="1:22">
      <c r="A352">
        <v>348</v>
      </c>
      <c r="B352" s="2">
        <v>46258</v>
      </c>
      <c r="C352" t="s">
        <v>41</v>
      </c>
      <c r="D352" t="s">
        <v>36</v>
      </c>
      <c r="E352" t="s">
        <v>28</v>
      </c>
      <c r="F352">
        <v>13</v>
      </c>
      <c r="G352">
        <v>3</v>
      </c>
      <c r="H352" t="str">
        <f t="shared" si="40"/>
        <v>Win</v>
      </c>
      <c r="I352">
        <f t="shared" si="41"/>
        <v>1</v>
      </c>
      <c r="J352">
        <f t="shared" si="42"/>
        <v>10</v>
      </c>
      <c r="K352">
        <f t="shared" si="43"/>
        <v>16</v>
      </c>
      <c r="L352">
        <v>10</v>
      </c>
      <c r="M352">
        <v>9</v>
      </c>
      <c r="N352">
        <v>9</v>
      </c>
      <c r="O352" s="3">
        <f t="shared" si="44"/>
        <v>1.1111111111111112</v>
      </c>
      <c r="P352" s="3">
        <f t="shared" si="45"/>
        <v>0.625</v>
      </c>
      <c r="Q352" s="3">
        <f t="shared" si="46"/>
        <v>0.5625</v>
      </c>
      <c r="R352" s="3">
        <f t="shared" si="47"/>
        <v>0.5625</v>
      </c>
      <c r="S352">
        <v>-1</v>
      </c>
      <c r="T352" s="4">
        <v>0.03</v>
      </c>
      <c r="U352">
        <v>190</v>
      </c>
      <c r="V352">
        <v>703</v>
      </c>
    </row>
    <row r="353" spans="1:22">
      <c r="A353">
        <v>349</v>
      </c>
      <c r="B353" s="2">
        <v>46258</v>
      </c>
      <c r="C353" t="s">
        <v>23</v>
      </c>
      <c r="D353" t="s">
        <v>31</v>
      </c>
      <c r="E353" t="s">
        <v>39</v>
      </c>
      <c r="F353">
        <v>14</v>
      </c>
      <c r="G353">
        <v>12</v>
      </c>
      <c r="H353" t="str">
        <f t="shared" si="40"/>
        <v>Win</v>
      </c>
      <c r="I353">
        <f t="shared" si="41"/>
        <v>1</v>
      </c>
      <c r="J353">
        <f t="shared" si="42"/>
        <v>2</v>
      </c>
      <c r="K353">
        <f t="shared" si="43"/>
        <v>26</v>
      </c>
      <c r="L353">
        <v>4</v>
      </c>
      <c r="M353">
        <v>19</v>
      </c>
      <c r="N353">
        <v>8</v>
      </c>
      <c r="O353" s="3">
        <f t="shared" si="44"/>
        <v>0.21052631578947367</v>
      </c>
      <c r="P353" s="3">
        <f t="shared" si="45"/>
        <v>0.15384615384615385</v>
      </c>
      <c r="Q353" s="3">
        <f t="shared" si="46"/>
        <v>0.73076923076923073</v>
      </c>
      <c r="R353" s="3">
        <f t="shared" si="47"/>
        <v>0.30769230769230771</v>
      </c>
      <c r="S353">
        <v>-76</v>
      </c>
      <c r="T353" s="4">
        <v>0.12</v>
      </c>
      <c r="U353">
        <v>65</v>
      </c>
      <c r="V353">
        <v>238</v>
      </c>
    </row>
    <row r="354" spans="1:22">
      <c r="A354">
        <v>350</v>
      </c>
      <c r="B354" s="2">
        <v>46258</v>
      </c>
      <c r="C354" t="s">
        <v>34</v>
      </c>
      <c r="D354" t="s">
        <v>31</v>
      </c>
      <c r="E354" t="s">
        <v>25</v>
      </c>
      <c r="F354">
        <v>2</v>
      </c>
      <c r="G354">
        <v>13</v>
      </c>
      <c r="H354" t="str">
        <f t="shared" si="40"/>
        <v>Loss</v>
      </c>
      <c r="I354">
        <f t="shared" si="41"/>
        <v>0</v>
      </c>
      <c r="J354">
        <f t="shared" si="42"/>
        <v>-11</v>
      </c>
      <c r="K354">
        <f t="shared" si="43"/>
        <v>15</v>
      </c>
      <c r="L354">
        <v>6</v>
      </c>
      <c r="M354">
        <v>9</v>
      </c>
      <c r="N354">
        <v>4</v>
      </c>
      <c r="O354" s="3">
        <f t="shared" si="44"/>
        <v>0.66666666666666663</v>
      </c>
      <c r="P354" s="3">
        <f t="shared" si="45"/>
        <v>0.4</v>
      </c>
      <c r="Q354" s="3">
        <f t="shared" si="46"/>
        <v>0.6</v>
      </c>
      <c r="R354" s="3">
        <f t="shared" si="47"/>
        <v>0.26666666666666666</v>
      </c>
      <c r="S354">
        <v>-17</v>
      </c>
      <c r="T354" s="4">
        <v>0.03</v>
      </c>
      <c r="U354">
        <v>127</v>
      </c>
      <c r="V354">
        <v>148</v>
      </c>
    </row>
    <row r="355" spans="1:22">
      <c r="A355">
        <v>351</v>
      </c>
      <c r="B355" s="2">
        <v>46257</v>
      </c>
      <c r="C355" t="s">
        <v>29</v>
      </c>
      <c r="D355" t="s">
        <v>31</v>
      </c>
      <c r="E355" t="s">
        <v>25</v>
      </c>
      <c r="F355">
        <v>8</v>
      </c>
      <c r="G355">
        <v>13</v>
      </c>
      <c r="H355" t="str">
        <f t="shared" si="40"/>
        <v>Loss</v>
      </c>
      <c r="I355">
        <f t="shared" si="41"/>
        <v>0</v>
      </c>
      <c r="J355">
        <f t="shared" si="42"/>
        <v>-5</v>
      </c>
      <c r="K355">
        <f t="shared" si="43"/>
        <v>21</v>
      </c>
      <c r="L355">
        <v>10</v>
      </c>
      <c r="M355">
        <v>17</v>
      </c>
      <c r="N355">
        <v>2</v>
      </c>
      <c r="O355" s="3">
        <f t="shared" si="44"/>
        <v>0.58823529411764708</v>
      </c>
      <c r="P355" s="3">
        <f t="shared" si="45"/>
        <v>0.47619047619047616</v>
      </c>
      <c r="Q355" s="3">
        <f t="shared" si="46"/>
        <v>0.80952380952380953</v>
      </c>
      <c r="R355" s="3">
        <f t="shared" si="47"/>
        <v>9.5238095238095233E-2</v>
      </c>
      <c r="S355">
        <v>-32</v>
      </c>
      <c r="T355" s="4">
        <v>0.18</v>
      </c>
      <c r="U355">
        <v>131</v>
      </c>
      <c r="V355">
        <v>195</v>
      </c>
    </row>
    <row r="356" spans="1:22">
      <c r="A356">
        <v>352</v>
      </c>
      <c r="B356" s="2">
        <v>46257</v>
      </c>
      <c r="C356" t="s">
        <v>23</v>
      </c>
      <c r="D356" t="s">
        <v>46</v>
      </c>
      <c r="E356" t="s">
        <v>39</v>
      </c>
      <c r="F356">
        <v>9</v>
      </c>
      <c r="G356">
        <v>13</v>
      </c>
      <c r="H356" t="str">
        <f t="shared" si="40"/>
        <v>Loss</v>
      </c>
      <c r="I356">
        <f t="shared" si="41"/>
        <v>0</v>
      </c>
      <c r="J356">
        <f t="shared" si="42"/>
        <v>-4</v>
      </c>
      <c r="K356">
        <f t="shared" si="43"/>
        <v>22</v>
      </c>
      <c r="L356">
        <v>21</v>
      </c>
      <c r="M356">
        <v>19</v>
      </c>
      <c r="N356">
        <v>4</v>
      </c>
      <c r="O356" s="3">
        <f t="shared" si="44"/>
        <v>1.1052631578947369</v>
      </c>
      <c r="P356" s="3">
        <f t="shared" si="45"/>
        <v>0.95454545454545459</v>
      </c>
      <c r="Q356" s="3">
        <f t="shared" si="46"/>
        <v>0.86363636363636365</v>
      </c>
      <c r="R356" s="3">
        <f t="shared" si="47"/>
        <v>0.18181818181818182</v>
      </c>
      <c r="S356">
        <v>19</v>
      </c>
      <c r="T356" s="4">
        <v>0.1</v>
      </c>
      <c r="U356">
        <v>291</v>
      </c>
      <c r="V356">
        <v>787</v>
      </c>
    </row>
    <row r="357" spans="1:22">
      <c r="A357">
        <v>353</v>
      </c>
      <c r="B357" s="2">
        <v>46257</v>
      </c>
      <c r="C357" t="s">
        <v>41</v>
      </c>
      <c r="D357" t="s">
        <v>30</v>
      </c>
      <c r="E357" t="s">
        <v>47</v>
      </c>
      <c r="F357">
        <v>5</v>
      </c>
      <c r="G357">
        <v>13</v>
      </c>
      <c r="H357" t="str">
        <f t="shared" si="40"/>
        <v>Loss</v>
      </c>
      <c r="I357">
        <f t="shared" si="41"/>
        <v>0</v>
      </c>
      <c r="J357">
        <f t="shared" si="42"/>
        <v>-8</v>
      </c>
      <c r="K357">
        <f t="shared" si="43"/>
        <v>18</v>
      </c>
      <c r="L357">
        <v>8</v>
      </c>
      <c r="M357">
        <v>16</v>
      </c>
      <c r="N357">
        <v>5</v>
      </c>
      <c r="O357" s="3">
        <f t="shared" si="44"/>
        <v>0.5</v>
      </c>
      <c r="P357" s="3">
        <f t="shared" si="45"/>
        <v>0.44444444444444442</v>
      </c>
      <c r="Q357" s="3">
        <f t="shared" si="46"/>
        <v>0.88888888888888884</v>
      </c>
      <c r="R357" s="3">
        <f t="shared" si="47"/>
        <v>0.27777777777777779</v>
      </c>
      <c r="S357">
        <v>-36</v>
      </c>
      <c r="T357" s="4">
        <v>7.0000000000000007E-2</v>
      </c>
      <c r="U357">
        <v>145</v>
      </c>
      <c r="V357">
        <v>167</v>
      </c>
    </row>
    <row r="358" spans="1:22">
      <c r="A358">
        <v>354</v>
      </c>
      <c r="B358" s="2">
        <v>46257</v>
      </c>
      <c r="C358" t="s">
        <v>35</v>
      </c>
      <c r="D358" t="s">
        <v>30</v>
      </c>
      <c r="E358" t="s">
        <v>25</v>
      </c>
      <c r="F358">
        <v>11</v>
      </c>
      <c r="G358">
        <v>13</v>
      </c>
      <c r="H358" t="str">
        <f t="shared" si="40"/>
        <v>Loss</v>
      </c>
      <c r="I358">
        <f t="shared" si="41"/>
        <v>0</v>
      </c>
      <c r="J358">
        <f t="shared" si="42"/>
        <v>-2</v>
      </c>
      <c r="K358">
        <f t="shared" si="43"/>
        <v>24</v>
      </c>
      <c r="L358">
        <v>11</v>
      </c>
      <c r="M358">
        <v>18</v>
      </c>
      <c r="N358">
        <v>4</v>
      </c>
      <c r="O358" s="3">
        <f t="shared" si="44"/>
        <v>0.61111111111111116</v>
      </c>
      <c r="P358" s="3">
        <f t="shared" si="45"/>
        <v>0.45833333333333331</v>
      </c>
      <c r="Q358" s="3">
        <f t="shared" si="46"/>
        <v>0.75</v>
      </c>
      <c r="R358" s="3">
        <f t="shared" si="47"/>
        <v>0.16666666666666666</v>
      </c>
      <c r="S358">
        <v>-36</v>
      </c>
      <c r="T358" s="4">
        <v>0.12</v>
      </c>
      <c r="U358">
        <v>136</v>
      </c>
      <c r="V358">
        <v>236</v>
      </c>
    </row>
    <row r="359" spans="1:22">
      <c r="A359">
        <v>355</v>
      </c>
      <c r="B359" s="2">
        <v>46257</v>
      </c>
      <c r="C359" t="s">
        <v>41</v>
      </c>
      <c r="D359" t="s">
        <v>30</v>
      </c>
      <c r="E359" t="s">
        <v>28</v>
      </c>
      <c r="F359">
        <v>9</v>
      </c>
      <c r="G359">
        <v>13</v>
      </c>
      <c r="H359" t="str">
        <f t="shared" si="40"/>
        <v>Loss</v>
      </c>
      <c r="I359">
        <f t="shared" si="41"/>
        <v>0</v>
      </c>
      <c r="J359">
        <f t="shared" si="42"/>
        <v>-4</v>
      </c>
      <c r="K359">
        <f t="shared" si="43"/>
        <v>22</v>
      </c>
      <c r="L359">
        <v>11</v>
      </c>
      <c r="M359">
        <v>19</v>
      </c>
      <c r="N359">
        <v>4</v>
      </c>
      <c r="O359" s="3">
        <f t="shared" si="44"/>
        <v>0.57894736842105265</v>
      </c>
      <c r="P359" s="3">
        <f t="shared" si="45"/>
        <v>0.5</v>
      </c>
      <c r="Q359" s="3">
        <f t="shared" si="46"/>
        <v>0.86363636363636365</v>
      </c>
      <c r="R359" s="3">
        <f t="shared" si="47"/>
        <v>0.18181818181818182</v>
      </c>
      <c r="S359">
        <v>-22</v>
      </c>
      <c r="T359" s="4">
        <v>7.0000000000000007E-2</v>
      </c>
      <c r="U359">
        <v>176</v>
      </c>
      <c r="V359">
        <v>281</v>
      </c>
    </row>
    <row r="360" spans="1:22">
      <c r="A360">
        <v>356</v>
      </c>
      <c r="B360" s="2">
        <v>46257</v>
      </c>
      <c r="C360" t="s">
        <v>40</v>
      </c>
      <c r="D360" t="s">
        <v>24</v>
      </c>
      <c r="E360" t="s">
        <v>25</v>
      </c>
      <c r="F360">
        <v>13</v>
      </c>
      <c r="G360">
        <v>10</v>
      </c>
      <c r="H360" t="str">
        <f t="shared" si="40"/>
        <v>Win</v>
      </c>
      <c r="I360">
        <f t="shared" si="41"/>
        <v>1</v>
      </c>
      <c r="J360">
        <f t="shared" si="42"/>
        <v>3</v>
      </c>
      <c r="K360">
        <f t="shared" si="43"/>
        <v>23</v>
      </c>
      <c r="L360">
        <v>17</v>
      </c>
      <c r="M360">
        <v>18</v>
      </c>
      <c r="N360">
        <v>8</v>
      </c>
      <c r="O360" s="3">
        <f t="shared" si="44"/>
        <v>0.94444444444444442</v>
      </c>
      <c r="P360" s="3">
        <f t="shared" si="45"/>
        <v>0.73913043478260865</v>
      </c>
      <c r="Q360" s="3">
        <f t="shared" si="46"/>
        <v>0.78260869565217395</v>
      </c>
      <c r="R360" s="3">
        <f t="shared" si="47"/>
        <v>0.34782608695652173</v>
      </c>
      <c r="S360">
        <v>-3</v>
      </c>
      <c r="T360" s="4">
        <v>0.12</v>
      </c>
      <c r="U360">
        <v>207</v>
      </c>
      <c r="V360">
        <v>608</v>
      </c>
    </row>
    <row r="361" spans="1:22">
      <c r="A361">
        <v>357</v>
      </c>
      <c r="B361" s="2">
        <v>46257</v>
      </c>
      <c r="C361" t="s">
        <v>26</v>
      </c>
      <c r="D361" t="s">
        <v>27</v>
      </c>
      <c r="E361" t="s">
        <v>47</v>
      </c>
      <c r="F361">
        <v>5</v>
      </c>
      <c r="G361">
        <v>13</v>
      </c>
      <c r="H361" t="str">
        <f t="shared" si="40"/>
        <v>Loss</v>
      </c>
      <c r="I361">
        <f t="shared" si="41"/>
        <v>0</v>
      </c>
      <c r="J361">
        <f t="shared" si="42"/>
        <v>-8</v>
      </c>
      <c r="K361">
        <f t="shared" si="43"/>
        <v>18</v>
      </c>
      <c r="L361">
        <v>13</v>
      </c>
      <c r="M361">
        <v>18</v>
      </c>
      <c r="N361">
        <v>3</v>
      </c>
      <c r="O361" s="3">
        <f t="shared" si="44"/>
        <v>0.72222222222222221</v>
      </c>
      <c r="P361" s="3">
        <f t="shared" si="45"/>
        <v>0.72222222222222221</v>
      </c>
      <c r="Q361" s="3">
        <f t="shared" si="46"/>
        <v>1</v>
      </c>
      <c r="R361" s="3">
        <f t="shared" si="47"/>
        <v>0.16666666666666666</v>
      </c>
      <c r="S361">
        <v>-50</v>
      </c>
      <c r="T361" s="4">
        <v>0.19</v>
      </c>
      <c r="U361">
        <v>207</v>
      </c>
      <c r="V361">
        <v>291</v>
      </c>
    </row>
    <row r="362" spans="1:22">
      <c r="A362">
        <v>358</v>
      </c>
      <c r="B362" s="2">
        <v>46257</v>
      </c>
      <c r="C362" t="s">
        <v>34</v>
      </c>
      <c r="D362" t="s">
        <v>24</v>
      </c>
      <c r="E362" t="s">
        <v>25</v>
      </c>
      <c r="F362">
        <v>13</v>
      </c>
      <c r="G362">
        <v>10</v>
      </c>
      <c r="H362" t="str">
        <f t="shared" si="40"/>
        <v>Win</v>
      </c>
      <c r="I362">
        <f t="shared" si="41"/>
        <v>1</v>
      </c>
      <c r="J362">
        <f t="shared" si="42"/>
        <v>3</v>
      </c>
      <c r="K362">
        <f t="shared" si="43"/>
        <v>23</v>
      </c>
      <c r="L362">
        <v>16</v>
      </c>
      <c r="M362">
        <v>14</v>
      </c>
      <c r="N362">
        <v>3</v>
      </c>
      <c r="O362" s="3">
        <f t="shared" si="44"/>
        <v>1.1428571428571428</v>
      </c>
      <c r="P362" s="3">
        <f t="shared" si="45"/>
        <v>0.69565217391304346</v>
      </c>
      <c r="Q362" s="3">
        <f t="shared" si="46"/>
        <v>0.60869565217391308</v>
      </c>
      <c r="R362" s="3">
        <f t="shared" si="47"/>
        <v>0.13043478260869565</v>
      </c>
      <c r="S362">
        <v>10</v>
      </c>
      <c r="T362" s="4">
        <v>0.14000000000000001</v>
      </c>
      <c r="U362">
        <v>185</v>
      </c>
      <c r="V362">
        <v>594</v>
      </c>
    </row>
    <row r="363" spans="1:22">
      <c r="A363">
        <v>359</v>
      </c>
      <c r="B363" s="2">
        <v>46257</v>
      </c>
      <c r="C363" t="s">
        <v>29</v>
      </c>
      <c r="D363" t="s">
        <v>27</v>
      </c>
      <c r="E363" t="s">
        <v>25</v>
      </c>
      <c r="F363">
        <v>9</v>
      </c>
      <c r="G363">
        <v>13</v>
      </c>
      <c r="H363" t="str">
        <f t="shared" si="40"/>
        <v>Loss</v>
      </c>
      <c r="I363">
        <f t="shared" si="41"/>
        <v>0</v>
      </c>
      <c r="J363">
        <f t="shared" si="42"/>
        <v>-4</v>
      </c>
      <c r="K363">
        <f t="shared" si="43"/>
        <v>22</v>
      </c>
      <c r="L363">
        <v>16</v>
      </c>
      <c r="M363">
        <v>16</v>
      </c>
      <c r="N363">
        <v>5</v>
      </c>
      <c r="O363" s="3">
        <f t="shared" si="44"/>
        <v>1</v>
      </c>
      <c r="P363" s="3">
        <f t="shared" si="45"/>
        <v>0.72727272727272729</v>
      </c>
      <c r="Q363" s="3">
        <f t="shared" si="46"/>
        <v>0.72727272727272729</v>
      </c>
      <c r="R363" s="3">
        <f t="shared" si="47"/>
        <v>0.22727272727272727</v>
      </c>
      <c r="S363">
        <v>28</v>
      </c>
      <c r="T363" s="4">
        <v>0.24</v>
      </c>
      <c r="U363">
        <v>237</v>
      </c>
      <c r="V363">
        <v>584</v>
      </c>
    </row>
    <row r="364" spans="1:22">
      <c r="A364">
        <v>360</v>
      </c>
      <c r="B364" s="2">
        <v>46256</v>
      </c>
      <c r="C364" t="s">
        <v>26</v>
      </c>
      <c r="D364" t="s">
        <v>42</v>
      </c>
      <c r="E364" t="s">
        <v>25</v>
      </c>
      <c r="F364">
        <v>13</v>
      </c>
      <c r="G364">
        <v>4</v>
      </c>
      <c r="H364" t="str">
        <f t="shared" si="40"/>
        <v>Win</v>
      </c>
      <c r="I364">
        <f t="shared" si="41"/>
        <v>1</v>
      </c>
      <c r="J364">
        <f t="shared" si="42"/>
        <v>9</v>
      </c>
      <c r="K364">
        <f t="shared" si="43"/>
        <v>17</v>
      </c>
      <c r="L364">
        <v>15</v>
      </c>
      <c r="M364">
        <v>11</v>
      </c>
      <c r="N364">
        <v>5</v>
      </c>
      <c r="O364" s="3">
        <f t="shared" si="44"/>
        <v>1.3636363636363635</v>
      </c>
      <c r="P364" s="3">
        <f t="shared" si="45"/>
        <v>0.88235294117647056</v>
      </c>
      <c r="Q364" s="3">
        <f t="shared" si="46"/>
        <v>0.6470588235294118</v>
      </c>
      <c r="R364" s="3">
        <f t="shared" si="47"/>
        <v>0.29411764705882354</v>
      </c>
      <c r="S364">
        <v>32</v>
      </c>
      <c r="T364" s="4">
        <v>0.08</v>
      </c>
      <c r="U364">
        <v>270</v>
      </c>
      <c r="V364">
        <v>801</v>
      </c>
    </row>
    <row r="365" spans="1:22">
      <c r="A365">
        <v>361</v>
      </c>
      <c r="B365" s="2">
        <v>46256</v>
      </c>
      <c r="C365" t="s">
        <v>23</v>
      </c>
      <c r="D365" t="s">
        <v>46</v>
      </c>
      <c r="E365" t="s">
        <v>39</v>
      </c>
      <c r="F365">
        <v>13</v>
      </c>
      <c r="G365">
        <v>8</v>
      </c>
      <c r="H365" t="str">
        <f t="shared" si="40"/>
        <v>Win</v>
      </c>
      <c r="I365">
        <f t="shared" si="41"/>
        <v>1</v>
      </c>
      <c r="J365">
        <f t="shared" si="42"/>
        <v>5</v>
      </c>
      <c r="K365">
        <f t="shared" si="43"/>
        <v>21</v>
      </c>
      <c r="L365">
        <v>20</v>
      </c>
      <c r="M365">
        <v>15</v>
      </c>
      <c r="N365">
        <v>8</v>
      </c>
      <c r="O365" s="3">
        <f t="shared" si="44"/>
        <v>1.3333333333333333</v>
      </c>
      <c r="P365" s="3">
        <f t="shared" si="45"/>
        <v>0.95238095238095233</v>
      </c>
      <c r="Q365" s="3">
        <f t="shared" si="46"/>
        <v>0.7142857142857143</v>
      </c>
      <c r="R365" s="3">
        <f t="shared" si="47"/>
        <v>0.38095238095238093</v>
      </c>
      <c r="S365">
        <v>44</v>
      </c>
      <c r="T365" s="4">
        <v>0.11</v>
      </c>
      <c r="U365">
        <v>289</v>
      </c>
      <c r="V365">
        <v>832</v>
      </c>
    </row>
    <row r="366" spans="1:22">
      <c r="A366">
        <v>362</v>
      </c>
      <c r="B366" s="2">
        <v>46256</v>
      </c>
      <c r="C366" t="s">
        <v>23</v>
      </c>
      <c r="D366" t="s">
        <v>37</v>
      </c>
      <c r="E366" t="s">
        <v>39</v>
      </c>
      <c r="F366">
        <v>13</v>
      </c>
      <c r="G366">
        <v>10</v>
      </c>
      <c r="H366" t="str">
        <f t="shared" si="40"/>
        <v>Win</v>
      </c>
      <c r="I366">
        <f t="shared" si="41"/>
        <v>1</v>
      </c>
      <c r="J366">
        <f t="shared" si="42"/>
        <v>3</v>
      </c>
      <c r="K366">
        <f t="shared" si="43"/>
        <v>23</v>
      </c>
      <c r="L366">
        <v>19</v>
      </c>
      <c r="M366">
        <v>16</v>
      </c>
      <c r="N366">
        <v>3</v>
      </c>
      <c r="O366" s="3">
        <f t="shared" si="44"/>
        <v>1.1875</v>
      </c>
      <c r="P366" s="3">
        <f t="shared" si="45"/>
        <v>0.82608695652173914</v>
      </c>
      <c r="Q366" s="3">
        <f t="shared" si="46"/>
        <v>0.69565217391304346</v>
      </c>
      <c r="R366" s="3">
        <f t="shared" si="47"/>
        <v>0.13043478260869565</v>
      </c>
      <c r="S366">
        <v>4</v>
      </c>
      <c r="T366" s="4">
        <v>7.0000000000000007E-2</v>
      </c>
      <c r="U366">
        <v>215</v>
      </c>
      <c r="V366">
        <v>549</v>
      </c>
    </row>
    <row r="367" spans="1:22">
      <c r="A367">
        <v>363</v>
      </c>
      <c r="B367" s="2">
        <v>46256</v>
      </c>
      <c r="C367" t="s">
        <v>41</v>
      </c>
      <c r="D367" t="s">
        <v>30</v>
      </c>
      <c r="E367" t="s">
        <v>25</v>
      </c>
      <c r="F367">
        <v>10</v>
      </c>
      <c r="G367">
        <v>13</v>
      </c>
      <c r="H367" t="str">
        <f t="shared" si="40"/>
        <v>Loss</v>
      </c>
      <c r="I367">
        <f t="shared" si="41"/>
        <v>0</v>
      </c>
      <c r="J367">
        <f t="shared" si="42"/>
        <v>-3</v>
      </c>
      <c r="K367">
        <f t="shared" si="43"/>
        <v>23</v>
      </c>
      <c r="L367">
        <v>14</v>
      </c>
      <c r="M367">
        <v>17</v>
      </c>
      <c r="N367">
        <v>4</v>
      </c>
      <c r="O367" s="3">
        <f t="shared" si="44"/>
        <v>0.82352941176470584</v>
      </c>
      <c r="P367" s="3">
        <f t="shared" si="45"/>
        <v>0.60869565217391308</v>
      </c>
      <c r="Q367" s="3">
        <f t="shared" si="46"/>
        <v>0.73913043478260865</v>
      </c>
      <c r="R367" s="3">
        <f t="shared" si="47"/>
        <v>0.17391304347826086</v>
      </c>
      <c r="S367">
        <v>-20</v>
      </c>
      <c r="T367" s="4">
        <v>0.13</v>
      </c>
      <c r="U367">
        <v>164</v>
      </c>
      <c r="V367">
        <v>397</v>
      </c>
    </row>
    <row r="368" spans="1:22">
      <c r="A368">
        <v>364</v>
      </c>
      <c r="B368" s="2">
        <v>46256</v>
      </c>
      <c r="C368" t="s">
        <v>29</v>
      </c>
      <c r="D368" t="s">
        <v>31</v>
      </c>
      <c r="E368" t="s">
        <v>25</v>
      </c>
      <c r="F368">
        <v>10</v>
      </c>
      <c r="G368">
        <v>13</v>
      </c>
      <c r="H368" t="str">
        <f t="shared" si="40"/>
        <v>Loss</v>
      </c>
      <c r="I368">
        <f t="shared" si="41"/>
        <v>0</v>
      </c>
      <c r="J368">
        <f t="shared" si="42"/>
        <v>-3</v>
      </c>
      <c r="K368">
        <f t="shared" si="43"/>
        <v>23</v>
      </c>
      <c r="L368">
        <v>12</v>
      </c>
      <c r="M368">
        <v>18</v>
      </c>
      <c r="N368">
        <v>6</v>
      </c>
      <c r="O368" s="3">
        <f t="shared" si="44"/>
        <v>0.66666666666666663</v>
      </c>
      <c r="P368" s="3">
        <f t="shared" si="45"/>
        <v>0.52173913043478259</v>
      </c>
      <c r="Q368" s="3">
        <f t="shared" si="46"/>
        <v>0.78260869565217395</v>
      </c>
      <c r="R368" s="3">
        <f t="shared" si="47"/>
        <v>0.2608695652173913</v>
      </c>
      <c r="S368">
        <v>-22</v>
      </c>
      <c r="T368" s="4">
        <v>7.0000000000000007E-2</v>
      </c>
      <c r="U368">
        <v>154</v>
      </c>
      <c r="V368">
        <v>335</v>
      </c>
    </row>
    <row r="369" spans="1:22">
      <c r="A369">
        <v>365</v>
      </c>
      <c r="B369" s="2">
        <v>46255</v>
      </c>
      <c r="C369" t="s">
        <v>41</v>
      </c>
      <c r="D369" t="s">
        <v>37</v>
      </c>
      <c r="E369" t="s">
        <v>28</v>
      </c>
      <c r="F369">
        <v>13</v>
      </c>
      <c r="G369">
        <v>10</v>
      </c>
      <c r="H369" t="str">
        <f t="shared" si="40"/>
        <v>Win</v>
      </c>
      <c r="I369">
        <f t="shared" si="41"/>
        <v>1</v>
      </c>
      <c r="J369">
        <f t="shared" si="42"/>
        <v>3</v>
      </c>
      <c r="K369">
        <f t="shared" si="43"/>
        <v>23</v>
      </c>
      <c r="L369">
        <v>22</v>
      </c>
      <c r="M369">
        <v>19</v>
      </c>
      <c r="N369">
        <v>6</v>
      </c>
      <c r="O369" s="3">
        <f t="shared" si="44"/>
        <v>1.1578947368421053</v>
      </c>
      <c r="P369" s="3">
        <f t="shared" si="45"/>
        <v>0.95652173913043481</v>
      </c>
      <c r="Q369" s="3">
        <f t="shared" si="46"/>
        <v>0.82608695652173914</v>
      </c>
      <c r="R369" s="3">
        <f t="shared" si="47"/>
        <v>0.2608695652173913</v>
      </c>
      <c r="S369">
        <v>47</v>
      </c>
      <c r="T369" s="4">
        <v>7.0000000000000007E-2</v>
      </c>
      <c r="U369">
        <v>284</v>
      </c>
      <c r="V369">
        <v>836</v>
      </c>
    </row>
    <row r="370" spans="1:22">
      <c r="A370">
        <v>366</v>
      </c>
      <c r="B370" s="2">
        <v>46255</v>
      </c>
      <c r="C370" t="s">
        <v>26</v>
      </c>
      <c r="D370" t="s">
        <v>30</v>
      </c>
      <c r="E370" t="s">
        <v>39</v>
      </c>
      <c r="F370">
        <v>9</v>
      </c>
      <c r="G370">
        <v>13</v>
      </c>
      <c r="H370" t="str">
        <f t="shared" si="40"/>
        <v>Loss</v>
      </c>
      <c r="I370">
        <f t="shared" si="41"/>
        <v>0</v>
      </c>
      <c r="J370">
        <f t="shared" si="42"/>
        <v>-4</v>
      </c>
      <c r="K370">
        <f t="shared" si="43"/>
        <v>22</v>
      </c>
      <c r="L370">
        <v>11</v>
      </c>
      <c r="M370">
        <v>18</v>
      </c>
      <c r="N370">
        <v>5</v>
      </c>
      <c r="O370" s="3">
        <f t="shared" si="44"/>
        <v>0.61111111111111116</v>
      </c>
      <c r="P370" s="3">
        <f t="shared" si="45"/>
        <v>0.5</v>
      </c>
      <c r="Q370" s="3">
        <f t="shared" si="46"/>
        <v>0.81818181818181823</v>
      </c>
      <c r="R370" s="3">
        <f t="shared" si="47"/>
        <v>0.22727272727272727</v>
      </c>
      <c r="S370">
        <v>-46</v>
      </c>
      <c r="T370" s="4">
        <v>7.0000000000000007E-2</v>
      </c>
      <c r="U370">
        <v>145</v>
      </c>
      <c r="V370">
        <v>228</v>
      </c>
    </row>
    <row r="371" spans="1:22">
      <c r="A371">
        <v>367</v>
      </c>
      <c r="B371" s="2">
        <v>46255</v>
      </c>
      <c r="C371" t="s">
        <v>34</v>
      </c>
      <c r="D371" t="s">
        <v>27</v>
      </c>
      <c r="E371" t="s">
        <v>25</v>
      </c>
      <c r="F371">
        <v>6</v>
      </c>
      <c r="G371">
        <v>1</v>
      </c>
      <c r="H371" t="str">
        <f t="shared" si="40"/>
        <v>Win</v>
      </c>
      <c r="I371">
        <f t="shared" si="41"/>
        <v>1</v>
      </c>
      <c r="J371">
        <f t="shared" si="42"/>
        <v>5</v>
      </c>
      <c r="K371">
        <f t="shared" si="43"/>
        <v>7</v>
      </c>
      <c r="L371">
        <v>4</v>
      </c>
      <c r="M371">
        <v>5</v>
      </c>
      <c r="N371">
        <v>3</v>
      </c>
      <c r="O371" s="3">
        <f t="shared" si="44"/>
        <v>0.8</v>
      </c>
      <c r="P371" s="3">
        <f t="shared" si="45"/>
        <v>0.5714285714285714</v>
      </c>
      <c r="Q371" s="3">
        <f t="shared" si="46"/>
        <v>0.7142857142857143</v>
      </c>
      <c r="R371" s="3">
        <f t="shared" si="47"/>
        <v>0.42857142857142855</v>
      </c>
      <c r="S371">
        <v>9</v>
      </c>
      <c r="T371" s="4">
        <v>0.08</v>
      </c>
      <c r="U371">
        <v>196</v>
      </c>
      <c r="V371">
        <v>722</v>
      </c>
    </row>
    <row r="372" spans="1:22">
      <c r="A372">
        <v>368</v>
      </c>
      <c r="B372" s="2">
        <v>46255</v>
      </c>
      <c r="C372" t="s">
        <v>40</v>
      </c>
      <c r="D372" t="s">
        <v>30</v>
      </c>
      <c r="E372" t="s">
        <v>25</v>
      </c>
      <c r="F372">
        <v>13</v>
      </c>
      <c r="G372">
        <v>9</v>
      </c>
      <c r="H372" t="str">
        <f t="shared" si="40"/>
        <v>Win</v>
      </c>
      <c r="I372">
        <f t="shared" si="41"/>
        <v>1</v>
      </c>
      <c r="J372">
        <f t="shared" si="42"/>
        <v>4</v>
      </c>
      <c r="K372">
        <f t="shared" si="43"/>
        <v>22</v>
      </c>
      <c r="L372">
        <v>16</v>
      </c>
      <c r="M372">
        <v>13</v>
      </c>
      <c r="N372">
        <v>3</v>
      </c>
      <c r="O372" s="3">
        <f t="shared" si="44"/>
        <v>1.2307692307692308</v>
      </c>
      <c r="P372" s="3">
        <f t="shared" si="45"/>
        <v>0.72727272727272729</v>
      </c>
      <c r="Q372" s="3">
        <f t="shared" si="46"/>
        <v>0.59090909090909094</v>
      </c>
      <c r="R372" s="3">
        <f t="shared" si="47"/>
        <v>0.13636363636363635</v>
      </c>
      <c r="S372">
        <v>1</v>
      </c>
      <c r="T372" s="4">
        <v>0.19</v>
      </c>
      <c r="U372">
        <v>181</v>
      </c>
      <c r="V372">
        <v>618</v>
      </c>
    </row>
    <row r="373" spans="1:22">
      <c r="A373">
        <v>369</v>
      </c>
      <c r="B373" s="2">
        <v>46255</v>
      </c>
      <c r="C373" t="s">
        <v>29</v>
      </c>
      <c r="D373" t="s">
        <v>31</v>
      </c>
      <c r="E373" t="s">
        <v>25</v>
      </c>
      <c r="F373">
        <v>11</v>
      </c>
      <c r="G373">
        <v>13</v>
      </c>
      <c r="H373" t="str">
        <f t="shared" si="40"/>
        <v>Loss</v>
      </c>
      <c r="I373">
        <f t="shared" si="41"/>
        <v>0</v>
      </c>
      <c r="J373">
        <f t="shared" si="42"/>
        <v>-2</v>
      </c>
      <c r="K373">
        <f t="shared" si="43"/>
        <v>24</v>
      </c>
      <c r="L373">
        <v>13</v>
      </c>
      <c r="M373">
        <v>21</v>
      </c>
      <c r="N373">
        <v>1</v>
      </c>
      <c r="O373" s="3">
        <f t="shared" si="44"/>
        <v>0.61904761904761907</v>
      </c>
      <c r="P373" s="3">
        <f t="shared" si="45"/>
        <v>0.54166666666666663</v>
      </c>
      <c r="Q373" s="3">
        <f t="shared" si="46"/>
        <v>0.875</v>
      </c>
      <c r="R373" s="3">
        <f t="shared" si="47"/>
        <v>4.1666666666666664E-2</v>
      </c>
      <c r="S373">
        <v>-66</v>
      </c>
      <c r="T373" s="4">
        <v>0.12</v>
      </c>
      <c r="U373">
        <v>144</v>
      </c>
      <c r="V373">
        <v>176</v>
      </c>
    </row>
    <row r="374" spans="1:22">
      <c r="A374">
        <v>370</v>
      </c>
      <c r="B374" s="2">
        <v>46255</v>
      </c>
      <c r="C374" t="s">
        <v>40</v>
      </c>
      <c r="D374" t="s">
        <v>31</v>
      </c>
      <c r="E374" t="s">
        <v>25</v>
      </c>
      <c r="F374">
        <v>13</v>
      </c>
      <c r="G374">
        <v>7</v>
      </c>
      <c r="H374" t="str">
        <f t="shared" si="40"/>
        <v>Win</v>
      </c>
      <c r="I374">
        <f t="shared" si="41"/>
        <v>1</v>
      </c>
      <c r="J374">
        <f t="shared" si="42"/>
        <v>6</v>
      </c>
      <c r="K374">
        <f t="shared" si="43"/>
        <v>20</v>
      </c>
      <c r="L374">
        <v>8</v>
      </c>
      <c r="M374">
        <v>14</v>
      </c>
      <c r="N374">
        <v>3</v>
      </c>
      <c r="O374" s="3">
        <f t="shared" si="44"/>
        <v>0.5714285714285714</v>
      </c>
      <c r="P374" s="3">
        <f t="shared" si="45"/>
        <v>0.4</v>
      </c>
      <c r="Q374" s="3">
        <f t="shared" si="46"/>
        <v>0.7</v>
      </c>
      <c r="R374" s="3">
        <f t="shared" si="47"/>
        <v>0.15</v>
      </c>
      <c r="S374">
        <v>-29</v>
      </c>
      <c r="T374" s="4">
        <v>0.03</v>
      </c>
      <c r="U374">
        <v>122</v>
      </c>
      <c r="V374">
        <v>324</v>
      </c>
    </row>
    <row r="375" spans="1:22">
      <c r="A375">
        <v>371</v>
      </c>
      <c r="B375" s="2">
        <v>46255</v>
      </c>
      <c r="C375" t="s">
        <v>41</v>
      </c>
      <c r="D375" t="s">
        <v>31</v>
      </c>
      <c r="E375" t="s">
        <v>28</v>
      </c>
      <c r="F375">
        <v>13</v>
      </c>
      <c r="G375">
        <v>10</v>
      </c>
      <c r="H375" t="str">
        <f t="shared" si="40"/>
        <v>Win</v>
      </c>
      <c r="I375">
        <f t="shared" si="41"/>
        <v>1</v>
      </c>
      <c r="J375">
        <f t="shared" si="42"/>
        <v>3</v>
      </c>
      <c r="K375">
        <f t="shared" si="43"/>
        <v>23</v>
      </c>
      <c r="L375">
        <v>12</v>
      </c>
      <c r="M375">
        <v>17</v>
      </c>
      <c r="N375">
        <v>8</v>
      </c>
      <c r="O375" s="3">
        <f t="shared" si="44"/>
        <v>0.70588235294117652</v>
      </c>
      <c r="P375" s="3">
        <f t="shared" si="45"/>
        <v>0.52173913043478259</v>
      </c>
      <c r="Q375" s="3">
        <f t="shared" si="46"/>
        <v>0.73913043478260865</v>
      </c>
      <c r="R375" s="3">
        <f t="shared" si="47"/>
        <v>0.34782608695652173</v>
      </c>
      <c r="S375">
        <v>-41</v>
      </c>
      <c r="T375" s="4">
        <v>7.0000000000000007E-2</v>
      </c>
      <c r="U375">
        <v>147</v>
      </c>
      <c r="V375">
        <v>433</v>
      </c>
    </row>
    <row r="376" spans="1:22">
      <c r="A376">
        <v>372</v>
      </c>
      <c r="B376" s="2">
        <v>46255</v>
      </c>
      <c r="C376" t="s">
        <v>29</v>
      </c>
      <c r="D376" t="s">
        <v>32</v>
      </c>
      <c r="E376" t="s">
        <v>28</v>
      </c>
      <c r="F376">
        <v>13</v>
      </c>
      <c r="G376">
        <v>9</v>
      </c>
      <c r="H376" t="str">
        <f t="shared" si="40"/>
        <v>Win</v>
      </c>
      <c r="I376">
        <f t="shared" si="41"/>
        <v>1</v>
      </c>
      <c r="J376">
        <f t="shared" si="42"/>
        <v>4</v>
      </c>
      <c r="K376">
        <f t="shared" si="43"/>
        <v>22</v>
      </c>
      <c r="L376">
        <v>10</v>
      </c>
      <c r="M376">
        <v>18</v>
      </c>
      <c r="N376">
        <v>5</v>
      </c>
      <c r="O376" s="3">
        <f t="shared" si="44"/>
        <v>0.55555555555555558</v>
      </c>
      <c r="P376" s="3">
        <f t="shared" si="45"/>
        <v>0.45454545454545453</v>
      </c>
      <c r="Q376" s="3">
        <f t="shared" si="46"/>
        <v>0.81818181818181823</v>
      </c>
      <c r="R376" s="3">
        <f t="shared" si="47"/>
        <v>0.22727272727272727</v>
      </c>
      <c r="S376">
        <v>-28</v>
      </c>
      <c r="T376" s="4">
        <v>0.13</v>
      </c>
      <c r="U376">
        <v>142</v>
      </c>
      <c r="V376">
        <v>405</v>
      </c>
    </row>
    <row r="377" spans="1:22">
      <c r="A377">
        <v>373</v>
      </c>
      <c r="B377" s="2">
        <v>46254</v>
      </c>
      <c r="C377" t="s">
        <v>26</v>
      </c>
      <c r="D377" t="s">
        <v>42</v>
      </c>
      <c r="E377" t="s">
        <v>28</v>
      </c>
      <c r="F377">
        <v>6</v>
      </c>
      <c r="G377">
        <v>13</v>
      </c>
      <c r="H377" t="str">
        <f t="shared" si="40"/>
        <v>Loss</v>
      </c>
      <c r="I377">
        <f t="shared" si="41"/>
        <v>0</v>
      </c>
      <c r="J377">
        <f t="shared" si="42"/>
        <v>-7</v>
      </c>
      <c r="K377">
        <f t="shared" si="43"/>
        <v>19</v>
      </c>
      <c r="L377">
        <v>16</v>
      </c>
      <c r="M377">
        <v>14</v>
      </c>
      <c r="N377">
        <v>8</v>
      </c>
      <c r="O377" s="3">
        <f t="shared" si="44"/>
        <v>1.1428571428571428</v>
      </c>
      <c r="P377" s="3">
        <f t="shared" si="45"/>
        <v>0.84210526315789469</v>
      </c>
      <c r="Q377" s="3">
        <f t="shared" si="46"/>
        <v>0.73684210526315785</v>
      </c>
      <c r="R377" s="3">
        <f t="shared" si="47"/>
        <v>0.42105263157894735</v>
      </c>
      <c r="S377">
        <v>25</v>
      </c>
      <c r="T377" s="4">
        <v>7.0000000000000007E-2</v>
      </c>
      <c r="U377">
        <v>260</v>
      </c>
      <c r="V377">
        <v>684</v>
      </c>
    </row>
    <row r="378" spans="1:22">
      <c r="A378">
        <v>374</v>
      </c>
      <c r="B378" s="2">
        <v>46254</v>
      </c>
      <c r="C378" t="s">
        <v>41</v>
      </c>
      <c r="D378" t="s">
        <v>27</v>
      </c>
      <c r="E378" t="s">
        <v>28</v>
      </c>
      <c r="F378">
        <v>5</v>
      </c>
      <c r="G378">
        <v>13</v>
      </c>
      <c r="H378" t="str">
        <f t="shared" si="40"/>
        <v>Loss</v>
      </c>
      <c r="I378">
        <f t="shared" si="41"/>
        <v>0</v>
      </c>
      <c r="J378">
        <f t="shared" si="42"/>
        <v>-8</v>
      </c>
      <c r="K378">
        <f t="shared" si="43"/>
        <v>18</v>
      </c>
      <c r="L378">
        <v>14</v>
      </c>
      <c r="M378">
        <v>15</v>
      </c>
      <c r="N378">
        <v>2</v>
      </c>
      <c r="O378" s="3">
        <f t="shared" si="44"/>
        <v>0.93333333333333335</v>
      </c>
      <c r="P378" s="3">
        <f t="shared" si="45"/>
        <v>0.77777777777777779</v>
      </c>
      <c r="Q378" s="3">
        <f t="shared" si="46"/>
        <v>0.83333333333333337</v>
      </c>
      <c r="R378" s="3">
        <f t="shared" si="47"/>
        <v>0.1111111111111111</v>
      </c>
      <c r="S378">
        <v>-43</v>
      </c>
      <c r="T378" s="4">
        <v>0.06</v>
      </c>
      <c r="U378">
        <v>215</v>
      </c>
      <c r="V378">
        <v>357</v>
      </c>
    </row>
    <row r="379" spans="1:22">
      <c r="A379">
        <v>375</v>
      </c>
      <c r="B379" s="2">
        <v>46254</v>
      </c>
      <c r="C379" t="s">
        <v>29</v>
      </c>
      <c r="D379" t="s">
        <v>24</v>
      </c>
      <c r="E379" t="s">
        <v>25</v>
      </c>
      <c r="F379">
        <v>8</v>
      </c>
      <c r="G379">
        <v>13</v>
      </c>
      <c r="H379" t="str">
        <f t="shared" si="40"/>
        <v>Loss</v>
      </c>
      <c r="I379">
        <f t="shared" si="41"/>
        <v>0</v>
      </c>
      <c r="J379">
        <f t="shared" si="42"/>
        <v>-5</v>
      </c>
      <c r="K379">
        <f t="shared" si="43"/>
        <v>21</v>
      </c>
      <c r="L379">
        <v>14</v>
      </c>
      <c r="M379">
        <v>17</v>
      </c>
      <c r="N379">
        <v>6</v>
      </c>
      <c r="O379" s="3">
        <f t="shared" si="44"/>
        <v>0.82352941176470584</v>
      </c>
      <c r="P379" s="3">
        <f t="shared" si="45"/>
        <v>0.66666666666666663</v>
      </c>
      <c r="Q379" s="3">
        <f t="shared" si="46"/>
        <v>0.80952380952380953</v>
      </c>
      <c r="R379" s="3">
        <f t="shared" si="47"/>
        <v>0.2857142857142857</v>
      </c>
      <c r="S379">
        <v>-23</v>
      </c>
      <c r="T379" s="4">
        <v>0.14000000000000001</v>
      </c>
      <c r="U379">
        <v>185</v>
      </c>
      <c r="V379">
        <v>370</v>
      </c>
    </row>
    <row r="380" spans="1:22">
      <c r="A380">
        <v>376</v>
      </c>
      <c r="B380" s="2">
        <v>46254</v>
      </c>
      <c r="C380" t="s">
        <v>40</v>
      </c>
      <c r="D380" t="s">
        <v>32</v>
      </c>
      <c r="E380" t="s">
        <v>25</v>
      </c>
      <c r="F380">
        <v>13</v>
      </c>
      <c r="G380">
        <v>7</v>
      </c>
      <c r="H380" t="str">
        <f t="shared" si="40"/>
        <v>Win</v>
      </c>
      <c r="I380">
        <f t="shared" si="41"/>
        <v>1</v>
      </c>
      <c r="J380">
        <f t="shared" si="42"/>
        <v>6</v>
      </c>
      <c r="K380">
        <f t="shared" si="43"/>
        <v>20</v>
      </c>
      <c r="L380">
        <v>13</v>
      </c>
      <c r="M380">
        <v>14</v>
      </c>
      <c r="N380">
        <v>5</v>
      </c>
      <c r="O380" s="3">
        <f t="shared" si="44"/>
        <v>0.9285714285714286</v>
      </c>
      <c r="P380" s="3">
        <f t="shared" si="45"/>
        <v>0.65</v>
      </c>
      <c r="Q380" s="3">
        <f t="shared" si="46"/>
        <v>0.7</v>
      </c>
      <c r="R380" s="3">
        <f t="shared" si="47"/>
        <v>0.25</v>
      </c>
      <c r="S380">
        <v>-11</v>
      </c>
      <c r="T380" s="4">
        <v>0.12</v>
      </c>
      <c r="U380">
        <v>184</v>
      </c>
      <c r="V380">
        <v>523</v>
      </c>
    </row>
    <row r="381" spans="1:22">
      <c r="A381">
        <v>377</v>
      </c>
      <c r="B381" s="2">
        <v>46253</v>
      </c>
      <c r="C381" t="s">
        <v>35</v>
      </c>
      <c r="D381" t="s">
        <v>27</v>
      </c>
      <c r="E381" t="s">
        <v>25</v>
      </c>
      <c r="F381">
        <v>6</v>
      </c>
      <c r="G381">
        <v>13</v>
      </c>
      <c r="H381" t="str">
        <f t="shared" si="40"/>
        <v>Loss</v>
      </c>
      <c r="I381">
        <f t="shared" si="41"/>
        <v>0</v>
      </c>
      <c r="J381">
        <f t="shared" si="42"/>
        <v>-7</v>
      </c>
      <c r="K381">
        <f t="shared" si="43"/>
        <v>19</v>
      </c>
      <c r="L381">
        <v>12</v>
      </c>
      <c r="M381">
        <v>18</v>
      </c>
      <c r="N381">
        <v>4</v>
      </c>
      <c r="O381" s="3">
        <f t="shared" si="44"/>
        <v>0.66666666666666663</v>
      </c>
      <c r="P381" s="3">
        <f t="shared" si="45"/>
        <v>0.63157894736842102</v>
      </c>
      <c r="Q381" s="3">
        <f t="shared" si="46"/>
        <v>0.94736842105263153</v>
      </c>
      <c r="R381" s="3">
        <f t="shared" si="47"/>
        <v>0.21052631578947367</v>
      </c>
      <c r="S381">
        <v>-37</v>
      </c>
      <c r="T381" s="4">
        <v>0.26</v>
      </c>
      <c r="U381">
        <v>185</v>
      </c>
      <c r="V381">
        <v>242</v>
      </c>
    </row>
    <row r="382" spans="1:22">
      <c r="A382">
        <v>378</v>
      </c>
      <c r="B382" s="2">
        <v>46253</v>
      </c>
      <c r="C382" t="s">
        <v>26</v>
      </c>
      <c r="D382" t="s">
        <v>31</v>
      </c>
      <c r="E382" t="s">
        <v>39</v>
      </c>
      <c r="F382">
        <v>11</v>
      </c>
      <c r="G382">
        <v>13</v>
      </c>
      <c r="H382" t="str">
        <f t="shared" si="40"/>
        <v>Loss</v>
      </c>
      <c r="I382">
        <f t="shared" si="41"/>
        <v>0</v>
      </c>
      <c r="J382">
        <f t="shared" si="42"/>
        <v>-2</v>
      </c>
      <c r="K382">
        <f t="shared" si="43"/>
        <v>24</v>
      </c>
      <c r="L382">
        <v>9</v>
      </c>
      <c r="M382">
        <v>21</v>
      </c>
      <c r="N382">
        <v>2</v>
      </c>
      <c r="O382" s="3">
        <f t="shared" si="44"/>
        <v>0.42857142857142855</v>
      </c>
      <c r="P382" s="3">
        <f t="shared" si="45"/>
        <v>0.375</v>
      </c>
      <c r="Q382" s="3">
        <f t="shared" si="46"/>
        <v>0.875</v>
      </c>
      <c r="R382" s="3">
        <f t="shared" si="47"/>
        <v>8.3333333333333329E-2</v>
      </c>
      <c r="S382">
        <v>-81</v>
      </c>
      <c r="T382" s="4">
        <v>0.11</v>
      </c>
      <c r="U382">
        <v>112</v>
      </c>
      <c r="V382">
        <v>194</v>
      </c>
    </row>
    <row r="383" spans="1:22">
      <c r="A383">
        <v>379</v>
      </c>
      <c r="B383" s="2">
        <v>46253</v>
      </c>
      <c r="C383" t="s">
        <v>40</v>
      </c>
      <c r="D383" t="s">
        <v>42</v>
      </c>
      <c r="E383" t="s">
        <v>28</v>
      </c>
      <c r="F383">
        <v>8</v>
      </c>
      <c r="G383">
        <v>13</v>
      </c>
      <c r="H383" t="str">
        <f t="shared" si="40"/>
        <v>Loss</v>
      </c>
      <c r="I383">
        <f t="shared" si="41"/>
        <v>0</v>
      </c>
      <c r="J383">
        <f t="shared" si="42"/>
        <v>-5</v>
      </c>
      <c r="K383">
        <f t="shared" si="43"/>
        <v>21</v>
      </c>
      <c r="L383">
        <v>20</v>
      </c>
      <c r="M383">
        <v>14</v>
      </c>
      <c r="N383">
        <v>5</v>
      </c>
      <c r="O383" s="3">
        <f t="shared" si="44"/>
        <v>1.4285714285714286</v>
      </c>
      <c r="P383" s="3">
        <f t="shared" si="45"/>
        <v>0.95238095238095233</v>
      </c>
      <c r="Q383" s="3">
        <f t="shared" si="46"/>
        <v>0.66666666666666663</v>
      </c>
      <c r="R383" s="3">
        <f t="shared" si="47"/>
        <v>0.23809523809523808</v>
      </c>
      <c r="S383">
        <v>25</v>
      </c>
      <c r="T383" s="4">
        <v>7.0000000000000007E-2</v>
      </c>
      <c r="U383">
        <v>268</v>
      </c>
      <c r="V383">
        <v>687</v>
      </c>
    </row>
    <row r="384" spans="1:22">
      <c r="A384">
        <v>380</v>
      </c>
      <c r="B384" s="2">
        <v>46253</v>
      </c>
      <c r="C384" t="s">
        <v>35</v>
      </c>
      <c r="D384" t="s">
        <v>24</v>
      </c>
      <c r="E384" t="s">
        <v>25</v>
      </c>
      <c r="F384">
        <v>5</v>
      </c>
      <c r="G384">
        <v>13</v>
      </c>
      <c r="H384" t="str">
        <f t="shared" si="40"/>
        <v>Loss</v>
      </c>
      <c r="I384">
        <f t="shared" si="41"/>
        <v>0</v>
      </c>
      <c r="J384">
        <f t="shared" si="42"/>
        <v>-8</v>
      </c>
      <c r="K384">
        <f t="shared" si="43"/>
        <v>18</v>
      </c>
      <c r="L384">
        <v>8</v>
      </c>
      <c r="M384">
        <v>16</v>
      </c>
      <c r="N384">
        <v>8</v>
      </c>
      <c r="O384" s="3">
        <f t="shared" si="44"/>
        <v>0.5</v>
      </c>
      <c r="P384" s="3">
        <f t="shared" si="45"/>
        <v>0.44444444444444442</v>
      </c>
      <c r="Q384" s="3">
        <f t="shared" si="46"/>
        <v>0.88888888888888884</v>
      </c>
      <c r="R384" s="3">
        <f t="shared" si="47"/>
        <v>0.44444444444444442</v>
      </c>
      <c r="S384">
        <v>-18</v>
      </c>
      <c r="T384" s="4">
        <v>0.1</v>
      </c>
      <c r="U384">
        <v>172</v>
      </c>
      <c r="V384">
        <v>329</v>
      </c>
    </row>
    <row r="385" spans="1:22">
      <c r="A385">
        <v>381</v>
      </c>
      <c r="B385" s="2">
        <v>46253</v>
      </c>
      <c r="C385" t="s">
        <v>29</v>
      </c>
      <c r="D385" t="s">
        <v>36</v>
      </c>
      <c r="E385" t="s">
        <v>25</v>
      </c>
      <c r="F385">
        <v>10</v>
      </c>
      <c r="G385">
        <v>13</v>
      </c>
      <c r="H385" t="str">
        <f t="shared" si="40"/>
        <v>Loss</v>
      </c>
      <c r="I385">
        <f t="shared" si="41"/>
        <v>0</v>
      </c>
      <c r="J385">
        <f t="shared" si="42"/>
        <v>-3</v>
      </c>
      <c r="K385">
        <f t="shared" si="43"/>
        <v>23</v>
      </c>
      <c r="L385">
        <v>16</v>
      </c>
      <c r="M385">
        <v>15</v>
      </c>
      <c r="N385">
        <v>7</v>
      </c>
      <c r="O385" s="3">
        <f t="shared" si="44"/>
        <v>1.0666666666666667</v>
      </c>
      <c r="P385" s="3">
        <f t="shared" si="45"/>
        <v>0.69565217391304346</v>
      </c>
      <c r="Q385" s="3">
        <f t="shared" si="46"/>
        <v>0.65217391304347827</v>
      </c>
      <c r="R385" s="3">
        <f t="shared" si="47"/>
        <v>0.30434782608695654</v>
      </c>
      <c r="S385">
        <v>10</v>
      </c>
      <c r="T385" s="4">
        <v>0.1</v>
      </c>
      <c r="U385">
        <v>206</v>
      </c>
      <c r="V385">
        <v>608</v>
      </c>
    </row>
    <row r="386" spans="1:22">
      <c r="A386">
        <v>382</v>
      </c>
      <c r="B386" s="2">
        <v>46253</v>
      </c>
      <c r="C386" t="s">
        <v>41</v>
      </c>
      <c r="D386" t="s">
        <v>42</v>
      </c>
      <c r="E386" t="s">
        <v>28</v>
      </c>
      <c r="F386">
        <v>3</v>
      </c>
      <c r="G386">
        <v>13</v>
      </c>
      <c r="H386" t="str">
        <f t="shared" si="40"/>
        <v>Loss</v>
      </c>
      <c r="I386">
        <f t="shared" si="41"/>
        <v>0</v>
      </c>
      <c r="J386">
        <f t="shared" si="42"/>
        <v>-10</v>
      </c>
      <c r="K386">
        <f t="shared" si="43"/>
        <v>16</v>
      </c>
      <c r="L386">
        <v>13</v>
      </c>
      <c r="M386">
        <v>14</v>
      </c>
      <c r="N386">
        <v>3</v>
      </c>
      <c r="O386" s="3">
        <f t="shared" si="44"/>
        <v>0.9285714285714286</v>
      </c>
      <c r="P386" s="3">
        <f t="shared" si="45"/>
        <v>0.8125</v>
      </c>
      <c r="Q386" s="3">
        <f t="shared" si="46"/>
        <v>0.875</v>
      </c>
      <c r="R386" s="3">
        <f t="shared" si="47"/>
        <v>0.1875</v>
      </c>
      <c r="S386">
        <v>13</v>
      </c>
      <c r="T386" s="4">
        <v>0.12</v>
      </c>
      <c r="U386">
        <v>265</v>
      </c>
      <c r="V386">
        <v>550</v>
      </c>
    </row>
    <row r="387" spans="1:22">
      <c r="A387">
        <v>383</v>
      </c>
      <c r="B387" s="2">
        <v>46253</v>
      </c>
      <c r="C387" t="s">
        <v>35</v>
      </c>
      <c r="D387" t="s">
        <v>27</v>
      </c>
      <c r="E387" t="s">
        <v>25</v>
      </c>
      <c r="F387">
        <v>11</v>
      </c>
      <c r="G387">
        <v>13</v>
      </c>
      <c r="H387" t="str">
        <f t="shared" si="40"/>
        <v>Loss</v>
      </c>
      <c r="I387">
        <f t="shared" si="41"/>
        <v>0</v>
      </c>
      <c r="J387">
        <f t="shared" si="42"/>
        <v>-2</v>
      </c>
      <c r="K387">
        <f t="shared" si="43"/>
        <v>24</v>
      </c>
      <c r="L387">
        <v>19</v>
      </c>
      <c r="M387">
        <v>19</v>
      </c>
      <c r="N387">
        <v>2</v>
      </c>
      <c r="O387" s="3">
        <f t="shared" si="44"/>
        <v>1</v>
      </c>
      <c r="P387" s="3">
        <f t="shared" si="45"/>
        <v>0.79166666666666663</v>
      </c>
      <c r="Q387" s="3">
        <f t="shared" si="46"/>
        <v>0.79166666666666663</v>
      </c>
      <c r="R387" s="3">
        <f t="shared" si="47"/>
        <v>8.3333333333333329E-2</v>
      </c>
      <c r="S387">
        <v>-6</v>
      </c>
      <c r="T387" s="4">
        <v>0.13</v>
      </c>
      <c r="U387">
        <v>218</v>
      </c>
      <c r="V387">
        <v>428</v>
      </c>
    </row>
    <row r="388" spans="1:22">
      <c r="A388">
        <v>384</v>
      </c>
      <c r="B388" s="2">
        <v>46253</v>
      </c>
      <c r="C388" t="s">
        <v>40</v>
      </c>
      <c r="D388" t="s">
        <v>36</v>
      </c>
      <c r="E388" t="s">
        <v>25</v>
      </c>
      <c r="F388">
        <v>8</v>
      </c>
      <c r="G388">
        <v>13</v>
      </c>
      <c r="H388" t="str">
        <f t="shared" si="40"/>
        <v>Loss</v>
      </c>
      <c r="I388">
        <f t="shared" si="41"/>
        <v>0</v>
      </c>
      <c r="J388">
        <f t="shared" si="42"/>
        <v>-5</v>
      </c>
      <c r="K388">
        <f t="shared" si="43"/>
        <v>21</v>
      </c>
      <c r="L388">
        <v>10</v>
      </c>
      <c r="M388">
        <v>18</v>
      </c>
      <c r="N388">
        <v>6</v>
      </c>
      <c r="O388" s="3">
        <f t="shared" si="44"/>
        <v>0.55555555555555558</v>
      </c>
      <c r="P388" s="3">
        <f t="shared" si="45"/>
        <v>0.47619047619047616</v>
      </c>
      <c r="Q388" s="3">
        <f t="shared" si="46"/>
        <v>0.8571428571428571</v>
      </c>
      <c r="R388" s="3">
        <f t="shared" si="47"/>
        <v>0.2857142857142857</v>
      </c>
      <c r="S388">
        <v>-24</v>
      </c>
      <c r="T388" s="4">
        <v>0.11</v>
      </c>
      <c r="U388">
        <v>175</v>
      </c>
      <c r="V388">
        <v>286</v>
      </c>
    </row>
    <row r="389" spans="1:22">
      <c r="A389">
        <v>385</v>
      </c>
      <c r="B389" s="2">
        <v>46253</v>
      </c>
      <c r="C389" t="s">
        <v>26</v>
      </c>
      <c r="D389" t="s">
        <v>30</v>
      </c>
      <c r="E389" t="s">
        <v>25</v>
      </c>
      <c r="F389">
        <v>13</v>
      </c>
      <c r="G389">
        <v>10</v>
      </c>
      <c r="H389" t="str">
        <f t="shared" ref="H389:H452" si="48">IF(F389&gt;G389,"Win",IF(F389&lt;G389,"Loss","Draw"))</f>
        <v>Win</v>
      </c>
      <c r="I389">
        <f t="shared" ref="I389:I452" si="49">IF(H389="Win",1,0)</f>
        <v>1</v>
      </c>
      <c r="J389">
        <f t="shared" ref="J389:J452" si="50">F389-G389</f>
        <v>3</v>
      </c>
      <c r="K389">
        <f t="shared" ref="K389:K452" si="51">F389+G389</f>
        <v>23</v>
      </c>
      <c r="L389">
        <v>14</v>
      </c>
      <c r="M389">
        <v>16</v>
      </c>
      <c r="N389">
        <v>4</v>
      </c>
      <c r="O389" s="3">
        <f t="shared" ref="O389:O452" si="52">IFERROR(L389/M389,0)</f>
        <v>0.875</v>
      </c>
      <c r="P389" s="3">
        <f t="shared" ref="P389:P452" si="53">IFERROR(L389/K389,0)</f>
        <v>0.60869565217391308</v>
      </c>
      <c r="Q389" s="3">
        <f t="shared" ref="Q389:Q452" si="54">IFERROR(M389/K389,0)</f>
        <v>0.69565217391304346</v>
      </c>
      <c r="R389" s="3">
        <f t="shared" ref="R389:R452" si="55">IFERROR(N389/K389,0)</f>
        <v>0.17391304347826086</v>
      </c>
      <c r="S389">
        <v>-13</v>
      </c>
      <c r="T389" s="4">
        <v>0.09</v>
      </c>
      <c r="U389">
        <v>175</v>
      </c>
      <c r="V389">
        <v>493</v>
      </c>
    </row>
    <row r="390" spans="1:22">
      <c r="A390">
        <v>386</v>
      </c>
      <c r="B390" s="2">
        <v>46253</v>
      </c>
      <c r="C390" t="s">
        <v>23</v>
      </c>
      <c r="D390" t="s">
        <v>30</v>
      </c>
      <c r="E390" t="s">
        <v>39</v>
      </c>
      <c r="F390">
        <v>13</v>
      </c>
      <c r="G390">
        <v>2</v>
      </c>
      <c r="H390" t="str">
        <f t="shared" si="48"/>
        <v>Win</v>
      </c>
      <c r="I390">
        <f t="shared" si="49"/>
        <v>1</v>
      </c>
      <c r="J390">
        <f t="shared" si="50"/>
        <v>11</v>
      </c>
      <c r="K390">
        <f t="shared" si="51"/>
        <v>15</v>
      </c>
      <c r="L390">
        <v>8</v>
      </c>
      <c r="M390">
        <v>5</v>
      </c>
      <c r="N390">
        <v>3</v>
      </c>
      <c r="O390" s="3">
        <f t="shared" si="52"/>
        <v>1.6</v>
      </c>
      <c r="P390" s="3">
        <f t="shared" si="53"/>
        <v>0.53333333333333333</v>
      </c>
      <c r="Q390" s="3">
        <f t="shared" si="54"/>
        <v>0.33333333333333331</v>
      </c>
      <c r="R390" s="3">
        <f t="shared" si="55"/>
        <v>0.2</v>
      </c>
      <c r="S390">
        <v>-18</v>
      </c>
      <c r="T390" s="4">
        <v>0.25</v>
      </c>
      <c r="U390">
        <v>132</v>
      </c>
      <c r="V390">
        <v>529</v>
      </c>
    </row>
    <row r="391" spans="1:22">
      <c r="A391">
        <v>387</v>
      </c>
      <c r="B391" s="2">
        <v>46251</v>
      </c>
      <c r="C391" t="s">
        <v>29</v>
      </c>
      <c r="D391" t="s">
        <v>46</v>
      </c>
      <c r="E391" t="s">
        <v>25</v>
      </c>
      <c r="F391">
        <v>13</v>
      </c>
      <c r="G391">
        <v>6</v>
      </c>
      <c r="H391" t="str">
        <f t="shared" si="48"/>
        <v>Win</v>
      </c>
      <c r="I391">
        <f t="shared" si="49"/>
        <v>1</v>
      </c>
      <c r="J391">
        <f t="shared" si="50"/>
        <v>7</v>
      </c>
      <c r="K391">
        <f t="shared" si="51"/>
        <v>19</v>
      </c>
      <c r="L391">
        <v>17</v>
      </c>
      <c r="M391">
        <v>13</v>
      </c>
      <c r="N391">
        <v>7</v>
      </c>
      <c r="O391" s="3">
        <f t="shared" si="52"/>
        <v>1.3076923076923077</v>
      </c>
      <c r="P391" s="3">
        <f t="shared" si="53"/>
        <v>0.89473684210526316</v>
      </c>
      <c r="Q391" s="3">
        <f t="shared" si="54"/>
        <v>0.68421052631578949</v>
      </c>
      <c r="R391" s="3">
        <f t="shared" si="55"/>
        <v>0.36842105263157893</v>
      </c>
      <c r="S391">
        <v>46</v>
      </c>
      <c r="T391" s="4">
        <v>0.06</v>
      </c>
      <c r="U391">
        <v>254</v>
      </c>
      <c r="V391">
        <v>825</v>
      </c>
    </row>
    <row r="392" spans="1:22">
      <c r="A392">
        <v>388</v>
      </c>
      <c r="B392" s="2">
        <v>46251</v>
      </c>
      <c r="C392" t="s">
        <v>34</v>
      </c>
      <c r="D392" t="s">
        <v>37</v>
      </c>
      <c r="E392" t="s">
        <v>25</v>
      </c>
      <c r="F392">
        <v>10</v>
      </c>
      <c r="G392">
        <v>13</v>
      </c>
      <c r="H392" t="str">
        <f t="shared" si="48"/>
        <v>Loss</v>
      </c>
      <c r="I392">
        <f t="shared" si="49"/>
        <v>0</v>
      </c>
      <c r="J392">
        <f t="shared" si="50"/>
        <v>-3</v>
      </c>
      <c r="K392">
        <f t="shared" si="51"/>
        <v>23</v>
      </c>
      <c r="L392">
        <v>19</v>
      </c>
      <c r="M392">
        <v>19</v>
      </c>
      <c r="N392">
        <v>7</v>
      </c>
      <c r="O392" s="3">
        <f t="shared" si="52"/>
        <v>1</v>
      </c>
      <c r="P392" s="3">
        <f t="shared" si="53"/>
        <v>0.82608695652173914</v>
      </c>
      <c r="Q392" s="3">
        <f t="shared" si="54"/>
        <v>0.82608695652173914</v>
      </c>
      <c r="R392" s="3">
        <f t="shared" si="55"/>
        <v>0.30434782608695654</v>
      </c>
      <c r="S392">
        <v>3</v>
      </c>
      <c r="T392" s="4">
        <v>0.16</v>
      </c>
      <c r="U392">
        <v>244</v>
      </c>
      <c r="V392">
        <v>619</v>
      </c>
    </row>
    <row r="393" spans="1:22">
      <c r="A393">
        <v>389</v>
      </c>
      <c r="B393" s="2">
        <v>46251</v>
      </c>
      <c r="C393" t="s">
        <v>40</v>
      </c>
      <c r="D393" t="s">
        <v>42</v>
      </c>
      <c r="E393" t="s">
        <v>25</v>
      </c>
      <c r="F393">
        <v>13</v>
      </c>
      <c r="G393">
        <v>5</v>
      </c>
      <c r="H393" t="str">
        <f t="shared" si="48"/>
        <v>Win</v>
      </c>
      <c r="I393">
        <f t="shared" si="49"/>
        <v>1</v>
      </c>
      <c r="J393">
        <f t="shared" si="50"/>
        <v>8</v>
      </c>
      <c r="K393">
        <f t="shared" si="51"/>
        <v>18</v>
      </c>
      <c r="L393">
        <v>17</v>
      </c>
      <c r="M393">
        <v>8</v>
      </c>
      <c r="N393">
        <v>5</v>
      </c>
      <c r="O393" s="3">
        <f t="shared" si="52"/>
        <v>2.125</v>
      </c>
      <c r="P393" s="3">
        <f t="shared" si="53"/>
        <v>0.94444444444444442</v>
      </c>
      <c r="Q393" s="3">
        <f t="shared" si="54"/>
        <v>0.44444444444444442</v>
      </c>
      <c r="R393" s="3">
        <f t="shared" si="55"/>
        <v>0.27777777777777779</v>
      </c>
      <c r="S393">
        <v>109</v>
      </c>
      <c r="T393" s="4">
        <v>0.13</v>
      </c>
      <c r="U393">
        <v>266</v>
      </c>
      <c r="V393">
        <v>906</v>
      </c>
    </row>
    <row r="394" spans="1:22">
      <c r="A394">
        <v>390</v>
      </c>
      <c r="B394" s="2">
        <v>46250</v>
      </c>
      <c r="C394" t="s">
        <v>40</v>
      </c>
      <c r="D394" t="s">
        <v>37</v>
      </c>
      <c r="E394" t="s">
        <v>25</v>
      </c>
      <c r="F394">
        <v>7</v>
      </c>
      <c r="G394">
        <v>13</v>
      </c>
      <c r="H394" t="str">
        <f t="shared" si="48"/>
        <v>Loss</v>
      </c>
      <c r="I394">
        <f t="shared" si="49"/>
        <v>0</v>
      </c>
      <c r="J394">
        <f t="shared" si="50"/>
        <v>-6</v>
      </c>
      <c r="K394">
        <f t="shared" si="51"/>
        <v>20</v>
      </c>
      <c r="L394">
        <v>15</v>
      </c>
      <c r="M394">
        <v>19</v>
      </c>
      <c r="N394">
        <v>5</v>
      </c>
      <c r="O394" s="3">
        <f t="shared" si="52"/>
        <v>0.78947368421052633</v>
      </c>
      <c r="P394" s="3">
        <f t="shared" si="53"/>
        <v>0.75</v>
      </c>
      <c r="Q394" s="3">
        <f t="shared" si="54"/>
        <v>0.95</v>
      </c>
      <c r="R394" s="3">
        <f t="shared" si="55"/>
        <v>0.25</v>
      </c>
      <c r="S394">
        <v>7</v>
      </c>
      <c r="T394" s="4">
        <v>0.12</v>
      </c>
      <c r="U394">
        <v>236</v>
      </c>
      <c r="V394">
        <v>590</v>
      </c>
    </row>
    <row r="395" spans="1:22">
      <c r="A395">
        <v>391</v>
      </c>
      <c r="B395" s="2">
        <v>46250</v>
      </c>
      <c r="C395" t="s">
        <v>23</v>
      </c>
      <c r="D395" t="s">
        <v>30</v>
      </c>
      <c r="E395" t="s">
        <v>39</v>
      </c>
      <c r="F395">
        <v>13</v>
      </c>
      <c r="G395">
        <v>6</v>
      </c>
      <c r="H395" t="str">
        <f t="shared" si="48"/>
        <v>Win</v>
      </c>
      <c r="I395">
        <f t="shared" si="49"/>
        <v>1</v>
      </c>
      <c r="J395">
        <f t="shared" si="50"/>
        <v>7</v>
      </c>
      <c r="K395">
        <f t="shared" si="51"/>
        <v>19</v>
      </c>
      <c r="L395">
        <v>9</v>
      </c>
      <c r="M395">
        <v>15</v>
      </c>
      <c r="N395">
        <v>2</v>
      </c>
      <c r="O395" s="3">
        <f t="shared" si="52"/>
        <v>0.6</v>
      </c>
      <c r="P395" s="3">
        <f t="shared" si="53"/>
        <v>0.47368421052631576</v>
      </c>
      <c r="Q395" s="3">
        <f t="shared" si="54"/>
        <v>0.78947368421052633</v>
      </c>
      <c r="R395" s="3">
        <f t="shared" si="55"/>
        <v>0.10526315789473684</v>
      </c>
      <c r="S395">
        <v>-38</v>
      </c>
      <c r="T395" s="4">
        <v>0.11</v>
      </c>
      <c r="U395">
        <v>149</v>
      </c>
      <c r="V395">
        <v>290</v>
      </c>
    </row>
    <row r="396" spans="1:22">
      <c r="A396">
        <v>392</v>
      </c>
      <c r="B396" s="2">
        <v>46250</v>
      </c>
      <c r="C396" t="s">
        <v>41</v>
      </c>
      <c r="D396" t="s">
        <v>42</v>
      </c>
      <c r="E396" t="s">
        <v>28</v>
      </c>
      <c r="F396">
        <v>2</v>
      </c>
      <c r="G396">
        <v>11</v>
      </c>
      <c r="H396" t="str">
        <f t="shared" si="48"/>
        <v>Loss</v>
      </c>
      <c r="I396">
        <f t="shared" si="49"/>
        <v>0</v>
      </c>
      <c r="J396">
        <f t="shared" si="50"/>
        <v>-9</v>
      </c>
      <c r="K396">
        <f t="shared" si="51"/>
        <v>13</v>
      </c>
      <c r="L396">
        <v>9</v>
      </c>
      <c r="M396">
        <v>11</v>
      </c>
      <c r="N396">
        <v>2</v>
      </c>
      <c r="O396" s="3">
        <f t="shared" si="52"/>
        <v>0.81818181818181823</v>
      </c>
      <c r="P396" s="3">
        <f t="shared" si="53"/>
        <v>0.69230769230769229</v>
      </c>
      <c r="Q396" s="3">
        <f t="shared" si="54"/>
        <v>0.84615384615384615</v>
      </c>
      <c r="R396" s="3">
        <f t="shared" si="55"/>
        <v>0.15384615384615385</v>
      </c>
      <c r="S396">
        <v>1</v>
      </c>
      <c r="T396" s="4">
        <v>0.2</v>
      </c>
      <c r="U396">
        <v>209</v>
      </c>
      <c r="V396">
        <v>386</v>
      </c>
    </row>
    <row r="397" spans="1:22">
      <c r="A397">
        <v>393</v>
      </c>
      <c r="B397" s="2">
        <v>46250</v>
      </c>
      <c r="C397" t="s">
        <v>29</v>
      </c>
      <c r="D397" t="s">
        <v>24</v>
      </c>
      <c r="E397" t="s">
        <v>25</v>
      </c>
      <c r="F397">
        <v>13</v>
      </c>
      <c r="G397">
        <v>9</v>
      </c>
      <c r="H397" t="str">
        <f t="shared" si="48"/>
        <v>Win</v>
      </c>
      <c r="I397">
        <f t="shared" si="49"/>
        <v>1</v>
      </c>
      <c r="J397">
        <f t="shared" si="50"/>
        <v>4</v>
      </c>
      <c r="K397">
        <f t="shared" si="51"/>
        <v>22</v>
      </c>
      <c r="L397">
        <v>12</v>
      </c>
      <c r="M397">
        <v>17</v>
      </c>
      <c r="N397">
        <v>2</v>
      </c>
      <c r="O397" s="3">
        <f t="shared" si="52"/>
        <v>0.70588235294117652</v>
      </c>
      <c r="P397" s="3">
        <f t="shared" si="53"/>
        <v>0.54545454545454541</v>
      </c>
      <c r="Q397" s="3">
        <f t="shared" si="54"/>
        <v>0.77272727272727271</v>
      </c>
      <c r="R397" s="3">
        <f t="shared" si="55"/>
        <v>9.0909090909090912E-2</v>
      </c>
      <c r="S397">
        <v>-36</v>
      </c>
      <c r="T397" s="4">
        <v>0.08</v>
      </c>
      <c r="U397">
        <v>158</v>
      </c>
      <c r="V397">
        <v>348</v>
      </c>
    </row>
    <row r="398" spans="1:22">
      <c r="A398">
        <v>394</v>
      </c>
      <c r="B398" s="2">
        <v>46250</v>
      </c>
      <c r="C398" t="s">
        <v>26</v>
      </c>
      <c r="D398" t="s">
        <v>32</v>
      </c>
      <c r="E398" t="s">
        <v>47</v>
      </c>
      <c r="F398">
        <v>8</v>
      </c>
      <c r="G398">
        <v>13</v>
      </c>
      <c r="H398" t="str">
        <f t="shared" si="48"/>
        <v>Loss</v>
      </c>
      <c r="I398">
        <f t="shared" si="49"/>
        <v>0</v>
      </c>
      <c r="J398">
        <f t="shared" si="50"/>
        <v>-5</v>
      </c>
      <c r="K398">
        <f t="shared" si="51"/>
        <v>21</v>
      </c>
      <c r="L398">
        <v>10</v>
      </c>
      <c r="M398">
        <v>17</v>
      </c>
      <c r="N398">
        <v>1</v>
      </c>
      <c r="O398" s="3">
        <f t="shared" si="52"/>
        <v>0.58823529411764708</v>
      </c>
      <c r="P398" s="3">
        <f t="shared" si="53"/>
        <v>0.47619047619047616</v>
      </c>
      <c r="Q398" s="3">
        <f t="shared" si="54"/>
        <v>0.80952380952380953</v>
      </c>
      <c r="R398" s="3">
        <f t="shared" si="55"/>
        <v>4.7619047619047616E-2</v>
      </c>
      <c r="S398">
        <v>-76</v>
      </c>
      <c r="T398" s="4">
        <v>0.05</v>
      </c>
      <c r="U398">
        <v>143</v>
      </c>
      <c r="V398">
        <v>169</v>
      </c>
    </row>
    <row r="399" spans="1:22">
      <c r="A399">
        <v>395</v>
      </c>
      <c r="B399" s="2">
        <v>46250</v>
      </c>
      <c r="C399" t="s">
        <v>54</v>
      </c>
      <c r="D399" t="s">
        <v>27</v>
      </c>
      <c r="E399" t="s">
        <v>25</v>
      </c>
      <c r="F399">
        <v>4</v>
      </c>
      <c r="G399">
        <v>13</v>
      </c>
      <c r="H399" t="str">
        <f t="shared" si="48"/>
        <v>Loss</v>
      </c>
      <c r="I399">
        <f t="shared" si="49"/>
        <v>0</v>
      </c>
      <c r="J399">
        <f t="shared" si="50"/>
        <v>-9</v>
      </c>
      <c r="K399">
        <f t="shared" si="51"/>
        <v>17</v>
      </c>
      <c r="L399">
        <v>11</v>
      </c>
      <c r="M399">
        <v>14</v>
      </c>
      <c r="N399">
        <v>5</v>
      </c>
      <c r="O399" s="3">
        <f t="shared" si="52"/>
        <v>0.7857142857142857</v>
      </c>
      <c r="P399" s="3">
        <f t="shared" si="53"/>
        <v>0.6470588235294118</v>
      </c>
      <c r="Q399" s="3">
        <f t="shared" si="54"/>
        <v>0.82352941176470584</v>
      </c>
      <c r="R399" s="3">
        <f t="shared" si="55"/>
        <v>0.29411764705882354</v>
      </c>
      <c r="S399">
        <v>-9</v>
      </c>
      <c r="T399" s="4">
        <v>0.1</v>
      </c>
      <c r="U399">
        <v>184</v>
      </c>
      <c r="V399">
        <v>459</v>
      </c>
    </row>
    <row r="400" spans="1:22">
      <c r="A400">
        <v>396</v>
      </c>
      <c r="B400" s="2">
        <v>46250</v>
      </c>
      <c r="C400" t="s">
        <v>54</v>
      </c>
      <c r="D400" t="s">
        <v>36</v>
      </c>
      <c r="E400" t="s">
        <v>25</v>
      </c>
      <c r="F400">
        <v>9</v>
      </c>
      <c r="G400">
        <v>13</v>
      </c>
      <c r="H400" t="str">
        <f t="shared" si="48"/>
        <v>Loss</v>
      </c>
      <c r="I400">
        <f t="shared" si="49"/>
        <v>0</v>
      </c>
      <c r="J400">
        <f t="shared" si="50"/>
        <v>-4</v>
      </c>
      <c r="K400">
        <f t="shared" si="51"/>
        <v>22</v>
      </c>
      <c r="L400">
        <v>12</v>
      </c>
      <c r="M400">
        <v>20</v>
      </c>
      <c r="N400">
        <v>4</v>
      </c>
      <c r="O400" s="3">
        <f t="shared" si="52"/>
        <v>0.6</v>
      </c>
      <c r="P400" s="3">
        <f t="shared" si="53"/>
        <v>0.54545454545454541</v>
      </c>
      <c r="Q400" s="3">
        <f t="shared" si="54"/>
        <v>0.90909090909090906</v>
      </c>
      <c r="R400" s="3">
        <f t="shared" si="55"/>
        <v>0.18181818181818182</v>
      </c>
      <c r="S400">
        <v>-39</v>
      </c>
      <c r="T400" s="4">
        <v>0.09</v>
      </c>
      <c r="U400">
        <v>164</v>
      </c>
      <c r="V400">
        <v>331</v>
      </c>
    </row>
    <row r="401" spans="1:22">
      <c r="A401">
        <v>397</v>
      </c>
      <c r="B401" s="2">
        <v>46250</v>
      </c>
      <c r="C401" t="s">
        <v>34</v>
      </c>
      <c r="D401" t="s">
        <v>31</v>
      </c>
      <c r="E401" t="s">
        <v>25</v>
      </c>
      <c r="F401">
        <v>13</v>
      </c>
      <c r="G401">
        <v>10</v>
      </c>
      <c r="H401" t="str">
        <f t="shared" si="48"/>
        <v>Win</v>
      </c>
      <c r="I401">
        <f t="shared" si="49"/>
        <v>1</v>
      </c>
      <c r="J401">
        <f t="shared" si="50"/>
        <v>3</v>
      </c>
      <c r="K401">
        <f t="shared" si="51"/>
        <v>23</v>
      </c>
      <c r="L401">
        <v>10</v>
      </c>
      <c r="M401">
        <v>17</v>
      </c>
      <c r="N401">
        <v>3</v>
      </c>
      <c r="O401" s="3">
        <f t="shared" si="52"/>
        <v>0.58823529411764708</v>
      </c>
      <c r="P401" s="3">
        <f t="shared" si="53"/>
        <v>0.43478260869565216</v>
      </c>
      <c r="Q401" s="3">
        <f t="shared" si="54"/>
        <v>0.73913043478260865</v>
      </c>
      <c r="R401" s="3">
        <f t="shared" si="55"/>
        <v>0.13043478260869565</v>
      </c>
      <c r="S401">
        <v>-57</v>
      </c>
      <c r="T401" s="4">
        <v>0.04</v>
      </c>
      <c r="U401">
        <v>119</v>
      </c>
      <c r="V401">
        <v>340</v>
      </c>
    </row>
    <row r="402" spans="1:22">
      <c r="A402">
        <v>398</v>
      </c>
      <c r="B402" s="2">
        <v>46250</v>
      </c>
      <c r="C402" t="s">
        <v>41</v>
      </c>
      <c r="D402" t="s">
        <v>27</v>
      </c>
      <c r="E402" t="s">
        <v>45</v>
      </c>
      <c r="F402">
        <v>13</v>
      </c>
      <c r="G402">
        <v>10</v>
      </c>
      <c r="H402" t="str">
        <f t="shared" si="48"/>
        <v>Win</v>
      </c>
      <c r="I402">
        <f t="shared" si="49"/>
        <v>1</v>
      </c>
      <c r="J402">
        <f t="shared" si="50"/>
        <v>3</v>
      </c>
      <c r="K402">
        <f t="shared" si="51"/>
        <v>23</v>
      </c>
      <c r="L402">
        <v>14</v>
      </c>
      <c r="M402">
        <v>17</v>
      </c>
      <c r="N402">
        <v>6</v>
      </c>
      <c r="O402" s="3">
        <f t="shared" si="52"/>
        <v>0.82352941176470584</v>
      </c>
      <c r="P402" s="3">
        <f t="shared" si="53"/>
        <v>0.60869565217391308</v>
      </c>
      <c r="Q402" s="3">
        <f t="shared" si="54"/>
        <v>0.73913043478260865</v>
      </c>
      <c r="R402" s="3">
        <f t="shared" si="55"/>
        <v>0.2608695652173913</v>
      </c>
      <c r="S402">
        <v>-43</v>
      </c>
      <c r="T402" s="4">
        <v>0.04</v>
      </c>
      <c r="U402">
        <v>192</v>
      </c>
      <c r="V402">
        <v>393</v>
      </c>
    </row>
    <row r="403" spans="1:22">
      <c r="A403">
        <v>399</v>
      </c>
      <c r="B403" s="2">
        <v>46249</v>
      </c>
      <c r="C403" t="s">
        <v>29</v>
      </c>
      <c r="D403" t="s">
        <v>24</v>
      </c>
      <c r="E403" t="s">
        <v>25</v>
      </c>
      <c r="F403">
        <v>13</v>
      </c>
      <c r="G403">
        <v>11</v>
      </c>
      <c r="H403" t="str">
        <f t="shared" si="48"/>
        <v>Win</v>
      </c>
      <c r="I403">
        <f t="shared" si="49"/>
        <v>1</v>
      </c>
      <c r="J403">
        <f t="shared" si="50"/>
        <v>2</v>
      </c>
      <c r="K403">
        <f t="shared" si="51"/>
        <v>24</v>
      </c>
      <c r="L403">
        <v>17</v>
      </c>
      <c r="M403">
        <v>17</v>
      </c>
      <c r="N403">
        <v>5</v>
      </c>
      <c r="O403" s="3">
        <f t="shared" si="52"/>
        <v>1</v>
      </c>
      <c r="P403" s="3">
        <f t="shared" si="53"/>
        <v>0.70833333333333337</v>
      </c>
      <c r="Q403" s="3">
        <f t="shared" si="54"/>
        <v>0.70833333333333337</v>
      </c>
      <c r="R403" s="3">
        <f t="shared" si="55"/>
        <v>0.20833333333333334</v>
      </c>
      <c r="S403">
        <v>14</v>
      </c>
      <c r="T403" s="4">
        <v>0.11</v>
      </c>
      <c r="U403">
        <v>202</v>
      </c>
      <c r="V403">
        <v>621</v>
      </c>
    </row>
    <row r="404" spans="1:22">
      <c r="A404">
        <v>400</v>
      </c>
      <c r="B404" s="2">
        <v>46249</v>
      </c>
      <c r="C404" t="s">
        <v>34</v>
      </c>
      <c r="D404" t="s">
        <v>30</v>
      </c>
      <c r="E404" t="s">
        <v>25</v>
      </c>
      <c r="F404">
        <v>13</v>
      </c>
      <c r="G404">
        <v>10</v>
      </c>
      <c r="H404" t="str">
        <f t="shared" si="48"/>
        <v>Win</v>
      </c>
      <c r="I404">
        <f t="shared" si="49"/>
        <v>1</v>
      </c>
      <c r="J404">
        <f t="shared" si="50"/>
        <v>3</v>
      </c>
      <c r="K404">
        <f t="shared" si="51"/>
        <v>23</v>
      </c>
      <c r="L404">
        <v>13</v>
      </c>
      <c r="M404">
        <v>17</v>
      </c>
      <c r="N404">
        <v>5</v>
      </c>
      <c r="O404" s="3">
        <f t="shared" si="52"/>
        <v>0.76470588235294112</v>
      </c>
      <c r="P404" s="3">
        <f t="shared" si="53"/>
        <v>0.56521739130434778</v>
      </c>
      <c r="Q404" s="3">
        <f t="shared" si="54"/>
        <v>0.73913043478260865</v>
      </c>
      <c r="R404" s="3">
        <f t="shared" si="55"/>
        <v>0.21739130434782608</v>
      </c>
      <c r="S404">
        <v>-14</v>
      </c>
      <c r="T404" s="4">
        <v>0.14000000000000001</v>
      </c>
      <c r="U404">
        <v>168</v>
      </c>
      <c r="V404">
        <v>403</v>
      </c>
    </row>
    <row r="405" spans="1:22">
      <c r="A405">
        <v>401</v>
      </c>
      <c r="B405" s="2">
        <v>46249</v>
      </c>
      <c r="C405" t="s">
        <v>23</v>
      </c>
      <c r="D405" t="s">
        <v>24</v>
      </c>
      <c r="E405" t="s">
        <v>39</v>
      </c>
      <c r="F405">
        <v>10</v>
      </c>
      <c r="G405">
        <v>13</v>
      </c>
      <c r="H405" t="str">
        <f t="shared" si="48"/>
        <v>Loss</v>
      </c>
      <c r="I405">
        <f t="shared" si="49"/>
        <v>0</v>
      </c>
      <c r="J405">
        <f t="shared" si="50"/>
        <v>-3</v>
      </c>
      <c r="K405">
        <f t="shared" si="51"/>
        <v>23</v>
      </c>
      <c r="L405">
        <v>17</v>
      </c>
      <c r="M405">
        <v>19</v>
      </c>
      <c r="N405">
        <v>2</v>
      </c>
      <c r="O405" s="3">
        <f t="shared" si="52"/>
        <v>0.89473684210526316</v>
      </c>
      <c r="P405" s="3">
        <f t="shared" si="53"/>
        <v>0.73913043478260865</v>
      </c>
      <c r="Q405" s="3">
        <f t="shared" si="54"/>
        <v>0.82608695652173914</v>
      </c>
      <c r="R405" s="3">
        <f t="shared" si="55"/>
        <v>8.6956521739130432E-2</v>
      </c>
      <c r="S405">
        <v>-31</v>
      </c>
      <c r="T405" s="4">
        <v>0.09</v>
      </c>
      <c r="U405">
        <v>200</v>
      </c>
      <c r="V405">
        <v>439</v>
      </c>
    </row>
    <row r="406" spans="1:22">
      <c r="A406">
        <v>402</v>
      </c>
      <c r="B406" s="2">
        <v>46249</v>
      </c>
      <c r="C406" t="s">
        <v>41</v>
      </c>
      <c r="D406" t="s">
        <v>27</v>
      </c>
      <c r="E406" t="s">
        <v>28</v>
      </c>
      <c r="F406">
        <v>13</v>
      </c>
      <c r="G406">
        <v>6</v>
      </c>
      <c r="H406" t="str">
        <f t="shared" si="48"/>
        <v>Win</v>
      </c>
      <c r="I406">
        <f t="shared" si="49"/>
        <v>1</v>
      </c>
      <c r="J406">
        <f t="shared" si="50"/>
        <v>7</v>
      </c>
      <c r="K406">
        <f t="shared" si="51"/>
        <v>19</v>
      </c>
      <c r="L406">
        <v>16</v>
      </c>
      <c r="M406">
        <v>13</v>
      </c>
      <c r="N406">
        <v>5</v>
      </c>
      <c r="O406" s="3">
        <f t="shared" si="52"/>
        <v>1.2307692307692308</v>
      </c>
      <c r="P406" s="3">
        <f t="shared" si="53"/>
        <v>0.84210526315789469</v>
      </c>
      <c r="Q406" s="3">
        <f t="shared" si="54"/>
        <v>0.68421052631578949</v>
      </c>
      <c r="R406" s="3">
        <f t="shared" si="55"/>
        <v>0.26315789473684209</v>
      </c>
      <c r="S406">
        <v>38</v>
      </c>
      <c r="T406" s="4">
        <v>0.14000000000000001</v>
      </c>
      <c r="U406">
        <v>253</v>
      </c>
      <c r="V406">
        <v>812</v>
      </c>
    </row>
    <row r="407" spans="1:22">
      <c r="A407">
        <v>403</v>
      </c>
      <c r="B407" s="2">
        <v>46249</v>
      </c>
      <c r="C407" t="s">
        <v>23</v>
      </c>
      <c r="D407" t="s">
        <v>27</v>
      </c>
      <c r="E407" t="s">
        <v>39</v>
      </c>
      <c r="F407">
        <v>13</v>
      </c>
      <c r="G407">
        <v>11</v>
      </c>
      <c r="H407" t="str">
        <f t="shared" si="48"/>
        <v>Win</v>
      </c>
      <c r="I407">
        <f t="shared" si="49"/>
        <v>1</v>
      </c>
      <c r="J407">
        <f t="shared" si="50"/>
        <v>2</v>
      </c>
      <c r="K407">
        <f t="shared" si="51"/>
        <v>24</v>
      </c>
      <c r="L407">
        <v>18</v>
      </c>
      <c r="M407">
        <v>20</v>
      </c>
      <c r="N407">
        <v>4</v>
      </c>
      <c r="O407" s="3">
        <f t="shared" si="52"/>
        <v>0.9</v>
      </c>
      <c r="P407" s="3">
        <f t="shared" si="53"/>
        <v>0.75</v>
      </c>
      <c r="Q407" s="3">
        <f t="shared" si="54"/>
        <v>0.83333333333333337</v>
      </c>
      <c r="R407" s="3">
        <f t="shared" si="55"/>
        <v>0.16666666666666666</v>
      </c>
      <c r="S407">
        <v>-7</v>
      </c>
      <c r="T407" s="4">
        <v>7.0000000000000007E-2</v>
      </c>
      <c r="U407">
        <v>210</v>
      </c>
      <c r="V407">
        <v>516</v>
      </c>
    </row>
    <row r="408" spans="1:22">
      <c r="A408">
        <v>404</v>
      </c>
      <c r="B408" s="2">
        <v>46249</v>
      </c>
      <c r="C408" t="s">
        <v>54</v>
      </c>
      <c r="D408" t="s">
        <v>31</v>
      </c>
      <c r="E408" t="s">
        <v>47</v>
      </c>
      <c r="F408">
        <v>10</v>
      </c>
      <c r="G408">
        <v>13</v>
      </c>
      <c r="H408" t="str">
        <f t="shared" si="48"/>
        <v>Loss</v>
      </c>
      <c r="I408">
        <f t="shared" si="49"/>
        <v>0</v>
      </c>
      <c r="J408">
        <f t="shared" si="50"/>
        <v>-3</v>
      </c>
      <c r="K408">
        <f t="shared" si="51"/>
        <v>23</v>
      </c>
      <c r="L408">
        <v>8</v>
      </c>
      <c r="M408">
        <v>18</v>
      </c>
      <c r="N408">
        <v>3</v>
      </c>
      <c r="O408" s="3">
        <f t="shared" si="52"/>
        <v>0.44444444444444442</v>
      </c>
      <c r="P408" s="3">
        <f t="shared" si="53"/>
        <v>0.34782608695652173</v>
      </c>
      <c r="Q408" s="3">
        <f t="shared" si="54"/>
        <v>0.78260869565217395</v>
      </c>
      <c r="R408" s="3">
        <f t="shared" si="55"/>
        <v>0.13043478260869565</v>
      </c>
      <c r="S408">
        <v>-66</v>
      </c>
      <c r="T408" s="4">
        <v>7.0000000000000007E-2</v>
      </c>
      <c r="U408">
        <v>102</v>
      </c>
      <c r="V408">
        <v>140</v>
      </c>
    </row>
    <row r="409" spans="1:22">
      <c r="A409">
        <v>405</v>
      </c>
      <c r="B409" s="2">
        <v>46249</v>
      </c>
      <c r="C409" t="s">
        <v>41</v>
      </c>
      <c r="D409" t="s">
        <v>37</v>
      </c>
      <c r="E409" t="s">
        <v>28</v>
      </c>
      <c r="F409">
        <v>4</v>
      </c>
      <c r="G409">
        <v>13</v>
      </c>
      <c r="H409" t="str">
        <f t="shared" si="48"/>
        <v>Loss</v>
      </c>
      <c r="I409">
        <f t="shared" si="49"/>
        <v>0</v>
      </c>
      <c r="J409">
        <f t="shared" si="50"/>
        <v>-9</v>
      </c>
      <c r="K409">
        <f t="shared" si="51"/>
        <v>17</v>
      </c>
      <c r="L409">
        <v>11</v>
      </c>
      <c r="M409">
        <v>14</v>
      </c>
      <c r="N409">
        <v>4</v>
      </c>
      <c r="O409" s="3">
        <f t="shared" si="52"/>
        <v>0.7857142857142857</v>
      </c>
      <c r="P409" s="3">
        <f t="shared" si="53"/>
        <v>0.6470588235294118</v>
      </c>
      <c r="Q409" s="3">
        <f t="shared" si="54"/>
        <v>0.82352941176470584</v>
      </c>
      <c r="R409" s="3">
        <f t="shared" si="55"/>
        <v>0.23529411764705882</v>
      </c>
      <c r="S409">
        <v>-34</v>
      </c>
      <c r="T409" s="4">
        <v>0.13</v>
      </c>
      <c r="U409">
        <v>182</v>
      </c>
      <c r="V409">
        <v>259</v>
      </c>
    </row>
    <row r="410" spans="1:22">
      <c r="A410">
        <v>406</v>
      </c>
      <c r="B410" s="2">
        <v>46248</v>
      </c>
      <c r="C410" t="s">
        <v>34</v>
      </c>
      <c r="D410" t="s">
        <v>46</v>
      </c>
      <c r="E410" t="s">
        <v>25</v>
      </c>
      <c r="F410">
        <v>15</v>
      </c>
      <c r="G410">
        <v>13</v>
      </c>
      <c r="H410" t="str">
        <f t="shared" si="48"/>
        <v>Win</v>
      </c>
      <c r="I410">
        <f t="shared" si="49"/>
        <v>1</v>
      </c>
      <c r="J410">
        <f t="shared" si="50"/>
        <v>2</v>
      </c>
      <c r="K410">
        <f t="shared" si="51"/>
        <v>28</v>
      </c>
      <c r="L410">
        <v>30</v>
      </c>
      <c r="M410">
        <v>17</v>
      </c>
      <c r="N410">
        <v>7</v>
      </c>
      <c r="O410" s="3">
        <f t="shared" si="52"/>
        <v>1.7647058823529411</v>
      </c>
      <c r="P410" s="3">
        <f t="shared" si="53"/>
        <v>1.0714285714285714</v>
      </c>
      <c r="Q410" s="3">
        <f t="shared" si="54"/>
        <v>0.6071428571428571</v>
      </c>
      <c r="R410" s="3">
        <f t="shared" si="55"/>
        <v>0.25</v>
      </c>
      <c r="S410">
        <v>82</v>
      </c>
      <c r="T410" s="4">
        <v>0.06</v>
      </c>
      <c r="U410">
        <v>298</v>
      </c>
      <c r="V410">
        <v>785</v>
      </c>
    </row>
    <row r="411" spans="1:22">
      <c r="A411">
        <v>407</v>
      </c>
      <c r="B411" s="2">
        <v>46246</v>
      </c>
      <c r="C411" t="s">
        <v>34</v>
      </c>
      <c r="D411" t="s">
        <v>30</v>
      </c>
      <c r="E411" t="s">
        <v>25</v>
      </c>
      <c r="F411">
        <v>7</v>
      </c>
      <c r="G411">
        <v>13</v>
      </c>
      <c r="H411" t="str">
        <f t="shared" si="48"/>
        <v>Loss</v>
      </c>
      <c r="I411">
        <f t="shared" si="49"/>
        <v>0</v>
      </c>
      <c r="J411">
        <f t="shared" si="50"/>
        <v>-6</v>
      </c>
      <c r="K411">
        <f t="shared" si="51"/>
        <v>20</v>
      </c>
      <c r="L411">
        <v>11</v>
      </c>
      <c r="M411">
        <v>16</v>
      </c>
      <c r="N411">
        <v>2</v>
      </c>
      <c r="O411" s="3">
        <f t="shared" si="52"/>
        <v>0.6875</v>
      </c>
      <c r="P411" s="3">
        <f t="shared" si="53"/>
        <v>0.55000000000000004</v>
      </c>
      <c r="Q411" s="3">
        <f t="shared" si="54"/>
        <v>0.8</v>
      </c>
      <c r="R411" s="3">
        <f t="shared" si="55"/>
        <v>0.1</v>
      </c>
      <c r="S411">
        <v>-18</v>
      </c>
      <c r="T411" s="4">
        <v>0.05</v>
      </c>
      <c r="U411">
        <v>166</v>
      </c>
      <c r="V411">
        <v>269</v>
      </c>
    </row>
    <row r="412" spans="1:22">
      <c r="A412">
        <v>408</v>
      </c>
      <c r="B412" s="2">
        <v>46246</v>
      </c>
      <c r="C412" t="s">
        <v>23</v>
      </c>
      <c r="D412" t="s">
        <v>36</v>
      </c>
      <c r="E412" t="s">
        <v>39</v>
      </c>
      <c r="F412">
        <v>13</v>
      </c>
      <c r="G412">
        <v>8</v>
      </c>
      <c r="H412" t="str">
        <f t="shared" si="48"/>
        <v>Win</v>
      </c>
      <c r="I412">
        <f t="shared" si="49"/>
        <v>1</v>
      </c>
      <c r="J412">
        <f t="shared" si="50"/>
        <v>5</v>
      </c>
      <c r="K412">
        <f t="shared" si="51"/>
        <v>21</v>
      </c>
      <c r="L412">
        <v>12</v>
      </c>
      <c r="M412">
        <v>14</v>
      </c>
      <c r="N412">
        <v>5</v>
      </c>
      <c r="O412" s="3">
        <f t="shared" si="52"/>
        <v>0.8571428571428571</v>
      </c>
      <c r="P412" s="3">
        <f t="shared" si="53"/>
        <v>0.5714285714285714</v>
      </c>
      <c r="Q412" s="3">
        <f t="shared" si="54"/>
        <v>0.66666666666666663</v>
      </c>
      <c r="R412" s="3">
        <f t="shared" si="55"/>
        <v>0.23809523809523808</v>
      </c>
      <c r="S412">
        <v>5</v>
      </c>
      <c r="T412" s="4">
        <v>0.09</v>
      </c>
      <c r="U412">
        <v>161</v>
      </c>
      <c r="V412">
        <v>445</v>
      </c>
    </row>
    <row r="413" spans="1:22">
      <c r="A413">
        <v>409</v>
      </c>
      <c r="B413" s="2">
        <v>46246</v>
      </c>
      <c r="C413" t="s">
        <v>54</v>
      </c>
      <c r="D413" t="s">
        <v>36</v>
      </c>
      <c r="E413" t="s">
        <v>25</v>
      </c>
      <c r="F413">
        <v>13</v>
      </c>
      <c r="G413">
        <v>3</v>
      </c>
      <c r="H413" t="str">
        <f t="shared" si="48"/>
        <v>Win</v>
      </c>
      <c r="I413">
        <f t="shared" si="49"/>
        <v>1</v>
      </c>
      <c r="J413">
        <f t="shared" si="50"/>
        <v>10</v>
      </c>
      <c r="K413">
        <f t="shared" si="51"/>
        <v>16</v>
      </c>
      <c r="L413">
        <v>10</v>
      </c>
      <c r="M413">
        <v>9</v>
      </c>
      <c r="N413">
        <v>6</v>
      </c>
      <c r="O413" s="3">
        <f t="shared" si="52"/>
        <v>1.1111111111111112</v>
      </c>
      <c r="P413" s="3">
        <f t="shared" si="53"/>
        <v>0.625</v>
      </c>
      <c r="Q413" s="3">
        <f t="shared" si="54"/>
        <v>0.5625</v>
      </c>
      <c r="R413" s="3">
        <f t="shared" si="55"/>
        <v>0.375</v>
      </c>
      <c r="S413">
        <v>36</v>
      </c>
      <c r="T413" s="4">
        <v>0.13</v>
      </c>
      <c r="U413">
        <v>179</v>
      </c>
      <c r="V413">
        <v>706</v>
      </c>
    </row>
    <row r="414" spans="1:22">
      <c r="A414">
        <v>410</v>
      </c>
      <c r="B414" s="2">
        <v>46246</v>
      </c>
      <c r="C414" t="s">
        <v>40</v>
      </c>
      <c r="D414" t="s">
        <v>37</v>
      </c>
      <c r="E414" t="s">
        <v>25</v>
      </c>
      <c r="F414">
        <v>10</v>
      </c>
      <c r="G414">
        <v>13</v>
      </c>
      <c r="H414" t="str">
        <f t="shared" si="48"/>
        <v>Loss</v>
      </c>
      <c r="I414">
        <f t="shared" si="49"/>
        <v>0</v>
      </c>
      <c r="J414">
        <f t="shared" si="50"/>
        <v>-3</v>
      </c>
      <c r="K414">
        <f t="shared" si="51"/>
        <v>23</v>
      </c>
      <c r="L414">
        <v>21</v>
      </c>
      <c r="M414">
        <v>17</v>
      </c>
      <c r="N414">
        <v>5</v>
      </c>
      <c r="O414" s="3">
        <f t="shared" si="52"/>
        <v>1.2352941176470589</v>
      </c>
      <c r="P414" s="3">
        <f t="shared" si="53"/>
        <v>0.91304347826086951</v>
      </c>
      <c r="Q414" s="3">
        <f t="shared" si="54"/>
        <v>0.73913043478260865</v>
      </c>
      <c r="R414" s="3">
        <f t="shared" si="55"/>
        <v>0.21739130434782608</v>
      </c>
      <c r="S414">
        <v>26</v>
      </c>
      <c r="T414" s="4">
        <v>0.09</v>
      </c>
      <c r="U414">
        <v>262</v>
      </c>
      <c r="V414">
        <v>601</v>
      </c>
    </row>
    <row r="415" spans="1:22">
      <c r="A415">
        <v>411</v>
      </c>
      <c r="B415" s="2">
        <v>46246</v>
      </c>
      <c r="C415" t="s">
        <v>29</v>
      </c>
      <c r="D415" t="s">
        <v>30</v>
      </c>
      <c r="E415" t="s">
        <v>25</v>
      </c>
      <c r="F415">
        <v>1</v>
      </c>
      <c r="G415">
        <v>13</v>
      </c>
      <c r="H415" t="str">
        <f t="shared" si="48"/>
        <v>Loss</v>
      </c>
      <c r="I415">
        <f t="shared" si="49"/>
        <v>0</v>
      </c>
      <c r="J415">
        <f t="shared" si="50"/>
        <v>-12</v>
      </c>
      <c r="K415">
        <f t="shared" si="51"/>
        <v>14</v>
      </c>
      <c r="L415">
        <v>6</v>
      </c>
      <c r="M415">
        <v>14</v>
      </c>
      <c r="N415">
        <v>0</v>
      </c>
      <c r="O415" s="3">
        <f t="shared" si="52"/>
        <v>0.42857142857142855</v>
      </c>
      <c r="P415" s="3">
        <f t="shared" si="53"/>
        <v>0.42857142857142855</v>
      </c>
      <c r="Q415" s="3">
        <f t="shared" si="54"/>
        <v>1</v>
      </c>
      <c r="R415" s="3">
        <f t="shared" si="55"/>
        <v>0</v>
      </c>
      <c r="S415">
        <v>-46</v>
      </c>
      <c r="T415" s="4">
        <v>0.12</v>
      </c>
      <c r="U415">
        <v>135</v>
      </c>
      <c r="V415">
        <v>100</v>
      </c>
    </row>
    <row r="416" spans="1:22">
      <c r="A416">
        <v>412</v>
      </c>
      <c r="B416" s="2">
        <v>46245</v>
      </c>
      <c r="C416" t="s">
        <v>29</v>
      </c>
      <c r="D416" t="s">
        <v>36</v>
      </c>
      <c r="E416" t="s">
        <v>28</v>
      </c>
      <c r="F416">
        <v>7</v>
      </c>
      <c r="G416">
        <v>13</v>
      </c>
      <c r="H416" t="str">
        <f t="shared" si="48"/>
        <v>Loss</v>
      </c>
      <c r="I416">
        <f t="shared" si="49"/>
        <v>0</v>
      </c>
      <c r="J416">
        <f t="shared" si="50"/>
        <v>-6</v>
      </c>
      <c r="K416">
        <f t="shared" si="51"/>
        <v>20</v>
      </c>
      <c r="L416">
        <v>14</v>
      </c>
      <c r="M416">
        <v>10</v>
      </c>
      <c r="N416">
        <v>5</v>
      </c>
      <c r="O416" s="3">
        <f t="shared" si="52"/>
        <v>1.4</v>
      </c>
      <c r="P416" s="3">
        <f t="shared" si="53"/>
        <v>0.7</v>
      </c>
      <c r="Q416" s="3">
        <f t="shared" si="54"/>
        <v>0.5</v>
      </c>
      <c r="R416" s="3">
        <f t="shared" si="55"/>
        <v>0.25</v>
      </c>
      <c r="S416">
        <v>50</v>
      </c>
      <c r="T416" s="4">
        <v>0.11</v>
      </c>
      <c r="U416">
        <v>210</v>
      </c>
      <c r="V416">
        <v>662</v>
      </c>
    </row>
    <row r="417" spans="1:22">
      <c r="A417">
        <v>413</v>
      </c>
      <c r="B417" s="2">
        <v>46245</v>
      </c>
      <c r="C417" t="s">
        <v>23</v>
      </c>
      <c r="D417" t="s">
        <v>30</v>
      </c>
      <c r="E417" t="s">
        <v>39</v>
      </c>
      <c r="F417">
        <v>8</v>
      </c>
      <c r="G417">
        <v>13</v>
      </c>
      <c r="H417" t="str">
        <f t="shared" si="48"/>
        <v>Loss</v>
      </c>
      <c r="I417">
        <f t="shared" si="49"/>
        <v>0</v>
      </c>
      <c r="J417">
        <f t="shared" si="50"/>
        <v>-5</v>
      </c>
      <c r="K417">
        <f t="shared" si="51"/>
        <v>21</v>
      </c>
      <c r="L417">
        <v>8</v>
      </c>
      <c r="M417">
        <v>18</v>
      </c>
      <c r="N417">
        <v>4</v>
      </c>
      <c r="O417" s="3">
        <f t="shared" si="52"/>
        <v>0.44444444444444442</v>
      </c>
      <c r="P417" s="3">
        <f t="shared" si="53"/>
        <v>0.38095238095238093</v>
      </c>
      <c r="Q417" s="3">
        <f t="shared" si="54"/>
        <v>0.8571428571428571</v>
      </c>
      <c r="R417" s="3">
        <f t="shared" si="55"/>
        <v>0.19047619047619047</v>
      </c>
      <c r="S417">
        <v>-48</v>
      </c>
      <c r="T417" s="4">
        <v>7.0000000000000007E-2</v>
      </c>
      <c r="U417">
        <v>139</v>
      </c>
      <c r="V417">
        <v>222</v>
      </c>
    </row>
    <row r="418" spans="1:22">
      <c r="A418">
        <v>414</v>
      </c>
      <c r="B418" s="2">
        <v>46245</v>
      </c>
      <c r="C418" t="s">
        <v>41</v>
      </c>
      <c r="D418" t="s">
        <v>46</v>
      </c>
      <c r="E418" t="s">
        <v>28</v>
      </c>
      <c r="F418">
        <v>7</v>
      </c>
      <c r="G418">
        <v>13</v>
      </c>
      <c r="H418" t="str">
        <f t="shared" si="48"/>
        <v>Loss</v>
      </c>
      <c r="I418">
        <f t="shared" si="49"/>
        <v>0</v>
      </c>
      <c r="J418">
        <f t="shared" si="50"/>
        <v>-6</v>
      </c>
      <c r="K418">
        <f t="shared" si="51"/>
        <v>20</v>
      </c>
      <c r="L418">
        <v>24</v>
      </c>
      <c r="M418">
        <v>14</v>
      </c>
      <c r="N418">
        <v>5</v>
      </c>
      <c r="O418" s="3">
        <f t="shared" si="52"/>
        <v>1.7142857142857142</v>
      </c>
      <c r="P418" s="3">
        <f t="shared" si="53"/>
        <v>1.2</v>
      </c>
      <c r="Q418" s="3">
        <f t="shared" si="54"/>
        <v>0.7</v>
      </c>
      <c r="R418" s="3">
        <f t="shared" si="55"/>
        <v>0.25</v>
      </c>
      <c r="S418">
        <v>103</v>
      </c>
      <c r="T418" s="4">
        <v>0.1</v>
      </c>
      <c r="U418">
        <v>356</v>
      </c>
      <c r="V418">
        <v>887</v>
      </c>
    </row>
    <row r="419" spans="1:22">
      <c r="A419">
        <v>415</v>
      </c>
      <c r="B419" s="2">
        <v>46245</v>
      </c>
      <c r="C419" t="s">
        <v>23</v>
      </c>
      <c r="D419" t="s">
        <v>27</v>
      </c>
      <c r="E419" t="s">
        <v>39</v>
      </c>
      <c r="F419">
        <v>6</v>
      </c>
      <c r="G419">
        <v>13</v>
      </c>
      <c r="H419" t="str">
        <f t="shared" si="48"/>
        <v>Loss</v>
      </c>
      <c r="I419">
        <f t="shared" si="49"/>
        <v>0</v>
      </c>
      <c r="J419">
        <f t="shared" si="50"/>
        <v>-7</v>
      </c>
      <c r="K419">
        <f t="shared" si="51"/>
        <v>19</v>
      </c>
      <c r="L419">
        <v>15</v>
      </c>
      <c r="M419">
        <v>15</v>
      </c>
      <c r="N419">
        <v>3</v>
      </c>
      <c r="O419" s="3">
        <f t="shared" si="52"/>
        <v>1</v>
      </c>
      <c r="P419" s="3">
        <f t="shared" si="53"/>
        <v>0.78947368421052633</v>
      </c>
      <c r="Q419" s="3">
        <f t="shared" si="54"/>
        <v>0.78947368421052633</v>
      </c>
      <c r="R419" s="3">
        <f t="shared" si="55"/>
        <v>0.15789473684210525</v>
      </c>
      <c r="S419">
        <v>9</v>
      </c>
      <c r="T419" s="4">
        <v>0.06</v>
      </c>
      <c r="U419">
        <v>224</v>
      </c>
      <c r="V419">
        <v>425</v>
      </c>
    </row>
    <row r="420" spans="1:22">
      <c r="A420">
        <v>416</v>
      </c>
      <c r="B420" s="2">
        <v>46245</v>
      </c>
      <c r="C420" t="s">
        <v>26</v>
      </c>
      <c r="D420" t="s">
        <v>42</v>
      </c>
      <c r="E420" t="s">
        <v>28</v>
      </c>
      <c r="F420">
        <v>11</v>
      </c>
      <c r="G420">
        <v>13</v>
      </c>
      <c r="H420" t="str">
        <f t="shared" si="48"/>
        <v>Loss</v>
      </c>
      <c r="I420">
        <f t="shared" si="49"/>
        <v>0</v>
      </c>
      <c r="J420">
        <f t="shared" si="50"/>
        <v>-2</v>
      </c>
      <c r="K420">
        <f t="shared" si="51"/>
        <v>24</v>
      </c>
      <c r="L420">
        <v>22</v>
      </c>
      <c r="M420">
        <v>19</v>
      </c>
      <c r="N420">
        <v>4</v>
      </c>
      <c r="O420" s="3">
        <f t="shared" si="52"/>
        <v>1.1578947368421053</v>
      </c>
      <c r="P420" s="3">
        <f t="shared" si="53"/>
        <v>0.91666666666666663</v>
      </c>
      <c r="Q420" s="3">
        <f t="shared" si="54"/>
        <v>0.79166666666666663</v>
      </c>
      <c r="R420" s="3">
        <f t="shared" si="55"/>
        <v>0.16666666666666666</v>
      </c>
      <c r="S420">
        <v>14</v>
      </c>
      <c r="T420" s="4">
        <v>0.11</v>
      </c>
      <c r="U420">
        <v>251</v>
      </c>
      <c r="V420">
        <v>632</v>
      </c>
    </row>
    <row r="421" spans="1:22">
      <c r="A421">
        <v>417</v>
      </c>
      <c r="B421" s="2">
        <v>46245</v>
      </c>
      <c r="C421" t="s">
        <v>29</v>
      </c>
      <c r="D421" t="s">
        <v>32</v>
      </c>
      <c r="E421" t="s">
        <v>25</v>
      </c>
      <c r="F421">
        <v>10</v>
      </c>
      <c r="G421">
        <v>13</v>
      </c>
      <c r="H421" t="str">
        <f t="shared" si="48"/>
        <v>Loss</v>
      </c>
      <c r="I421">
        <f t="shared" si="49"/>
        <v>0</v>
      </c>
      <c r="J421">
        <f t="shared" si="50"/>
        <v>-3</v>
      </c>
      <c r="K421">
        <f t="shared" si="51"/>
        <v>23</v>
      </c>
      <c r="L421">
        <v>10</v>
      </c>
      <c r="M421">
        <v>20</v>
      </c>
      <c r="N421">
        <v>10</v>
      </c>
      <c r="O421" s="3">
        <f t="shared" si="52"/>
        <v>0.5</v>
      </c>
      <c r="P421" s="3">
        <f t="shared" si="53"/>
        <v>0.43478260869565216</v>
      </c>
      <c r="Q421" s="3">
        <f t="shared" si="54"/>
        <v>0.86956521739130432</v>
      </c>
      <c r="R421" s="3">
        <f t="shared" si="55"/>
        <v>0.43478260869565216</v>
      </c>
      <c r="S421">
        <v>-66</v>
      </c>
      <c r="T421" s="4">
        <v>0.16</v>
      </c>
      <c r="U421">
        <v>135</v>
      </c>
      <c r="V421">
        <v>177</v>
      </c>
    </row>
    <row r="422" spans="1:22">
      <c r="A422">
        <v>418</v>
      </c>
      <c r="B422" s="2">
        <v>46245</v>
      </c>
      <c r="C422" t="s">
        <v>41</v>
      </c>
      <c r="D422" t="s">
        <v>42</v>
      </c>
      <c r="E422" t="s">
        <v>28</v>
      </c>
      <c r="F422">
        <v>13</v>
      </c>
      <c r="G422">
        <v>5</v>
      </c>
      <c r="H422" t="str">
        <f t="shared" si="48"/>
        <v>Win</v>
      </c>
      <c r="I422">
        <f t="shared" si="49"/>
        <v>1</v>
      </c>
      <c r="J422">
        <f t="shared" si="50"/>
        <v>8</v>
      </c>
      <c r="K422">
        <f t="shared" si="51"/>
        <v>18</v>
      </c>
      <c r="L422">
        <v>18</v>
      </c>
      <c r="M422">
        <v>12</v>
      </c>
      <c r="N422">
        <v>3</v>
      </c>
      <c r="O422" s="3">
        <f t="shared" si="52"/>
        <v>1.5</v>
      </c>
      <c r="P422" s="3">
        <f t="shared" si="53"/>
        <v>1</v>
      </c>
      <c r="Q422" s="3">
        <f t="shared" si="54"/>
        <v>0.66666666666666663</v>
      </c>
      <c r="R422" s="3">
        <f t="shared" si="55"/>
        <v>0.16666666666666666</v>
      </c>
      <c r="S422">
        <v>27</v>
      </c>
      <c r="T422" s="4">
        <v>0.11</v>
      </c>
      <c r="U422">
        <v>271</v>
      </c>
      <c r="V422">
        <v>809</v>
      </c>
    </row>
    <row r="423" spans="1:22">
      <c r="A423">
        <v>419</v>
      </c>
      <c r="B423" s="2">
        <v>46244</v>
      </c>
      <c r="C423" t="s">
        <v>54</v>
      </c>
      <c r="D423" t="s">
        <v>31</v>
      </c>
      <c r="E423" t="s">
        <v>25</v>
      </c>
      <c r="F423">
        <v>5</v>
      </c>
      <c r="G423">
        <v>13</v>
      </c>
      <c r="H423" t="str">
        <f t="shared" si="48"/>
        <v>Loss</v>
      </c>
      <c r="I423">
        <f t="shared" si="49"/>
        <v>0</v>
      </c>
      <c r="J423">
        <f t="shared" si="50"/>
        <v>-8</v>
      </c>
      <c r="K423">
        <f t="shared" si="51"/>
        <v>18</v>
      </c>
      <c r="L423">
        <v>3</v>
      </c>
      <c r="M423">
        <v>17</v>
      </c>
      <c r="N423">
        <v>3</v>
      </c>
      <c r="O423" s="3">
        <f t="shared" si="52"/>
        <v>0.17647058823529413</v>
      </c>
      <c r="P423" s="3">
        <f t="shared" si="53"/>
        <v>0.16666666666666666</v>
      </c>
      <c r="Q423" s="3">
        <f t="shared" si="54"/>
        <v>0.94444444444444442</v>
      </c>
      <c r="R423" s="3">
        <f t="shared" si="55"/>
        <v>0.16666666666666666</v>
      </c>
      <c r="S423">
        <v>-92</v>
      </c>
      <c r="T423" s="4">
        <v>0.15</v>
      </c>
      <c r="U423">
        <v>73</v>
      </c>
      <c r="V423">
        <v>100</v>
      </c>
    </row>
    <row r="424" spans="1:22">
      <c r="A424">
        <v>420</v>
      </c>
      <c r="B424" s="2">
        <v>46244</v>
      </c>
      <c r="C424" t="s">
        <v>26</v>
      </c>
      <c r="D424" t="s">
        <v>36</v>
      </c>
      <c r="E424" t="s">
        <v>25</v>
      </c>
      <c r="F424">
        <v>13</v>
      </c>
      <c r="G424">
        <v>10</v>
      </c>
      <c r="H424" t="str">
        <f t="shared" si="48"/>
        <v>Win</v>
      </c>
      <c r="I424">
        <f t="shared" si="49"/>
        <v>1</v>
      </c>
      <c r="J424">
        <f t="shared" si="50"/>
        <v>3</v>
      </c>
      <c r="K424">
        <f t="shared" si="51"/>
        <v>23</v>
      </c>
      <c r="L424">
        <v>16</v>
      </c>
      <c r="M424">
        <v>13</v>
      </c>
      <c r="N424">
        <v>8</v>
      </c>
      <c r="O424" s="3">
        <f t="shared" si="52"/>
        <v>1.2307692307692308</v>
      </c>
      <c r="P424" s="3">
        <f t="shared" si="53"/>
        <v>0.69565217391304346</v>
      </c>
      <c r="Q424" s="3">
        <f t="shared" si="54"/>
        <v>0.56521739130434778</v>
      </c>
      <c r="R424" s="3">
        <f t="shared" si="55"/>
        <v>0.34782608695652173</v>
      </c>
      <c r="S424">
        <v>41</v>
      </c>
      <c r="T424" s="4">
        <v>0.12</v>
      </c>
      <c r="U424">
        <v>197</v>
      </c>
      <c r="V424">
        <v>709</v>
      </c>
    </row>
    <row r="425" spans="1:22">
      <c r="A425">
        <v>421</v>
      </c>
      <c r="B425" s="2">
        <v>46244</v>
      </c>
      <c r="C425" t="s">
        <v>54</v>
      </c>
      <c r="D425" t="s">
        <v>30</v>
      </c>
      <c r="E425" t="s">
        <v>55</v>
      </c>
      <c r="F425">
        <v>3</v>
      </c>
      <c r="G425">
        <v>13</v>
      </c>
      <c r="H425" t="str">
        <f t="shared" si="48"/>
        <v>Loss</v>
      </c>
      <c r="I425">
        <f t="shared" si="49"/>
        <v>0</v>
      </c>
      <c r="J425">
        <f t="shared" si="50"/>
        <v>-10</v>
      </c>
      <c r="K425">
        <f t="shared" si="51"/>
        <v>16</v>
      </c>
      <c r="L425">
        <v>5</v>
      </c>
      <c r="M425">
        <v>14</v>
      </c>
      <c r="N425">
        <v>6</v>
      </c>
      <c r="O425" s="3">
        <f t="shared" si="52"/>
        <v>0.35714285714285715</v>
      </c>
      <c r="P425" s="3">
        <f t="shared" si="53"/>
        <v>0.3125</v>
      </c>
      <c r="Q425" s="3">
        <f t="shared" si="54"/>
        <v>0.875</v>
      </c>
      <c r="R425" s="3">
        <f t="shared" si="55"/>
        <v>0.375</v>
      </c>
      <c r="S425">
        <v>-89</v>
      </c>
      <c r="T425" s="4">
        <v>0.02</v>
      </c>
      <c r="U425">
        <v>143</v>
      </c>
      <c r="V425">
        <v>100</v>
      </c>
    </row>
    <row r="426" spans="1:22">
      <c r="A426">
        <v>422</v>
      </c>
      <c r="B426" s="2">
        <v>46244</v>
      </c>
      <c r="C426" t="s">
        <v>41</v>
      </c>
      <c r="D426" t="s">
        <v>30</v>
      </c>
      <c r="E426" t="s">
        <v>45</v>
      </c>
      <c r="F426">
        <v>13</v>
      </c>
      <c r="G426">
        <v>7</v>
      </c>
      <c r="H426" t="str">
        <f t="shared" si="48"/>
        <v>Win</v>
      </c>
      <c r="I426">
        <f t="shared" si="49"/>
        <v>1</v>
      </c>
      <c r="J426">
        <f t="shared" si="50"/>
        <v>6</v>
      </c>
      <c r="K426">
        <f t="shared" si="51"/>
        <v>20</v>
      </c>
      <c r="L426">
        <v>13</v>
      </c>
      <c r="M426">
        <v>15</v>
      </c>
      <c r="N426">
        <v>7</v>
      </c>
      <c r="O426" s="3">
        <f t="shared" si="52"/>
        <v>0.8666666666666667</v>
      </c>
      <c r="P426" s="3">
        <f t="shared" si="53"/>
        <v>0.65</v>
      </c>
      <c r="Q426" s="3">
        <f t="shared" si="54"/>
        <v>0.75</v>
      </c>
      <c r="R426" s="3">
        <f t="shared" si="55"/>
        <v>0.35</v>
      </c>
      <c r="S426">
        <v>-15</v>
      </c>
      <c r="T426" s="4">
        <v>0.18</v>
      </c>
      <c r="U426">
        <v>185</v>
      </c>
      <c r="V426">
        <v>469</v>
      </c>
    </row>
    <row r="427" spans="1:22">
      <c r="A427">
        <v>423</v>
      </c>
      <c r="B427" s="2">
        <v>46243</v>
      </c>
      <c r="C427" t="s">
        <v>29</v>
      </c>
      <c r="D427" t="s">
        <v>37</v>
      </c>
      <c r="E427" t="s">
        <v>25</v>
      </c>
      <c r="F427">
        <v>10</v>
      </c>
      <c r="G427">
        <v>2</v>
      </c>
      <c r="H427" t="str">
        <f t="shared" si="48"/>
        <v>Win</v>
      </c>
      <c r="I427">
        <f t="shared" si="49"/>
        <v>1</v>
      </c>
      <c r="J427">
        <f t="shared" si="50"/>
        <v>8</v>
      </c>
      <c r="K427">
        <f t="shared" si="51"/>
        <v>12</v>
      </c>
      <c r="L427">
        <v>12</v>
      </c>
      <c r="M427">
        <v>4</v>
      </c>
      <c r="N427">
        <v>2</v>
      </c>
      <c r="O427" s="3">
        <f t="shared" si="52"/>
        <v>3</v>
      </c>
      <c r="P427" s="3">
        <f t="shared" si="53"/>
        <v>1</v>
      </c>
      <c r="Q427" s="3">
        <f t="shared" si="54"/>
        <v>0.33333333333333331</v>
      </c>
      <c r="R427" s="3">
        <f t="shared" si="55"/>
        <v>0.16666666666666666</v>
      </c>
      <c r="S427">
        <v>80</v>
      </c>
      <c r="T427" s="4">
        <v>0.12</v>
      </c>
      <c r="U427">
        <v>265</v>
      </c>
      <c r="V427">
        <v>823</v>
      </c>
    </row>
    <row r="428" spans="1:22">
      <c r="A428">
        <v>424</v>
      </c>
      <c r="B428" s="2">
        <v>46243</v>
      </c>
      <c r="C428" t="s">
        <v>23</v>
      </c>
      <c r="D428" t="s">
        <v>24</v>
      </c>
      <c r="E428" t="s">
        <v>56</v>
      </c>
      <c r="F428">
        <v>8</v>
      </c>
      <c r="G428">
        <v>13</v>
      </c>
      <c r="H428" t="str">
        <f t="shared" si="48"/>
        <v>Loss</v>
      </c>
      <c r="I428">
        <f t="shared" si="49"/>
        <v>0</v>
      </c>
      <c r="J428">
        <f t="shared" si="50"/>
        <v>-5</v>
      </c>
      <c r="K428">
        <f t="shared" si="51"/>
        <v>21</v>
      </c>
      <c r="L428">
        <v>13</v>
      </c>
      <c r="M428">
        <v>18</v>
      </c>
      <c r="N428">
        <v>1</v>
      </c>
      <c r="O428" s="3">
        <f t="shared" si="52"/>
        <v>0.72222222222222221</v>
      </c>
      <c r="P428" s="3">
        <f t="shared" si="53"/>
        <v>0.61904761904761907</v>
      </c>
      <c r="Q428" s="3">
        <f t="shared" si="54"/>
        <v>0.8571428571428571</v>
      </c>
      <c r="R428" s="3">
        <f t="shared" si="55"/>
        <v>4.7619047619047616E-2</v>
      </c>
      <c r="S428">
        <v>2</v>
      </c>
      <c r="T428" s="4">
        <v>0.03</v>
      </c>
      <c r="U428">
        <v>189</v>
      </c>
      <c r="V428">
        <v>364</v>
      </c>
    </row>
    <row r="429" spans="1:22">
      <c r="A429">
        <v>425</v>
      </c>
      <c r="B429" s="2">
        <v>46243</v>
      </c>
      <c r="C429" t="s">
        <v>26</v>
      </c>
      <c r="D429" t="s">
        <v>31</v>
      </c>
      <c r="E429" t="s">
        <v>45</v>
      </c>
      <c r="F429">
        <v>13</v>
      </c>
      <c r="G429">
        <v>8</v>
      </c>
      <c r="H429" t="str">
        <f t="shared" si="48"/>
        <v>Win</v>
      </c>
      <c r="I429">
        <f t="shared" si="49"/>
        <v>1</v>
      </c>
      <c r="J429">
        <f t="shared" si="50"/>
        <v>5</v>
      </c>
      <c r="K429">
        <f t="shared" si="51"/>
        <v>21</v>
      </c>
      <c r="L429">
        <v>8</v>
      </c>
      <c r="M429">
        <v>16</v>
      </c>
      <c r="N429">
        <v>11</v>
      </c>
      <c r="O429" s="3">
        <f t="shared" si="52"/>
        <v>0.5</v>
      </c>
      <c r="P429" s="3">
        <f t="shared" si="53"/>
        <v>0.38095238095238093</v>
      </c>
      <c r="Q429" s="3">
        <f t="shared" si="54"/>
        <v>0.76190476190476186</v>
      </c>
      <c r="R429" s="3">
        <f t="shared" si="55"/>
        <v>0.52380952380952384</v>
      </c>
      <c r="S429">
        <v>-43</v>
      </c>
      <c r="T429" s="4">
        <v>0.08</v>
      </c>
      <c r="U429">
        <v>136</v>
      </c>
      <c r="V429">
        <v>403</v>
      </c>
    </row>
    <row r="430" spans="1:22">
      <c r="A430">
        <v>426</v>
      </c>
      <c r="B430" s="2">
        <v>46243</v>
      </c>
      <c r="C430" t="s">
        <v>23</v>
      </c>
      <c r="D430" t="s">
        <v>31</v>
      </c>
      <c r="E430" t="s">
        <v>56</v>
      </c>
      <c r="F430">
        <v>14</v>
      </c>
      <c r="G430">
        <v>12</v>
      </c>
      <c r="H430" t="str">
        <f t="shared" si="48"/>
        <v>Win</v>
      </c>
      <c r="I430">
        <f t="shared" si="49"/>
        <v>1</v>
      </c>
      <c r="J430">
        <f t="shared" si="50"/>
        <v>2</v>
      </c>
      <c r="K430">
        <f t="shared" si="51"/>
        <v>26</v>
      </c>
      <c r="L430">
        <v>12</v>
      </c>
      <c r="M430">
        <v>23</v>
      </c>
      <c r="N430">
        <v>5</v>
      </c>
      <c r="O430" s="3">
        <f t="shared" si="52"/>
        <v>0.52173913043478259</v>
      </c>
      <c r="P430" s="3">
        <f t="shared" si="53"/>
        <v>0.46153846153846156</v>
      </c>
      <c r="Q430" s="3">
        <f t="shared" si="54"/>
        <v>0.88461538461538458</v>
      </c>
      <c r="R430" s="3">
        <f t="shared" si="55"/>
        <v>0.19230769230769232</v>
      </c>
      <c r="S430">
        <v>-56</v>
      </c>
      <c r="T430" s="4">
        <v>0.05</v>
      </c>
      <c r="U430">
        <v>149</v>
      </c>
      <c r="V430">
        <v>271</v>
      </c>
    </row>
    <row r="431" spans="1:22">
      <c r="A431">
        <v>427</v>
      </c>
      <c r="B431" s="2">
        <v>46243</v>
      </c>
      <c r="C431" t="s">
        <v>29</v>
      </c>
      <c r="D431" t="s">
        <v>31</v>
      </c>
      <c r="E431" t="s">
        <v>25</v>
      </c>
      <c r="F431">
        <v>6</v>
      </c>
      <c r="G431">
        <v>13</v>
      </c>
      <c r="H431" t="str">
        <f t="shared" si="48"/>
        <v>Loss</v>
      </c>
      <c r="I431">
        <f t="shared" si="49"/>
        <v>0</v>
      </c>
      <c r="J431">
        <f t="shared" si="50"/>
        <v>-7</v>
      </c>
      <c r="K431">
        <f t="shared" si="51"/>
        <v>19</v>
      </c>
      <c r="L431">
        <v>3</v>
      </c>
      <c r="M431">
        <v>17</v>
      </c>
      <c r="N431">
        <v>2</v>
      </c>
      <c r="O431" s="3">
        <f t="shared" si="52"/>
        <v>0.17647058823529413</v>
      </c>
      <c r="P431" s="3">
        <f t="shared" si="53"/>
        <v>0.15789473684210525</v>
      </c>
      <c r="Q431" s="3">
        <f t="shared" si="54"/>
        <v>0.89473684210526316</v>
      </c>
      <c r="R431" s="3">
        <f t="shared" si="55"/>
        <v>0.10526315789473684</v>
      </c>
      <c r="S431">
        <v>-79</v>
      </c>
      <c r="T431" s="4">
        <v>0.05</v>
      </c>
      <c r="U431">
        <v>80</v>
      </c>
      <c r="V431">
        <v>100</v>
      </c>
    </row>
    <row r="432" spans="1:22">
      <c r="A432">
        <v>428</v>
      </c>
      <c r="B432" s="2">
        <v>46243</v>
      </c>
      <c r="C432" t="s">
        <v>54</v>
      </c>
      <c r="D432" t="s">
        <v>36</v>
      </c>
      <c r="E432" t="s">
        <v>47</v>
      </c>
      <c r="F432">
        <v>8</v>
      </c>
      <c r="G432">
        <v>13</v>
      </c>
      <c r="H432" t="str">
        <f t="shared" si="48"/>
        <v>Loss</v>
      </c>
      <c r="I432">
        <f t="shared" si="49"/>
        <v>0</v>
      </c>
      <c r="J432">
        <f t="shared" si="50"/>
        <v>-5</v>
      </c>
      <c r="K432">
        <f t="shared" si="51"/>
        <v>21</v>
      </c>
      <c r="L432">
        <v>10</v>
      </c>
      <c r="M432">
        <v>17</v>
      </c>
      <c r="N432">
        <v>6</v>
      </c>
      <c r="O432" s="3">
        <f t="shared" si="52"/>
        <v>0.58823529411764708</v>
      </c>
      <c r="P432" s="3">
        <f t="shared" si="53"/>
        <v>0.47619047619047616</v>
      </c>
      <c r="Q432" s="3">
        <f t="shared" si="54"/>
        <v>0.80952380952380953</v>
      </c>
      <c r="R432" s="3">
        <f t="shared" si="55"/>
        <v>0.2857142857142857</v>
      </c>
      <c r="S432">
        <v>-19</v>
      </c>
      <c r="T432" s="4">
        <v>0.05</v>
      </c>
      <c r="U432">
        <v>173</v>
      </c>
      <c r="V432">
        <v>322</v>
      </c>
    </row>
    <row r="433" spans="1:22">
      <c r="A433">
        <v>429</v>
      </c>
      <c r="B433" s="2">
        <v>46243</v>
      </c>
      <c r="C433" t="s">
        <v>54</v>
      </c>
      <c r="D433" t="s">
        <v>46</v>
      </c>
      <c r="E433" t="s">
        <v>47</v>
      </c>
      <c r="F433">
        <v>11</v>
      </c>
      <c r="G433">
        <v>13</v>
      </c>
      <c r="H433" t="str">
        <f t="shared" si="48"/>
        <v>Loss</v>
      </c>
      <c r="I433">
        <f t="shared" si="49"/>
        <v>0</v>
      </c>
      <c r="J433">
        <f t="shared" si="50"/>
        <v>-2</v>
      </c>
      <c r="K433">
        <f t="shared" si="51"/>
        <v>24</v>
      </c>
      <c r="L433">
        <v>28</v>
      </c>
      <c r="M433">
        <v>20</v>
      </c>
      <c r="N433">
        <v>6</v>
      </c>
      <c r="O433" s="3">
        <f t="shared" si="52"/>
        <v>1.4</v>
      </c>
      <c r="P433" s="3">
        <f t="shared" si="53"/>
        <v>1.1666666666666667</v>
      </c>
      <c r="Q433" s="3">
        <f t="shared" si="54"/>
        <v>0.83333333333333337</v>
      </c>
      <c r="R433" s="3">
        <f t="shared" si="55"/>
        <v>0.25</v>
      </c>
      <c r="S433">
        <v>73</v>
      </c>
      <c r="T433" s="4">
        <v>0.1</v>
      </c>
      <c r="U433">
        <v>354</v>
      </c>
      <c r="V433">
        <v>777</v>
      </c>
    </row>
    <row r="434" spans="1:22">
      <c r="A434">
        <v>430</v>
      </c>
      <c r="B434" s="2">
        <v>46242</v>
      </c>
      <c r="C434" t="s">
        <v>26</v>
      </c>
      <c r="D434" t="s">
        <v>42</v>
      </c>
      <c r="E434" t="s">
        <v>28</v>
      </c>
      <c r="F434">
        <v>6</v>
      </c>
      <c r="G434">
        <v>13</v>
      </c>
      <c r="H434" t="str">
        <f t="shared" si="48"/>
        <v>Loss</v>
      </c>
      <c r="I434">
        <f t="shared" si="49"/>
        <v>0</v>
      </c>
      <c r="J434">
        <f t="shared" si="50"/>
        <v>-7</v>
      </c>
      <c r="K434">
        <f t="shared" si="51"/>
        <v>19</v>
      </c>
      <c r="L434">
        <v>16</v>
      </c>
      <c r="M434">
        <v>18</v>
      </c>
      <c r="N434">
        <v>2</v>
      </c>
      <c r="O434" s="3">
        <f t="shared" si="52"/>
        <v>0.88888888888888884</v>
      </c>
      <c r="P434" s="3">
        <f t="shared" si="53"/>
        <v>0.84210526315789469</v>
      </c>
      <c r="Q434" s="3">
        <f t="shared" si="54"/>
        <v>0.94736842105263153</v>
      </c>
      <c r="R434" s="3">
        <f t="shared" si="55"/>
        <v>0.10526315789473684</v>
      </c>
      <c r="S434">
        <v>14</v>
      </c>
      <c r="T434" s="4">
        <v>0.03</v>
      </c>
      <c r="U434">
        <v>248</v>
      </c>
      <c r="V434">
        <v>541</v>
      </c>
    </row>
    <row r="435" spans="1:22">
      <c r="A435">
        <v>431</v>
      </c>
      <c r="B435" s="2">
        <v>46242</v>
      </c>
      <c r="C435" t="s">
        <v>41</v>
      </c>
      <c r="D435" t="s">
        <v>36</v>
      </c>
      <c r="E435" t="s">
        <v>38</v>
      </c>
      <c r="F435">
        <v>13</v>
      </c>
      <c r="G435">
        <v>11</v>
      </c>
      <c r="H435" t="str">
        <f t="shared" si="48"/>
        <v>Win</v>
      </c>
      <c r="I435">
        <f t="shared" si="49"/>
        <v>1</v>
      </c>
      <c r="J435">
        <f t="shared" si="50"/>
        <v>2</v>
      </c>
      <c r="K435">
        <f t="shared" si="51"/>
        <v>24</v>
      </c>
      <c r="L435">
        <v>16</v>
      </c>
      <c r="M435">
        <v>16</v>
      </c>
      <c r="N435">
        <v>7</v>
      </c>
      <c r="O435" s="3">
        <f t="shared" si="52"/>
        <v>1</v>
      </c>
      <c r="P435" s="3">
        <f t="shared" si="53"/>
        <v>0.66666666666666663</v>
      </c>
      <c r="Q435" s="3">
        <f t="shared" si="54"/>
        <v>0.66666666666666663</v>
      </c>
      <c r="R435" s="3">
        <f t="shared" si="55"/>
        <v>0.29166666666666669</v>
      </c>
      <c r="S435">
        <v>-6</v>
      </c>
      <c r="T435" s="4">
        <v>0.13</v>
      </c>
      <c r="U435">
        <v>176</v>
      </c>
      <c r="V435">
        <v>638</v>
      </c>
    </row>
    <row r="436" spans="1:22">
      <c r="A436">
        <v>432</v>
      </c>
      <c r="B436" s="2">
        <v>46242</v>
      </c>
      <c r="C436" t="s">
        <v>23</v>
      </c>
      <c r="D436" t="s">
        <v>36</v>
      </c>
      <c r="E436" t="s">
        <v>47</v>
      </c>
      <c r="F436">
        <v>5</v>
      </c>
      <c r="G436">
        <v>13</v>
      </c>
      <c r="H436" t="str">
        <f t="shared" si="48"/>
        <v>Loss</v>
      </c>
      <c r="I436">
        <f t="shared" si="49"/>
        <v>0</v>
      </c>
      <c r="J436">
        <f t="shared" si="50"/>
        <v>-8</v>
      </c>
      <c r="K436">
        <f t="shared" si="51"/>
        <v>18</v>
      </c>
      <c r="L436">
        <v>10</v>
      </c>
      <c r="M436">
        <v>15</v>
      </c>
      <c r="N436">
        <v>2</v>
      </c>
      <c r="O436" s="3">
        <f t="shared" si="52"/>
        <v>0.66666666666666663</v>
      </c>
      <c r="P436" s="3">
        <f t="shared" si="53"/>
        <v>0.55555555555555558</v>
      </c>
      <c r="Q436" s="3">
        <f t="shared" si="54"/>
        <v>0.83333333333333337</v>
      </c>
      <c r="R436" s="3">
        <f t="shared" si="55"/>
        <v>0.1111111111111111</v>
      </c>
      <c r="S436">
        <v>-23</v>
      </c>
      <c r="T436" s="4">
        <v>7.0000000000000007E-2</v>
      </c>
      <c r="U436">
        <v>175</v>
      </c>
      <c r="V436">
        <v>237</v>
      </c>
    </row>
    <row r="437" spans="1:22">
      <c r="A437">
        <v>433</v>
      </c>
      <c r="B437" s="2">
        <v>46242</v>
      </c>
      <c r="C437" t="s">
        <v>41</v>
      </c>
      <c r="D437" t="s">
        <v>31</v>
      </c>
      <c r="E437" t="s">
        <v>51</v>
      </c>
      <c r="F437">
        <v>2</v>
      </c>
      <c r="G437">
        <v>13</v>
      </c>
      <c r="H437" t="str">
        <f t="shared" si="48"/>
        <v>Loss</v>
      </c>
      <c r="I437">
        <f t="shared" si="49"/>
        <v>0</v>
      </c>
      <c r="J437">
        <f t="shared" si="50"/>
        <v>-11</v>
      </c>
      <c r="K437">
        <f t="shared" si="51"/>
        <v>15</v>
      </c>
      <c r="L437">
        <v>5</v>
      </c>
      <c r="M437">
        <v>13</v>
      </c>
      <c r="N437">
        <v>4</v>
      </c>
      <c r="O437" s="3">
        <f t="shared" si="52"/>
        <v>0.38461538461538464</v>
      </c>
      <c r="P437" s="3">
        <f t="shared" si="53"/>
        <v>0.33333333333333331</v>
      </c>
      <c r="Q437" s="3">
        <f t="shared" si="54"/>
        <v>0.8666666666666667</v>
      </c>
      <c r="R437" s="3">
        <f t="shared" si="55"/>
        <v>0.26666666666666666</v>
      </c>
      <c r="S437">
        <v>-71</v>
      </c>
      <c r="T437" s="4">
        <v>0.13</v>
      </c>
      <c r="U437">
        <v>128</v>
      </c>
      <c r="V437">
        <v>100</v>
      </c>
    </row>
    <row r="438" spans="1:22">
      <c r="A438">
        <v>434</v>
      </c>
      <c r="B438" s="2">
        <v>46242</v>
      </c>
      <c r="C438" t="s">
        <v>40</v>
      </c>
      <c r="D438" t="s">
        <v>24</v>
      </c>
      <c r="E438" t="s">
        <v>25</v>
      </c>
      <c r="F438">
        <v>13</v>
      </c>
      <c r="G438">
        <v>11</v>
      </c>
      <c r="H438" t="str">
        <f t="shared" si="48"/>
        <v>Win</v>
      </c>
      <c r="I438">
        <f t="shared" si="49"/>
        <v>1</v>
      </c>
      <c r="J438">
        <f t="shared" si="50"/>
        <v>2</v>
      </c>
      <c r="K438">
        <f t="shared" si="51"/>
        <v>24</v>
      </c>
      <c r="L438">
        <v>20</v>
      </c>
      <c r="M438">
        <v>14</v>
      </c>
      <c r="N438">
        <v>2</v>
      </c>
      <c r="O438" s="3">
        <f t="shared" si="52"/>
        <v>1.4285714285714286</v>
      </c>
      <c r="P438" s="3">
        <f t="shared" si="53"/>
        <v>0.83333333333333337</v>
      </c>
      <c r="Q438" s="3">
        <f t="shared" si="54"/>
        <v>0.58333333333333337</v>
      </c>
      <c r="R438" s="3">
        <f t="shared" si="55"/>
        <v>8.3333333333333329E-2</v>
      </c>
      <c r="S438">
        <v>17</v>
      </c>
      <c r="T438" s="4">
        <v>0.11</v>
      </c>
      <c r="U438">
        <v>203</v>
      </c>
      <c r="V438">
        <v>630</v>
      </c>
    </row>
    <row r="439" spans="1:22">
      <c r="A439">
        <v>435</v>
      </c>
      <c r="B439" s="2">
        <v>46242</v>
      </c>
      <c r="C439" t="s">
        <v>26</v>
      </c>
      <c r="D439" t="s">
        <v>37</v>
      </c>
      <c r="E439" t="s">
        <v>47</v>
      </c>
      <c r="F439">
        <v>13</v>
      </c>
      <c r="G439">
        <v>10</v>
      </c>
      <c r="H439" t="str">
        <f t="shared" si="48"/>
        <v>Win</v>
      </c>
      <c r="I439">
        <f t="shared" si="49"/>
        <v>1</v>
      </c>
      <c r="J439">
        <f t="shared" si="50"/>
        <v>3</v>
      </c>
      <c r="K439">
        <f t="shared" si="51"/>
        <v>23</v>
      </c>
      <c r="L439">
        <v>16</v>
      </c>
      <c r="M439">
        <v>19</v>
      </c>
      <c r="N439">
        <v>2</v>
      </c>
      <c r="O439" s="3">
        <f t="shared" si="52"/>
        <v>0.84210526315789469</v>
      </c>
      <c r="P439" s="3">
        <f t="shared" si="53"/>
        <v>0.69565217391304346</v>
      </c>
      <c r="Q439" s="3">
        <f t="shared" si="54"/>
        <v>0.82608695652173914</v>
      </c>
      <c r="R439" s="3">
        <f t="shared" si="55"/>
        <v>8.6956521739130432E-2</v>
      </c>
      <c r="S439">
        <v>-9</v>
      </c>
      <c r="T439" s="4">
        <v>0.2</v>
      </c>
      <c r="U439">
        <v>223</v>
      </c>
      <c r="V439">
        <v>476</v>
      </c>
    </row>
    <row r="440" spans="1:22">
      <c r="A440">
        <v>436</v>
      </c>
      <c r="B440" s="2">
        <v>46242</v>
      </c>
      <c r="C440" t="s">
        <v>29</v>
      </c>
      <c r="D440" t="s">
        <v>46</v>
      </c>
      <c r="E440" t="s">
        <v>25</v>
      </c>
      <c r="F440">
        <v>14</v>
      </c>
      <c r="G440">
        <v>12</v>
      </c>
      <c r="H440" t="str">
        <f t="shared" si="48"/>
        <v>Win</v>
      </c>
      <c r="I440">
        <f t="shared" si="49"/>
        <v>1</v>
      </c>
      <c r="J440">
        <f t="shared" si="50"/>
        <v>2</v>
      </c>
      <c r="K440">
        <f t="shared" si="51"/>
        <v>26</v>
      </c>
      <c r="L440">
        <v>26</v>
      </c>
      <c r="M440">
        <v>18</v>
      </c>
      <c r="N440">
        <v>6</v>
      </c>
      <c r="O440" s="3">
        <f t="shared" si="52"/>
        <v>1.4444444444444444</v>
      </c>
      <c r="P440" s="3">
        <f t="shared" si="53"/>
        <v>1</v>
      </c>
      <c r="Q440" s="3">
        <f t="shared" si="54"/>
        <v>0.69230769230769229</v>
      </c>
      <c r="R440" s="3">
        <f t="shared" si="55"/>
        <v>0.23076923076923078</v>
      </c>
      <c r="S440">
        <v>67</v>
      </c>
      <c r="T440" s="4">
        <v>0.06</v>
      </c>
      <c r="U440">
        <v>298</v>
      </c>
      <c r="V440">
        <v>723</v>
      </c>
    </row>
    <row r="441" spans="1:22">
      <c r="A441">
        <v>437</v>
      </c>
      <c r="B441" s="2">
        <v>46242</v>
      </c>
      <c r="C441" t="s">
        <v>26</v>
      </c>
      <c r="D441" t="s">
        <v>37</v>
      </c>
      <c r="E441" t="s">
        <v>38</v>
      </c>
      <c r="F441">
        <v>13</v>
      </c>
      <c r="G441">
        <v>15</v>
      </c>
      <c r="H441" t="str">
        <f t="shared" si="48"/>
        <v>Loss</v>
      </c>
      <c r="I441">
        <f t="shared" si="49"/>
        <v>0</v>
      </c>
      <c r="J441">
        <f t="shared" si="50"/>
        <v>-2</v>
      </c>
      <c r="K441">
        <f t="shared" si="51"/>
        <v>28</v>
      </c>
      <c r="L441">
        <v>21</v>
      </c>
      <c r="M441">
        <v>22</v>
      </c>
      <c r="N441">
        <v>7</v>
      </c>
      <c r="O441" s="3">
        <f t="shared" si="52"/>
        <v>0.95454545454545459</v>
      </c>
      <c r="P441" s="3">
        <f t="shared" si="53"/>
        <v>0.75</v>
      </c>
      <c r="Q441" s="3">
        <f t="shared" si="54"/>
        <v>0.7857142857142857</v>
      </c>
      <c r="R441" s="3">
        <f t="shared" si="55"/>
        <v>0.25</v>
      </c>
      <c r="S441">
        <v>-18</v>
      </c>
      <c r="T441" s="4">
        <v>0.09</v>
      </c>
      <c r="U441">
        <v>218</v>
      </c>
      <c r="V441">
        <v>506</v>
      </c>
    </row>
    <row r="442" spans="1:22">
      <c r="A442">
        <v>438</v>
      </c>
      <c r="B442" s="2">
        <v>46242</v>
      </c>
      <c r="C442" t="s">
        <v>29</v>
      </c>
      <c r="D442" t="s">
        <v>24</v>
      </c>
      <c r="E442" t="s">
        <v>25</v>
      </c>
      <c r="F442">
        <v>10</v>
      </c>
      <c r="G442">
        <v>13</v>
      </c>
      <c r="H442" t="str">
        <f t="shared" si="48"/>
        <v>Loss</v>
      </c>
      <c r="I442">
        <f t="shared" si="49"/>
        <v>0</v>
      </c>
      <c r="J442">
        <f t="shared" si="50"/>
        <v>-3</v>
      </c>
      <c r="K442">
        <f t="shared" si="51"/>
        <v>23</v>
      </c>
      <c r="L442">
        <v>14</v>
      </c>
      <c r="M442">
        <v>18</v>
      </c>
      <c r="N442">
        <v>7</v>
      </c>
      <c r="O442" s="3">
        <f t="shared" si="52"/>
        <v>0.77777777777777779</v>
      </c>
      <c r="P442" s="3">
        <f t="shared" si="53"/>
        <v>0.60869565217391308</v>
      </c>
      <c r="Q442" s="3">
        <f t="shared" si="54"/>
        <v>0.78260869565217395</v>
      </c>
      <c r="R442" s="3">
        <f t="shared" si="55"/>
        <v>0.30434782608695654</v>
      </c>
      <c r="S442">
        <v>-15</v>
      </c>
      <c r="T442" s="4">
        <v>0.1</v>
      </c>
      <c r="U442">
        <v>193</v>
      </c>
      <c r="V442">
        <v>536</v>
      </c>
    </row>
    <row r="443" spans="1:22">
      <c r="A443">
        <v>439</v>
      </c>
      <c r="B443" s="2">
        <v>46241</v>
      </c>
      <c r="C443" t="s">
        <v>41</v>
      </c>
      <c r="D443" t="s">
        <v>30</v>
      </c>
      <c r="E443" t="s">
        <v>25</v>
      </c>
      <c r="F443">
        <v>13</v>
      </c>
      <c r="G443">
        <v>11</v>
      </c>
      <c r="H443" t="str">
        <f t="shared" si="48"/>
        <v>Win</v>
      </c>
      <c r="I443">
        <f t="shared" si="49"/>
        <v>1</v>
      </c>
      <c r="J443">
        <f t="shared" si="50"/>
        <v>2</v>
      </c>
      <c r="K443">
        <f t="shared" si="51"/>
        <v>24</v>
      </c>
      <c r="L443">
        <v>16</v>
      </c>
      <c r="M443">
        <v>17</v>
      </c>
      <c r="N443">
        <v>5</v>
      </c>
      <c r="O443" s="3">
        <f t="shared" si="52"/>
        <v>0.94117647058823528</v>
      </c>
      <c r="P443" s="3">
        <f t="shared" si="53"/>
        <v>0.66666666666666663</v>
      </c>
      <c r="Q443" s="3">
        <f t="shared" si="54"/>
        <v>0.70833333333333337</v>
      </c>
      <c r="R443" s="3">
        <f t="shared" si="55"/>
        <v>0.20833333333333334</v>
      </c>
      <c r="S443">
        <v>-10</v>
      </c>
      <c r="T443" s="4">
        <v>0.06</v>
      </c>
      <c r="U443">
        <v>190</v>
      </c>
      <c r="V443">
        <v>471</v>
      </c>
    </row>
    <row r="444" spans="1:22">
      <c r="A444">
        <v>440</v>
      </c>
      <c r="B444" s="2">
        <v>46241</v>
      </c>
      <c r="C444" t="s">
        <v>23</v>
      </c>
      <c r="D444" t="s">
        <v>36</v>
      </c>
      <c r="E444" t="s">
        <v>25</v>
      </c>
      <c r="F444">
        <v>13</v>
      </c>
      <c r="G444">
        <v>7</v>
      </c>
      <c r="H444" t="str">
        <f t="shared" si="48"/>
        <v>Win</v>
      </c>
      <c r="I444">
        <f t="shared" si="49"/>
        <v>1</v>
      </c>
      <c r="J444">
        <f t="shared" si="50"/>
        <v>6</v>
      </c>
      <c r="K444">
        <f t="shared" si="51"/>
        <v>20</v>
      </c>
      <c r="L444">
        <v>10</v>
      </c>
      <c r="M444">
        <v>15</v>
      </c>
      <c r="N444">
        <v>2</v>
      </c>
      <c r="O444" s="3">
        <f t="shared" si="52"/>
        <v>0.66666666666666663</v>
      </c>
      <c r="P444" s="3">
        <f t="shared" si="53"/>
        <v>0.5</v>
      </c>
      <c r="Q444" s="3">
        <f t="shared" si="54"/>
        <v>0.75</v>
      </c>
      <c r="R444" s="3">
        <f t="shared" si="55"/>
        <v>0.1</v>
      </c>
      <c r="S444">
        <v>-24</v>
      </c>
      <c r="T444" s="4">
        <v>7.0000000000000007E-2</v>
      </c>
      <c r="U444">
        <v>138</v>
      </c>
      <c r="V444">
        <v>428</v>
      </c>
    </row>
    <row r="445" spans="1:22">
      <c r="A445">
        <v>441</v>
      </c>
      <c r="B445" s="2">
        <v>46241</v>
      </c>
      <c r="C445" t="s">
        <v>54</v>
      </c>
      <c r="D445" t="s">
        <v>24</v>
      </c>
      <c r="E445" t="s">
        <v>47</v>
      </c>
      <c r="F445">
        <v>6</v>
      </c>
      <c r="G445">
        <v>13</v>
      </c>
      <c r="H445" t="str">
        <f t="shared" si="48"/>
        <v>Loss</v>
      </c>
      <c r="I445">
        <f t="shared" si="49"/>
        <v>0</v>
      </c>
      <c r="J445">
        <f t="shared" si="50"/>
        <v>-7</v>
      </c>
      <c r="K445">
        <f t="shared" si="51"/>
        <v>19</v>
      </c>
      <c r="L445">
        <v>7</v>
      </c>
      <c r="M445">
        <v>19</v>
      </c>
      <c r="N445">
        <v>7</v>
      </c>
      <c r="O445" s="3">
        <f t="shared" si="52"/>
        <v>0.36842105263157893</v>
      </c>
      <c r="P445" s="3">
        <f t="shared" si="53"/>
        <v>0.36842105263157893</v>
      </c>
      <c r="Q445" s="3">
        <f t="shared" si="54"/>
        <v>1</v>
      </c>
      <c r="R445" s="3">
        <f t="shared" si="55"/>
        <v>0.36842105263157893</v>
      </c>
      <c r="S445">
        <v>-60</v>
      </c>
      <c r="T445" s="4">
        <v>0.21</v>
      </c>
      <c r="U445">
        <v>136</v>
      </c>
      <c r="V445">
        <v>161</v>
      </c>
    </row>
    <row r="446" spans="1:22">
      <c r="A446">
        <v>442</v>
      </c>
      <c r="B446" s="2">
        <v>46239</v>
      </c>
      <c r="C446" t="s">
        <v>40</v>
      </c>
      <c r="D446" t="s">
        <v>27</v>
      </c>
      <c r="E446" t="s">
        <v>25</v>
      </c>
      <c r="F446">
        <v>11</v>
      </c>
      <c r="G446">
        <v>13</v>
      </c>
      <c r="H446" t="str">
        <f t="shared" si="48"/>
        <v>Loss</v>
      </c>
      <c r="I446">
        <f t="shared" si="49"/>
        <v>0</v>
      </c>
      <c r="J446">
        <f t="shared" si="50"/>
        <v>-2</v>
      </c>
      <c r="K446">
        <f t="shared" si="51"/>
        <v>24</v>
      </c>
      <c r="L446">
        <v>18</v>
      </c>
      <c r="M446">
        <v>21</v>
      </c>
      <c r="N446">
        <v>4</v>
      </c>
      <c r="O446" s="3">
        <f t="shared" si="52"/>
        <v>0.8571428571428571</v>
      </c>
      <c r="P446" s="3">
        <f t="shared" si="53"/>
        <v>0.75</v>
      </c>
      <c r="Q446" s="3">
        <f t="shared" si="54"/>
        <v>0.875</v>
      </c>
      <c r="R446" s="3">
        <f t="shared" si="55"/>
        <v>0.16666666666666666</v>
      </c>
      <c r="S446">
        <v>13</v>
      </c>
      <c r="T446" s="4">
        <v>0.1</v>
      </c>
      <c r="U446">
        <v>222</v>
      </c>
      <c r="V446">
        <v>508</v>
      </c>
    </row>
    <row r="447" spans="1:22">
      <c r="A447">
        <v>443</v>
      </c>
      <c r="B447" s="2">
        <v>46239</v>
      </c>
      <c r="C447" t="s">
        <v>40</v>
      </c>
      <c r="D447" t="s">
        <v>36</v>
      </c>
      <c r="E447" t="s">
        <v>28</v>
      </c>
      <c r="F447">
        <v>2</v>
      </c>
      <c r="G447">
        <v>13</v>
      </c>
      <c r="H447" t="str">
        <f t="shared" si="48"/>
        <v>Loss</v>
      </c>
      <c r="I447">
        <f t="shared" si="49"/>
        <v>0</v>
      </c>
      <c r="J447">
        <f t="shared" si="50"/>
        <v>-11</v>
      </c>
      <c r="K447">
        <f t="shared" si="51"/>
        <v>15</v>
      </c>
      <c r="L447">
        <v>9</v>
      </c>
      <c r="M447">
        <v>15</v>
      </c>
      <c r="N447">
        <v>1</v>
      </c>
      <c r="O447" s="3">
        <f t="shared" si="52"/>
        <v>0.6</v>
      </c>
      <c r="P447" s="3">
        <f t="shared" si="53"/>
        <v>0.6</v>
      </c>
      <c r="Q447" s="3">
        <f t="shared" si="54"/>
        <v>1</v>
      </c>
      <c r="R447" s="3">
        <f t="shared" si="55"/>
        <v>6.6666666666666666E-2</v>
      </c>
      <c r="S447">
        <v>-36</v>
      </c>
      <c r="T447" s="4">
        <v>0.18</v>
      </c>
      <c r="U447">
        <v>174</v>
      </c>
      <c r="V447">
        <v>189</v>
      </c>
    </row>
    <row r="448" spans="1:22">
      <c r="A448">
        <v>444</v>
      </c>
      <c r="B448" s="2">
        <v>46239</v>
      </c>
      <c r="C448" t="s">
        <v>23</v>
      </c>
      <c r="D448" t="s">
        <v>31</v>
      </c>
      <c r="E448" t="s">
        <v>47</v>
      </c>
      <c r="F448">
        <v>6</v>
      </c>
      <c r="G448">
        <v>13</v>
      </c>
      <c r="H448" t="str">
        <f t="shared" si="48"/>
        <v>Loss</v>
      </c>
      <c r="I448">
        <f t="shared" si="49"/>
        <v>0</v>
      </c>
      <c r="J448">
        <f t="shared" si="50"/>
        <v>-7</v>
      </c>
      <c r="K448">
        <f t="shared" si="51"/>
        <v>19</v>
      </c>
      <c r="L448">
        <v>5</v>
      </c>
      <c r="M448">
        <v>19</v>
      </c>
      <c r="N448">
        <v>1</v>
      </c>
      <c r="O448" s="3">
        <f t="shared" si="52"/>
        <v>0.26315789473684209</v>
      </c>
      <c r="P448" s="3">
        <f t="shared" si="53"/>
        <v>0.26315789473684209</v>
      </c>
      <c r="Q448" s="3">
        <f t="shared" si="54"/>
        <v>1</v>
      </c>
      <c r="R448" s="3">
        <f t="shared" si="55"/>
        <v>5.2631578947368418E-2</v>
      </c>
      <c r="S448">
        <v>-86</v>
      </c>
      <c r="T448" s="4">
        <v>0.14000000000000001</v>
      </c>
      <c r="U448">
        <v>108</v>
      </c>
      <c r="V448">
        <v>100</v>
      </c>
    </row>
    <row r="449" spans="1:22">
      <c r="A449">
        <v>445</v>
      </c>
      <c r="B449" s="2">
        <v>46239</v>
      </c>
      <c r="C449" t="s">
        <v>41</v>
      </c>
      <c r="D449" t="s">
        <v>32</v>
      </c>
      <c r="E449" t="s">
        <v>47</v>
      </c>
      <c r="F449">
        <v>13</v>
      </c>
      <c r="G449">
        <v>2</v>
      </c>
      <c r="H449" t="str">
        <f t="shared" si="48"/>
        <v>Win</v>
      </c>
      <c r="I449">
        <f t="shared" si="49"/>
        <v>1</v>
      </c>
      <c r="J449">
        <f t="shared" si="50"/>
        <v>11</v>
      </c>
      <c r="K449">
        <f t="shared" si="51"/>
        <v>15</v>
      </c>
      <c r="L449">
        <v>6</v>
      </c>
      <c r="M449">
        <v>10</v>
      </c>
      <c r="N449">
        <v>3</v>
      </c>
      <c r="O449" s="3">
        <f t="shared" si="52"/>
        <v>0.6</v>
      </c>
      <c r="P449" s="3">
        <f t="shared" si="53"/>
        <v>0.4</v>
      </c>
      <c r="Q449" s="3">
        <f t="shared" si="54"/>
        <v>0.66666666666666663</v>
      </c>
      <c r="R449" s="3">
        <f t="shared" si="55"/>
        <v>0.2</v>
      </c>
      <c r="S449">
        <v>-41</v>
      </c>
      <c r="T449" s="4">
        <v>0.14000000000000001</v>
      </c>
      <c r="U449">
        <v>126</v>
      </c>
      <c r="V449">
        <v>306</v>
      </c>
    </row>
    <row r="450" spans="1:22">
      <c r="A450">
        <v>446</v>
      </c>
      <c r="B450" s="2">
        <v>46239</v>
      </c>
      <c r="C450" t="s">
        <v>26</v>
      </c>
      <c r="D450" t="s">
        <v>27</v>
      </c>
      <c r="E450" t="s">
        <v>47</v>
      </c>
      <c r="F450">
        <v>9</v>
      </c>
      <c r="G450">
        <v>13</v>
      </c>
      <c r="H450" t="str">
        <f t="shared" si="48"/>
        <v>Loss</v>
      </c>
      <c r="I450">
        <f t="shared" si="49"/>
        <v>0</v>
      </c>
      <c r="J450">
        <f t="shared" si="50"/>
        <v>-4</v>
      </c>
      <c r="K450">
        <f t="shared" si="51"/>
        <v>22</v>
      </c>
      <c r="L450">
        <v>18</v>
      </c>
      <c r="M450">
        <v>17</v>
      </c>
      <c r="N450">
        <v>1</v>
      </c>
      <c r="O450" s="3">
        <f t="shared" si="52"/>
        <v>1.0588235294117647</v>
      </c>
      <c r="P450" s="3">
        <f t="shared" si="53"/>
        <v>0.81818181818181823</v>
      </c>
      <c r="Q450" s="3">
        <f t="shared" si="54"/>
        <v>0.77272727272727271</v>
      </c>
      <c r="R450" s="3">
        <f t="shared" si="55"/>
        <v>4.5454545454545456E-2</v>
      </c>
      <c r="S450">
        <v>-8</v>
      </c>
      <c r="T450" s="4">
        <v>0.15</v>
      </c>
      <c r="U450">
        <v>219</v>
      </c>
      <c r="V450">
        <v>535</v>
      </c>
    </row>
    <row r="451" spans="1:22">
      <c r="A451">
        <v>447</v>
      </c>
      <c r="B451" s="2">
        <v>46239</v>
      </c>
      <c r="C451" t="s">
        <v>23</v>
      </c>
      <c r="D451" t="s">
        <v>42</v>
      </c>
      <c r="E451" t="s">
        <v>47</v>
      </c>
      <c r="F451">
        <v>7</v>
      </c>
      <c r="G451">
        <v>13</v>
      </c>
      <c r="H451" t="str">
        <f t="shared" si="48"/>
        <v>Loss</v>
      </c>
      <c r="I451">
        <f t="shared" si="49"/>
        <v>0</v>
      </c>
      <c r="J451">
        <f t="shared" si="50"/>
        <v>-6</v>
      </c>
      <c r="K451">
        <f t="shared" si="51"/>
        <v>20</v>
      </c>
      <c r="L451">
        <v>19</v>
      </c>
      <c r="M451">
        <v>18</v>
      </c>
      <c r="N451">
        <v>3</v>
      </c>
      <c r="O451" s="3">
        <f t="shared" si="52"/>
        <v>1.0555555555555556</v>
      </c>
      <c r="P451" s="3">
        <f t="shared" si="53"/>
        <v>0.95</v>
      </c>
      <c r="Q451" s="3">
        <f t="shared" si="54"/>
        <v>0.9</v>
      </c>
      <c r="R451" s="3">
        <f t="shared" si="55"/>
        <v>0.15</v>
      </c>
      <c r="S451">
        <v>1</v>
      </c>
      <c r="T451" s="4">
        <v>0.08</v>
      </c>
      <c r="U451">
        <v>283</v>
      </c>
      <c r="V451">
        <v>580</v>
      </c>
    </row>
    <row r="452" spans="1:22">
      <c r="A452">
        <v>448</v>
      </c>
      <c r="B452" s="2">
        <v>46239</v>
      </c>
      <c r="C452" t="s">
        <v>41</v>
      </c>
      <c r="D452" t="s">
        <v>31</v>
      </c>
      <c r="E452" t="s">
        <v>38</v>
      </c>
      <c r="F452">
        <v>16</v>
      </c>
      <c r="G452">
        <v>14</v>
      </c>
      <c r="H452" t="str">
        <f t="shared" si="48"/>
        <v>Win</v>
      </c>
      <c r="I452">
        <f t="shared" si="49"/>
        <v>1</v>
      </c>
      <c r="J452">
        <f t="shared" si="50"/>
        <v>2</v>
      </c>
      <c r="K452">
        <f t="shared" si="51"/>
        <v>30</v>
      </c>
      <c r="L452">
        <v>7</v>
      </c>
      <c r="M452">
        <v>24</v>
      </c>
      <c r="N452">
        <v>9</v>
      </c>
      <c r="O452" s="3">
        <f t="shared" si="52"/>
        <v>0.29166666666666669</v>
      </c>
      <c r="P452" s="3">
        <f t="shared" si="53"/>
        <v>0.23333333333333334</v>
      </c>
      <c r="Q452" s="3">
        <f t="shared" si="54"/>
        <v>0.8</v>
      </c>
      <c r="R452" s="3">
        <f t="shared" si="55"/>
        <v>0.3</v>
      </c>
      <c r="S452">
        <v>-68</v>
      </c>
      <c r="T452" s="4">
        <v>0.1</v>
      </c>
      <c r="U452">
        <v>79</v>
      </c>
      <c r="V452">
        <v>173</v>
      </c>
    </row>
    <row r="453" spans="1:22">
      <c r="A453">
        <v>449</v>
      </c>
      <c r="B453" s="2">
        <v>46238</v>
      </c>
      <c r="C453" t="s">
        <v>29</v>
      </c>
      <c r="D453" t="s">
        <v>36</v>
      </c>
      <c r="E453" t="s">
        <v>25</v>
      </c>
      <c r="F453">
        <v>13</v>
      </c>
      <c r="G453">
        <v>10</v>
      </c>
      <c r="H453" t="str">
        <f t="shared" ref="H453:H516" si="56">IF(F453&gt;G453,"Win",IF(F453&lt;G453,"Loss","Draw"))</f>
        <v>Win</v>
      </c>
      <c r="I453">
        <f t="shared" ref="I453:I516" si="57">IF(H453="Win",1,0)</f>
        <v>1</v>
      </c>
      <c r="J453">
        <f t="shared" ref="J453:J516" si="58">F453-G453</f>
        <v>3</v>
      </c>
      <c r="K453">
        <f t="shared" ref="K453:K516" si="59">F453+G453</f>
        <v>23</v>
      </c>
      <c r="L453">
        <v>16</v>
      </c>
      <c r="M453">
        <v>16</v>
      </c>
      <c r="N453">
        <v>8</v>
      </c>
      <c r="O453" s="3">
        <f t="shared" ref="O453:O516" si="60">IFERROR(L453/M453,0)</f>
        <v>1</v>
      </c>
      <c r="P453" s="3">
        <f t="shared" ref="P453:P516" si="61">IFERROR(L453/K453,0)</f>
        <v>0.69565217391304346</v>
      </c>
      <c r="Q453" s="3">
        <f t="shared" ref="Q453:Q516" si="62">IFERROR(M453/K453,0)</f>
        <v>0.69565217391304346</v>
      </c>
      <c r="R453" s="3">
        <f t="shared" ref="R453:R516" si="63">IFERROR(N453/K453,0)</f>
        <v>0.34782608695652173</v>
      </c>
      <c r="S453">
        <v>7</v>
      </c>
      <c r="T453" s="4">
        <v>0.08</v>
      </c>
      <c r="U453">
        <v>208</v>
      </c>
      <c r="V453">
        <v>632</v>
      </c>
    </row>
    <row r="454" spans="1:22">
      <c r="A454">
        <v>450</v>
      </c>
      <c r="B454" s="2">
        <v>46238</v>
      </c>
      <c r="C454" t="s">
        <v>40</v>
      </c>
      <c r="D454" t="s">
        <v>42</v>
      </c>
      <c r="E454" t="s">
        <v>25</v>
      </c>
      <c r="F454">
        <v>13</v>
      </c>
      <c r="G454">
        <v>9</v>
      </c>
      <c r="H454" t="str">
        <f t="shared" si="56"/>
        <v>Win</v>
      </c>
      <c r="I454">
        <f t="shared" si="57"/>
        <v>1</v>
      </c>
      <c r="J454">
        <f t="shared" si="58"/>
        <v>4</v>
      </c>
      <c r="K454">
        <f t="shared" si="59"/>
        <v>22</v>
      </c>
      <c r="L454">
        <v>25</v>
      </c>
      <c r="M454">
        <v>14</v>
      </c>
      <c r="N454">
        <v>14</v>
      </c>
      <c r="O454" s="3">
        <f t="shared" si="60"/>
        <v>1.7857142857142858</v>
      </c>
      <c r="P454" s="3">
        <f t="shared" si="61"/>
        <v>1.1363636363636365</v>
      </c>
      <c r="Q454" s="3">
        <f t="shared" si="62"/>
        <v>0.63636363636363635</v>
      </c>
      <c r="R454" s="3">
        <f t="shared" si="63"/>
        <v>0.63636363636363635</v>
      </c>
      <c r="S454">
        <v>98</v>
      </c>
      <c r="T454" s="4">
        <v>7.0000000000000007E-2</v>
      </c>
      <c r="U454">
        <v>343</v>
      </c>
      <c r="V454">
        <v>996</v>
      </c>
    </row>
    <row r="455" spans="1:22">
      <c r="A455">
        <v>451</v>
      </c>
      <c r="B455" s="2">
        <v>46238</v>
      </c>
      <c r="C455" t="s">
        <v>29</v>
      </c>
      <c r="D455" t="s">
        <v>30</v>
      </c>
      <c r="E455" t="s">
        <v>25</v>
      </c>
      <c r="F455">
        <v>13</v>
      </c>
      <c r="G455">
        <v>15</v>
      </c>
      <c r="H455" t="str">
        <f t="shared" si="56"/>
        <v>Loss</v>
      </c>
      <c r="I455">
        <f t="shared" si="57"/>
        <v>0</v>
      </c>
      <c r="J455">
        <f t="shared" si="58"/>
        <v>-2</v>
      </c>
      <c r="K455">
        <f t="shared" si="59"/>
        <v>28</v>
      </c>
      <c r="L455">
        <v>18</v>
      </c>
      <c r="M455">
        <v>20</v>
      </c>
      <c r="N455">
        <v>6</v>
      </c>
      <c r="O455" s="3">
        <f t="shared" si="60"/>
        <v>0.9</v>
      </c>
      <c r="P455" s="3">
        <f t="shared" si="61"/>
        <v>0.6428571428571429</v>
      </c>
      <c r="Q455" s="3">
        <f t="shared" si="62"/>
        <v>0.7142857142857143</v>
      </c>
      <c r="R455" s="3">
        <f t="shared" si="63"/>
        <v>0.21428571428571427</v>
      </c>
      <c r="S455">
        <v>-15</v>
      </c>
      <c r="T455" s="4">
        <v>0.05</v>
      </c>
      <c r="U455">
        <v>177</v>
      </c>
      <c r="V455">
        <v>351</v>
      </c>
    </row>
    <row r="456" spans="1:22">
      <c r="A456">
        <v>452</v>
      </c>
      <c r="B456" s="2">
        <v>46238</v>
      </c>
      <c r="C456" t="s">
        <v>54</v>
      </c>
      <c r="D456" t="s">
        <v>30</v>
      </c>
      <c r="E456" t="s">
        <v>25</v>
      </c>
      <c r="F456">
        <v>13</v>
      </c>
      <c r="G456">
        <v>8</v>
      </c>
      <c r="H456" t="str">
        <f t="shared" si="56"/>
        <v>Win</v>
      </c>
      <c r="I456">
        <f t="shared" si="57"/>
        <v>1</v>
      </c>
      <c r="J456">
        <f t="shared" si="58"/>
        <v>5</v>
      </c>
      <c r="K456">
        <f t="shared" si="59"/>
        <v>21</v>
      </c>
      <c r="L456">
        <v>14</v>
      </c>
      <c r="M456">
        <v>14</v>
      </c>
      <c r="N456">
        <v>3</v>
      </c>
      <c r="O456" s="3">
        <f t="shared" si="60"/>
        <v>1</v>
      </c>
      <c r="P456" s="3">
        <f t="shared" si="61"/>
        <v>0.66666666666666663</v>
      </c>
      <c r="Q456" s="3">
        <f t="shared" si="62"/>
        <v>0.66666666666666663</v>
      </c>
      <c r="R456" s="3">
        <f t="shared" si="63"/>
        <v>0.14285714285714285</v>
      </c>
      <c r="S456">
        <v>2</v>
      </c>
      <c r="T456" s="4">
        <v>0.11</v>
      </c>
      <c r="U456">
        <v>189</v>
      </c>
      <c r="V456">
        <v>571</v>
      </c>
    </row>
    <row r="457" spans="1:22">
      <c r="A457">
        <v>453</v>
      </c>
      <c r="B457" s="2">
        <v>46238</v>
      </c>
      <c r="C457" t="s">
        <v>26</v>
      </c>
      <c r="D457" t="s">
        <v>30</v>
      </c>
      <c r="E457" t="s">
        <v>47</v>
      </c>
      <c r="F457">
        <v>11</v>
      </c>
      <c r="G457">
        <v>13</v>
      </c>
      <c r="H457" t="str">
        <f t="shared" si="56"/>
        <v>Loss</v>
      </c>
      <c r="I457">
        <f t="shared" si="57"/>
        <v>0</v>
      </c>
      <c r="J457">
        <f t="shared" si="58"/>
        <v>-2</v>
      </c>
      <c r="K457">
        <f t="shared" si="59"/>
        <v>24</v>
      </c>
      <c r="L457">
        <v>16</v>
      </c>
      <c r="M457">
        <v>19</v>
      </c>
      <c r="N457">
        <v>6</v>
      </c>
      <c r="O457" s="3">
        <f t="shared" si="60"/>
        <v>0.84210526315789469</v>
      </c>
      <c r="P457" s="3">
        <f t="shared" si="61"/>
        <v>0.66666666666666663</v>
      </c>
      <c r="Q457" s="3">
        <f t="shared" si="62"/>
        <v>0.79166666666666663</v>
      </c>
      <c r="R457" s="3">
        <f t="shared" si="63"/>
        <v>0.25</v>
      </c>
      <c r="S457">
        <v>-38</v>
      </c>
      <c r="T457" s="4">
        <v>0.08</v>
      </c>
      <c r="U457">
        <v>185</v>
      </c>
      <c r="V457">
        <v>341</v>
      </c>
    </row>
    <row r="458" spans="1:22">
      <c r="A458">
        <v>454</v>
      </c>
      <c r="B458" s="2">
        <v>46238</v>
      </c>
      <c r="C458" t="s">
        <v>26</v>
      </c>
      <c r="D458" t="s">
        <v>46</v>
      </c>
      <c r="E458" t="s">
        <v>47</v>
      </c>
      <c r="F458">
        <v>13</v>
      </c>
      <c r="G458">
        <v>6</v>
      </c>
      <c r="H458" t="str">
        <f t="shared" si="56"/>
        <v>Win</v>
      </c>
      <c r="I458">
        <f t="shared" si="57"/>
        <v>1</v>
      </c>
      <c r="J458">
        <f t="shared" si="58"/>
        <v>7</v>
      </c>
      <c r="K458">
        <f t="shared" si="59"/>
        <v>19</v>
      </c>
      <c r="L458">
        <v>18</v>
      </c>
      <c r="M458">
        <v>13</v>
      </c>
      <c r="N458">
        <v>4</v>
      </c>
      <c r="O458" s="3">
        <f t="shared" si="60"/>
        <v>1.3846153846153846</v>
      </c>
      <c r="P458" s="3">
        <f t="shared" si="61"/>
        <v>0.94736842105263153</v>
      </c>
      <c r="Q458" s="3">
        <f t="shared" si="62"/>
        <v>0.68421052631578949</v>
      </c>
      <c r="R458" s="3">
        <f t="shared" si="63"/>
        <v>0.21052631578947367</v>
      </c>
      <c r="S458">
        <v>45</v>
      </c>
      <c r="T458" s="4">
        <v>0.11</v>
      </c>
      <c r="U458">
        <v>261</v>
      </c>
      <c r="V458">
        <v>723</v>
      </c>
    </row>
    <row r="459" spans="1:22">
      <c r="A459">
        <v>455</v>
      </c>
      <c r="B459" s="2">
        <v>46238</v>
      </c>
      <c r="C459" t="s">
        <v>23</v>
      </c>
      <c r="D459" t="s">
        <v>31</v>
      </c>
      <c r="E459" t="s">
        <v>25</v>
      </c>
      <c r="F459">
        <v>5</v>
      </c>
      <c r="G459">
        <v>13</v>
      </c>
      <c r="H459" t="str">
        <f t="shared" si="56"/>
        <v>Loss</v>
      </c>
      <c r="I459">
        <f t="shared" si="57"/>
        <v>0</v>
      </c>
      <c r="J459">
        <f t="shared" si="58"/>
        <v>-8</v>
      </c>
      <c r="K459">
        <f t="shared" si="59"/>
        <v>18</v>
      </c>
      <c r="L459">
        <v>7</v>
      </c>
      <c r="M459">
        <v>14</v>
      </c>
      <c r="N459">
        <v>3</v>
      </c>
      <c r="O459" s="3">
        <f t="shared" si="60"/>
        <v>0.5</v>
      </c>
      <c r="P459" s="3">
        <f t="shared" si="61"/>
        <v>0.3888888888888889</v>
      </c>
      <c r="Q459" s="3">
        <f t="shared" si="62"/>
        <v>0.77777777777777779</v>
      </c>
      <c r="R459" s="3">
        <f t="shared" si="63"/>
        <v>0.16666666666666666</v>
      </c>
      <c r="S459">
        <v>-34</v>
      </c>
      <c r="T459" s="4">
        <v>0.08</v>
      </c>
      <c r="U459">
        <v>121</v>
      </c>
      <c r="V459">
        <v>163</v>
      </c>
    </row>
    <row r="460" spans="1:22">
      <c r="A460">
        <v>456</v>
      </c>
      <c r="B460" s="2">
        <v>46238</v>
      </c>
      <c r="C460" t="s">
        <v>23</v>
      </c>
      <c r="D460" t="s">
        <v>30</v>
      </c>
      <c r="E460" t="s">
        <v>28</v>
      </c>
      <c r="F460">
        <v>8</v>
      </c>
      <c r="G460">
        <v>13</v>
      </c>
      <c r="H460" t="str">
        <f t="shared" si="56"/>
        <v>Loss</v>
      </c>
      <c r="I460">
        <f t="shared" si="57"/>
        <v>0</v>
      </c>
      <c r="J460">
        <f t="shared" si="58"/>
        <v>-5</v>
      </c>
      <c r="K460">
        <f t="shared" si="59"/>
        <v>21</v>
      </c>
      <c r="L460">
        <v>8</v>
      </c>
      <c r="M460">
        <v>19</v>
      </c>
      <c r="N460">
        <v>5</v>
      </c>
      <c r="O460" s="3">
        <f t="shared" si="60"/>
        <v>0.42105263157894735</v>
      </c>
      <c r="P460" s="3">
        <f t="shared" si="61"/>
        <v>0.38095238095238093</v>
      </c>
      <c r="Q460" s="3">
        <f t="shared" si="62"/>
        <v>0.90476190476190477</v>
      </c>
      <c r="R460" s="3">
        <f t="shared" si="63"/>
        <v>0.23809523809523808</v>
      </c>
      <c r="S460">
        <v>-65</v>
      </c>
      <c r="T460" s="4">
        <v>0.18</v>
      </c>
      <c r="U460">
        <v>132</v>
      </c>
      <c r="V460">
        <v>124</v>
      </c>
    </row>
    <row r="461" spans="1:22">
      <c r="A461">
        <v>457</v>
      </c>
      <c r="B461" s="2">
        <v>46238</v>
      </c>
      <c r="C461" t="s">
        <v>54</v>
      </c>
      <c r="D461" t="s">
        <v>37</v>
      </c>
      <c r="E461" t="s">
        <v>25</v>
      </c>
      <c r="F461">
        <v>13</v>
      </c>
      <c r="G461">
        <v>9</v>
      </c>
      <c r="H461" t="str">
        <f t="shared" si="56"/>
        <v>Win</v>
      </c>
      <c r="I461">
        <f t="shared" si="57"/>
        <v>1</v>
      </c>
      <c r="J461">
        <f t="shared" si="58"/>
        <v>4</v>
      </c>
      <c r="K461">
        <f t="shared" si="59"/>
        <v>22</v>
      </c>
      <c r="L461">
        <v>19</v>
      </c>
      <c r="M461">
        <v>15</v>
      </c>
      <c r="N461">
        <v>4</v>
      </c>
      <c r="O461" s="3">
        <f t="shared" si="60"/>
        <v>1.2666666666666666</v>
      </c>
      <c r="P461" s="3">
        <f t="shared" si="61"/>
        <v>0.86363636363636365</v>
      </c>
      <c r="Q461" s="3">
        <f t="shared" si="62"/>
        <v>0.68181818181818177</v>
      </c>
      <c r="R461" s="3">
        <f t="shared" si="63"/>
        <v>0.18181818181818182</v>
      </c>
      <c r="S461">
        <v>34</v>
      </c>
      <c r="T461" s="4">
        <v>0.08</v>
      </c>
      <c r="U461">
        <v>244</v>
      </c>
      <c r="V461">
        <v>779</v>
      </c>
    </row>
    <row r="462" spans="1:22">
      <c r="A462">
        <v>458</v>
      </c>
      <c r="B462" s="2">
        <v>46238</v>
      </c>
      <c r="C462" t="s">
        <v>29</v>
      </c>
      <c r="D462" t="s">
        <v>37</v>
      </c>
      <c r="E462" t="s">
        <v>25</v>
      </c>
      <c r="F462">
        <v>4</v>
      </c>
      <c r="G462">
        <v>13</v>
      </c>
      <c r="H462" t="str">
        <f t="shared" si="56"/>
        <v>Loss</v>
      </c>
      <c r="I462">
        <f t="shared" si="57"/>
        <v>0</v>
      </c>
      <c r="J462">
        <f t="shared" si="58"/>
        <v>-9</v>
      </c>
      <c r="K462">
        <f t="shared" si="59"/>
        <v>17</v>
      </c>
      <c r="L462">
        <v>16</v>
      </c>
      <c r="M462">
        <v>13</v>
      </c>
      <c r="N462">
        <v>1</v>
      </c>
      <c r="O462" s="3">
        <f t="shared" si="60"/>
        <v>1.2307692307692308</v>
      </c>
      <c r="P462" s="3">
        <f t="shared" si="61"/>
        <v>0.94117647058823528</v>
      </c>
      <c r="Q462" s="3">
        <f t="shared" si="62"/>
        <v>0.76470588235294112</v>
      </c>
      <c r="R462" s="3">
        <f t="shared" si="63"/>
        <v>5.8823529411764705E-2</v>
      </c>
      <c r="S462">
        <v>-3</v>
      </c>
      <c r="T462" s="4">
        <v>0.06</v>
      </c>
      <c r="U462">
        <v>248</v>
      </c>
      <c r="V462">
        <v>400</v>
      </c>
    </row>
    <row r="463" spans="1:22">
      <c r="A463">
        <v>459</v>
      </c>
      <c r="B463" s="2">
        <v>46238</v>
      </c>
      <c r="C463" t="s">
        <v>54</v>
      </c>
      <c r="D463" t="s">
        <v>27</v>
      </c>
      <c r="E463" t="s">
        <v>45</v>
      </c>
      <c r="F463">
        <v>10</v>
      </c>
      <c r="G463">
        <v>13</v>
      </c>
      <c r="H463" t="str">
        <f t="shared" si="56"/>
        <v>Loss</v>
      </c>
      <c r="I463">
        <f t="shared" si="57"/>
        <v>0</v>
      </c>
      <c r="J463">
        <f t="shared" si="58"/>
        <v>-3</v>
      </c>
      <c r="K463">
        <f t="shared" si="59"/>
        <v>23</v>
      </c>
      <c r="L463">
        <v>18</v>
      </c>
      <c r="M463">
        <v>19</v>
      </c>
      <c r="N463">
        <v>6</v>
      </c>
      <c r="O463" s="3">
        <f t="shared" si="60"/>
        <v>0.94736842105263153</v>
      </c>
      <c r="P463" s="3">
        <f t="shared" si="61"/>
        <v>0.78260869565217395</v>
      </c>
      <c r="Q463" s="3">
        <f t="shared" si="62"/>
        <v>0.82608695652173914</v>
      </c>
      <c r="R463" s="3">
        <f t="shared" si="63"/>
        <v>0.2608695652173913</v>
      </c>
      <c r="S463">
        <v>-3</v>
      </c>
      <c r="T463" s="4">
        <v>0.1</v>
      </c>
      <c r="U463">
        <v>226</v>
      </c>
      <c r="V463">
        <v>543</v>
      </c>
    </row>
    <row r="464" spans="1:22">
      <c r="A464">
        <v>460</v>
      </c>
      <c r="B464" s="2">
        <v>46237</v>
      </c>
      <c r="C464" t="s">
        <v>54</v>
      </c>
      <c r="D464" t="s">
        <v>27</v>
      </c>
      <c r="E464" t="s">
        <v>25</v>
      </c>
      <c r="F464">
        <v>6</v>
      </c>
      <c r="G464">
        <v>13</v>
      </c>
      <c r="H464" t="str">
        <f t="shared" si="56"/>
        <v>Loss</v>
      </c>
      <c r="I464">
        <f t="shared" si="57"/>
        <v>0</v>
      </c>
      <c r="J464">
        <f t="shared" si="58"/>
        <v>-7</v>
      </c>
      <c r="K464">
        <f t="shared" si="59"/>
        <v>19</v>
      </c>
      <c r="L464">
        <v>14</v>
      </c>
      <c r="M464">
        <v>17</v>
      </c>
      <c r="N464">
        <v>1</v>
      </c>
      <c r="O464" s="3">
        <f t="shared" si="60"/>
        <v>0.82352941176470584</v>
      </c>
      <c r="P464" s="3">
        <f t="shared" si="61"/>
        <v>0.73684210526315785</v>
      </c>
      <c r="Q464" s="3">
        <f t="shared" si="62"/>
        <v>0.89473684210526316</v>
      </c>
      <c r="R464" s="3">
        <f t="shared" si="63"/>
        <v>5.2631578947368418E-2</v>
      </c>
      <c r="S464">
        <v>-18</v>
      </c>
      <c r="T464" s="4">
        <v>0.11</v>
      </c>
      <c r="U464">
        <v>209</v>
      </c>
      <c r="V464">
        <v>345</v>
      </c>
    </row>
    <row r="465" spans="1:22">
      <c r="A465">
        <v>461</v>
      </c>
      <c r="B465" s="2">
        <v>46237</v>
      </c>
      <c r="C465" t="s">
        <v>41</v>
      </c>
      <c r="D465" t="s">
        <v>36</v>
      </c>
      <c r="E465" t="s">
        <v>51</v>
      </c>
      <c r="F465">
        <v>6</v>
      </c>
      <c r="G465">
        <v>13</v>
      </c>
      <c r="H465" t="str">
        <f t="shared" si="56"/>
        <v>Loss</v>
      </c>
      <c r="I465">
        <f t="shared" si="57"/>
        <v>0</v>
      </c>
      <c r="J465">
        <f t="shared" si="58"/>
        <v>-7</v>
      </c>
      <c r="K465">
        <f t="shared" si="59"/>
        <v>19</v>
      </c>
      <c r="L465">
        <v>13</v>
      </c>
      <c r="M465">
        <v>16</v>
      </c>
      <c r="N465">
        <v>3</v>
      </c>
      <c r="O465" s="3">
        <f t="shared" si="60"/>
        <v>0.8125</v>
      </c>
      <c r="P465" s="3">
        <f t="shared" si="61"/>
        <v>0.68421052631578949</v>
      </c>
      <c r="Q465" s="3">
        <f t="shared" si="62"/>
        <v>0.84210526315789469</v>
      </c>
      <c r="R465" s="3">
        <f t="shared" si="63"/>
        <v>0.15789473684210525</v>
      </c>
      <c r="S465">
        <v>1</v>
      </c>
      <c r="T465" s="4">
        <v>0.16</v>
      </c>
      <c r="U465">
        <v>218</v>
      </c>
      <c r="V465">
        <v>575</v>
      </c>
    </row>
    <row r="466" spans="1:22">
      <c r="A466">
        <v>462</v>
      </c>
      <c r="B466" s="2">
        <v>46237</v>
      </c>
      <c r="C466" t="s">
        <v>29</v>
      </c>
      <c r="D466" t="s">
        <v>27</v>
      </c>
      <c r="E466" t="s">
        <v>25</v>
      </c>
      <c r="F466">
        <v>5</v>
      </c>
      <c r="G466">
        <v>13</v>
      </c>
      <c r="H466" t="str">
        <f t="shared" si="56"/>
        <v>Loss</v>
      </c>
      <c r="I466">
        <f t="shared" si="57"/>
        <v>0</v>
      </c>
      <c r="J466">
        <f t="shared" si="58"/>
        <v>-8</v>
      </c>
      <c r="K466">
        <f t="shared" si="59"/>
        <v>18</v>
      </c>
      <c r="L466">
        <v>13</v>
      </c>
      <c r="M466">
        <v>13</v>
      </c>
      <c r="N466">
        <v>2</v>
      </c>
      <c r="O466" s="3">
        <f t="shared" si="60"/>
        <v>1</v>
      </c>
      <c r="P466" s="3">
        <f t="shared" si="61"/>
        <v>0.72222222222222221</v>
      </c>
      <c r="Q466" s="3">
        <f t="shared" si="62"/>
        <v>0.72222222222222221</v>
      </c>
      <c r="R466" s="3">
        <f t="shared" si="63"/>
        <v>0.1111111111111111</v>
      </c>
      <c r="S466">
        <v>-16</v>
      </c>
      <c r="T466" s="4">
        <v>0.09</v>
      </c>
      <c r="U466">
        <v>192</v>
      </c>
      <c r="V466">
        <v>328</v>
      </c>
    </row>
    <row r="467" spans="1:22">
      <c r="A467">
        <v>463</v>
      </c>
      <c r="B467" s="2">
        <v>46237</v>
      </c>
      <c r="C467" t="s">
        <v>26</v>
      </c>
      <c r="D467" t="s">
        <v>37</v>
      </c>
      <c r="E467" t="s">
        <v>25</v>
      </c>
      <c r="F467">
        <v>13</v>
      </c>
      <c r="G467">
        <v>10</v>
      </c>
      <c r="H467" t="str">
        <f t="shared" si="56"/>
        <v>Win</v>
      </c>
      <c r="I467">
        <f t="shared" si="57"/>
        <v>1</v>
      </c>
      <c r="J467">
        <f t="shared" si="58"/>
        <v>3</v>
      </c>
      <c r="K467">
        <f t="shared" si="59"/>
        <v>23</v>
      </c>
      <c r="L467">
        <v>26</v>
      </c>
      <c r="M467">
        <v>13</v>
      </c>
      <c r="N467">
        <v>4</v>
      </c>
      <c r="O467" s="3">
        <f t="shared" si="60"/>
        <v>2</v>
      </c>
      <c r="P467" s="3">
        <f t="shared" si="61"/>
        <v>1.1304347826086956</v>
      </c>
      <c r="Q467" s="3">
        <f t="shared" si="62"/>
        <v>0.56521739130434778</v>
      </c>
      <c r="R467" s="3">
        <f t="shared" si="63"/>
        <v>0.17391304347826086</v>
      </c>
      <c r="S467">
        <v>27</v>
      </c>
      <c r="T467" s="4">
        <v>0.14000000000000001</v>
      </c>
      <c r="U467">
        <v>260</v>
      </c>
      <c r="V467">
        <v>744</v>
      </c>
    </row>
    <row r="468" spans="1:22">
      <c r="A468">
        <v>464</v>
      </c>
      <c r="B468" s="2">
        <v>46237</v>
      </c>
      <c r="C468" t="s">
        <v>41</v>
      </c>
      <c r="D468" t="s">
        <v>37</v>
      </c>
      <c r="E468" t="s">
        <v>45</v>
      </c>
      <c r="F468">
        <v>5</v>
      </c>
      <c r="G468">
        <v>0</v>
      </c>
      <c r="H468" t="str">
        <f t="shared" si="56"/>
        <v>Win</v>
      </c>
      <c r="I468">
        <f t="shared" si="57"/>
        <v>1</v>
      </c>
      <c r="J468">
        <f t="shared" si="58"/>
        <v>5</v>
      </c>
      <c r="K468">
        <f t="shared" si="59"/>
        <v>5</v>
      </c>
      <c r="L468">
        <v>6</v>
      </c>
      <c r="M468">
        <v>1</v>
      </c>
      <c r="N468">
        <v>3</v>
      </c>
      <c r="O468" s="3">
        <f t="shared" si="60"/>
        <v>6</v>
      </c>
      <c r="P468" s="3">
        <f t="shared" si="61"/>
        <v>1.2</v>
      </c>
      <c r="Q468" s="3">
        <f t="shared" si="62"/>
        <v>0.2</v>
      </c>
      <c r="R468" s="3">
        <f t="shared" si="63"/>
        <v>0.6</v>
      </c>
      <c r="S468">
        <v>69</v>
      </c>
      <c r="T468" s="4">
        <v>0.11</v>
      </c>
      <c r="U468">
        <v>272</v>
      </c>
      <c r="V468">
        <v>940</v>
      </c>
    </row>
    <row r="469" spans="1:22">
      <c r="A469">
        <v>465</v>
      </c>
      <c r="B469" s="2">
        <v>46237</v>
      </c>
      <c r="C469" t="s">
        <v>54</v>
      </c>
      <c r="D469" t="s">
        <v>42</v>
      </c>
      <c r="E469" t="s">
        <v>45</v>
      </c>
      <c r="F469">
        <v>8</v>
      </c>
      <c r="G469">
        <v>13</v>
      </c>
      <c r="H469" t="str">
        <f t="shared" si="56"/>
        <v>Loss</v>
      </c>
      <c r="I469">
        <f t="shared" si="57"/>
        <v>0</v>
      </c>
      <c r="J469">
        <f t="shared" si="58"/>
        <v>-5</v>
      </c>
      <c r="K469">
        <f t="shared" si="59"/>
        <v>21</v>
      </c>
      <c r="L469">
        <v>15</v>
      </c>
      <c r="M469">
        <v>18</v>
      </c>
      <c r="N469">
        <v>7</v>
      </c>
      <c r="O469" s="3">
        <f t="shared" si="60"/>
        <v>0.83333333333333337</v>
      </c>
      <c r="P469" s="3">
        <f t="shared" si="61"/>
        <v>0.7142857142857143</v>
      </c>
      <c r="Q469" s="3">
        <f t="shared" si="62"/>
        <v>0.8571428571428571</v>
      </c>
      <c r="R469" s="3">
        <f t="shared" si="63"/>
        <v>0.33333333333333331</v>
      </c>
      <c r="S469">
        <v>-1</v>
      </c>
      <c r="T469" s="4">
        <v>0.12</v>
      </c>
      <c r="U469">
        <v>243</v>
      </c>
      <c r="V469">
        <v>611</v>
      </c>
    </row>
    <row r="470" spans="1:22">
      <c r="A470">
        <v>466</v>
      </c>
      <c r="B470" s="2">
        <v>46237</v>
      </c>
      <c r="C470" t="s">
        <v>29</v>
      </c>
      <c r="D470" t="s">
        <v>24</v>
      </c>
      <c r="E470" t="s">
        <v>25</v>
      </c>
      <c r="F470">
        <v>13</v>
      </c>
      <c r="G470">
        <v>4</v>
      </c>
      <c r="H470" t="str">
        <f t="shared" si="56"/>
        <v>Win</v>
      </c>
      <c r="I470">
        <f t="shared" si="57"/>
        <v>1</v>
      </c>
      <c r="J470">
        <f t="shared" si="58"/>
        <v>9</v>
      </c>
      <c r="K470">
        <f t="shared" si="59"/>
        <v>17</v>
      </c>
      <c r="L470">
        <v>10</v>
      </c>
      <c r="M470">
        <v>12</v>
      </c>
      <c r="N470">
        <v>4</v>
      </c>
      <c r="O470" s="3">
        <f t="shared" si="60"/>
        <v>0.83333333333333337</v>
      </c>
      <c r="P470" s="3">
        <f t="shared" si="61"/>
        <v>0.58823529411764708</v>
      </c>
      <c r="Q470" s="3">
        <f t="shared" si="62"/>
        <v>0.70588235294117652</v>
      </c>
      <c r="R470" s="3">
        <f t="shared" si="63"/>
        <v>0.23529411764705882</v>
      </c>
      <c r="S470">
        <v>-20</v>
      </c>
      <c r="T470" s="4">
        <v>0.15</v>
      </c>
      <c r="U470">
        <v>190</v>
      </c>
      <c r="V470">
        <v>580</v>
      </c>
    </row>
    <row r="471" spans="1:22">
      <c r="A471">
        <v>467</v>
      </c>
      <c r="B471" s="2">
        <v>46237</v>
      </c>
      <c r="C471" t="s">
        <v>26</v>
      </c>
      <c r="D471" t="s">
        <v>37</v>
      </c>
      <c r="E471" t="s">
        <v>38</v>
      </c>
      <c r="F471">
        <v>5</v>
      </c>
      <c r="G471">
        <v>13</v>
      </c>
      <c r="H471" t="str">
        <f t="shared" si="56"/>
        <v>Loss</v>
      </c>
      <c r="I471">
        <f t="shared" si="57"/>
        <v>0</v>
      </c>
      <c r="J471">
        <f t="shared" si="58"/>
        <v>-8</v>
      </c>
      <c r="K471">
        <f t="shared" si="59"/>
        <v>18</v>
      </c>
      <c r="L471">
        <v>13</v>
      </c>
      <c r="M471">
        <v>15</v>
      </c>
      <c r="N471">
        <v>4</v>
      </c>
      <c r="O471" s="3">
        <f t="shared" si="60"/>
        <v>0.8666666666666667</v>
      </c>
      <c r="P471" s="3">
        <f t="shared" si="61"/>
        <v>0.72222222222222221</v>
      </c>
      <c r="Q471" s="3">
        <f t="shared" si="62"/>
        <v>0.83333333333333337</v>
      </c>
      <c r="R471" s="3">
        <f t="shared" si="63"/>
        <v>0.22222222222222221</v>
      </c>
      <c r="S471">
        <v>16</v>
      </c>
      <c r="T471" s="4">
        <v>0.04</v>
      </c>
      <c r="U471">
        <v>233</v>
      </c>
      <c r="V471">
        <v>500</v>
      </c>
    </row>
    <row r="472" spans="1:22">
      <c r="A472">
        <v>468</v>
      </c>
      <c r="B472" s="2">
        <v>46237</v>
      </c>
      <c r="C472" t="s">
        <v>23</v>
      </c>
      <c r="D472" t="s">
        <v>27</v>
      </c>
      <c r="E472" t="s">
        <v>39</v>
      </c>
      <c r="F472">
        <v>8</v>
      </c>
      <c r="G472">
        <v>13</v>
      </c>
      <c r="H472" t="str">
        <f t="shared" si="56"/>
        <v>Loss</v>
      </c>
      <c r="I472">
        <f t="shared" si="57"/>
        <v>0</v>
      </c>
      <c r="J472">
        <f t="shared" si="58"/>
        <v>-5</v>
      </c>
      <c r="K472">
        <f t="shared" si="59"/>
        <v>21</v>
      </c>
      <c r="L472">
        <v>14</v>
      </c>
      <c r="M472">
        <v>19</v>
      </c>
      <c r="N472">
        <v>5</v>
      </c>
      <c r="O472" s="3">
        <f t="shared" si="60"/>
        <v>0.73684210526315785</v>
      </c>
      <c r="P472" s="3">
        <f t="shared" si="61"/>
        <v>0.66666666666666663</v>
      </c>
      <c r="Q472" s="3">
        <f t="shared" si="62"/>
        <v>0.90476190476190477</v>
      </c>
      <c r="R472" s="3">
        <f t="shared" si="63"/>
        <v>0.23809523809523808</v>
      </c>
      <c r="S472">
        <v>-5</v>
      </c>
      <c r="T472" s="4">
        <v>0.18</v>
      </c>
      <c r="U472">
        <v>213</v>
      </c>
      <c r="V472">
        <v>459</v>
      </c>
    </row>
    <row r="473" spans="1:22">
      <c r="A473">
        <v>469</v>
      </c>
      <c r="B473" s="2">
        <v>46236</v>
      </c>
      <c r="C473" t="s">
        <v>34</v>
      </c>
      <c r="D473" t="s">
        <v>32</v>
      </c>
      <c r="E473" t="s">
        <v>52</v>
      </c>
      <c r="F473">
        <v>5</v>
      </c>
      <c r="G473">
        <v>13</v>
      </c>
      <c r="H473" t="str">
        <f t="shared" si="56"/>
        <v>Loss</v>
      </c>
      <c r="I473">
        <f t="shared" si="57"/>
        <v>0</v>
      </c>
      <c r="J473">
        <f t="shared" si="58"/>
        <v>-8</v>
      </c>
      <c r="K473">
        <f t="shared" si="59"/>
        <v>18</v>
      </c>
      <c r="L473">
        <v>10</v>
      </c>
      <c r="M473">
        <v>14</v>
      </c>
      <c r="N473">
        <v>1</v>
      </c>
      <c r="O473" s="3">
        <f t="shared" si="60"/>
        <v>0.7142857142857143</v>
      </c>
      <c r="P473" s="3">
        <f t="shared" si="61"/>
        <v>0.55555555555555558</v>
      </c>
      <c r="Q473" s="3">
        <f t="shared" si="62"/>
        <v>0.77777777777777779</v>
      </c>
      <c r="R473" s="3">
        <f t="shared" si="63"/>
        <v>5.5555555555555552E-2</v>
      </c>
      <c r="S473">
        <v>-32</v>
      </c>
      <c r="T473" s="4">
        <v>0.03</v>
      </c>
      <c r="U473">
        <v>153</v>
      </c>
      <c r="V473">
        <v>206</v>
      </c>
    </row>
    <row r="474" spans="1:22">
      <c r="A474">
        <v>470</v>
      </c>
      <c r="B474" s="2">
        <v>46236</v>
      </c>
      <c r="C474" t="s">
        <v>29</v>
      </c>
      <c r="D474" t="s">
        <v>27</v>
      </c>
      <c r="E474" t="s">
        <v>25</v>
      </c>
      <c r="F474">
        <v>5</v>
      </c>
      <c r="G474">
        <v>13</v>
      </c>
      <c r="H474" t="str">
        <f t="shared" si="56"/>
        <v>Loss</v>
      </c>
      <c r="I474">
        <f t="shared" si="57"/>
        <v>0</v>
      </c>
      <c r="J474">
        <f t="shared" si="58"/>
        <v>-8</v>
      </c>
      <c r="K474">
        <f t="shared" si="59"/>
        <v>18</v>
      </c>
      <c r="L474">
        <v>14</v>
      </c>
      <c r="M474">
        <v>13</v>
      </c>
      <c r="N474">
        <v>5</v>
      </c>
      <c r="O474" s="3">
        <f t="shared" si="60"/>
        <v>1.0769230769230769</v>
      </c>
      <c r="P474" s="3">
        <f t="shared" si="61"/>
        <v>0.77777777777777779</v>
      </c>
      <c r="Q474" s="3">
        <f t="shared" si="62"/>
        <v>0.72222222222222221</v>
      </c>
      <c r="R474" s="3">
        <f t="shared" si="63"/>
        <v>0.27777777777777779</v>
      </c>
      <c r="S474">
        <v>0</v>
      </c>
      <c r="T474" s="4">
        <v>7.0000000000000007E-2</v>
      </c>
      <c r="U474">
        <v>215</v>
      </c>
      <c r="V474">
        <v>372</v>
      </c>
    </row>
    <row r="475" spans="1:22">
      <c r="A475">
        <v>471</v>
      </c>
      <c r="B475" s="2">
        <v>46236</v>
      </c>
      <c r="C475" t="s">
        <v>40</v>
      </c>
      <c r="D475" t="s">
        <v>36</v>
      </c>
      <c r="E475" t="s">
        <v>25</v>
      </c>
      <c r="F475">
        <v>13</v>
      </c>
      <c r="G475">
        <v>6</v>
      </c>
      <c r="H475" t="str">
        <f t="shared" si="56"/>
        <v>Win</v>
      </c>
      <c r="I475">
        <f t="shared" si="57"/>
        <v>1</v>
      </c>
      <c r="J475">
        <f t="shared" si="58"/>
        <v>7</v>
      </c>
      <c r="K475">
        <f t="shared" si="59"/>
        <v>19</v>
      </c>
      <c r="L475">
        <v>14</v>
      </c>
      <c r="M475">
        <v>12</v>
      </c>
      <c r="N475">
        <v>5</v>
      </c>
      <c r="O475" s="3">
        <f t="shared" si="60"/>
        <v>1.1666666666666667</v>
      </c>
      <c r="P475" s="3">
        <f t="shared" si="61"/>
        <v>0.73684210526315785</v>
      </c>
      <c r="Q475" s="3">
        <f t="shared" si="62"/>
        <v>0.63157894736842102</v>
      </c>
      <c r="R475" s="3">
        <f t="shared" si="63"/>
        <v>0.26315789473684209</v>
      </c>
      <c r="S475">
        <v>-22</v>
      </c>
      <c r="T475" s="4">
        <v>0.1</v>
      </c>
      <c r="U475">
        <v>196</v>
      </c>
      <c r="V475">
        <v>614</v>
      </c>
    </row>
    <row r="476" spans="1:22">
      <c r="A476">
        <v>472</v>
      </c>
      <c r="B476" s="2">
        <v>46236</v>
      </c>
      <c r="C476" t="s">
        <v>41</v>
      </c>
      <c r="D476" t="s">
        <v>32</v>
      </c>
      <c r="E476" t="s">
        <v>43</v>
      </c>
      <c r="F476">
        <v>4</v>
      </c>
      <c r="G476">
        <v>13</v>
      </c>
      <c r="H476" t="str">
        <f t="shared" si="56"/>
        <v>Loss</v>
      </c>
      <c r="I476">
        <f t="shared" si="57"/>
        <v>0</v>
      </c>
      <c r="J476">
        <f t="shared" si="58"/>
        <v>-9</v>
      </c>
      <c r="K476">
        <f t="shared" si="59"/>
        <v>17</v>
      </c>
      <c r="L476">
        <v>7</v>
      </c>
      <c r="M476">
        <v>14</v>
      </c>
      <c r="N476">
        <v>5</v>
      </c>
      <c r="O476" s="3">
        <f t="shared" si="60"/>
        <v>0.5</v>
      </c>
      <c r="P476" s="3">
        <f t="shared" si="61"/>
        <v>0.41176470588235292</v>
      </c>
      <c r="Q476" s="3">
        <f t="shared" si="62"/>
        <v>0.82352941176470584</v>
      </c>
      <c r="R476" s="3">
        <f t="shared" si="63"/>
        <v>0.29411764705882354</v>
      </c>
      <c r="S476">
        <v>-76</v>
      </c>
      <c r="T476" s="4">
        <v>0.06</v>
      </c>
      <c r="U476">
        <v>121</v>
      </c>
      <c r="V476">
        <v>100</v>
      </c>
    </row>
    <row r="477" spans="1:22">
      <c r="A477">
        <v>473</v>
      </c>
      <c r="B477" s="2">
        <v>46236</v>
      </c>
      <c r="C477" t="s">
        <v>54</v>
      </c>
      <c r="D477" t="s">
        <v>46</v>
      </c>
      <c r="E477" t="s">
        <v>47</v>
      </c>
      <c r="F477">
        <v>6</v>
      </c>
      <c r="G477">
        <v>13</v>
      </c>
      <c r="H477" t="str">
        <f t="shared" si="56"/>
        <v>Loss</v>
      </c>
      <c r="I477">
        <f t="shared" si="57"/>
        <v>0</v>
      </c>
      <c r="J477">
        <f t="shared" si="58"/>
        <v>-7</v>
      </c>
      <c r="K477">
        <f t="shared" si="59"/>
        <v>19</v>
      </c>
      <c r="L477">
        <v>14</v>
      </c>
      <c r="M477">
        <v>16</v>
      </c>
      <c r="N477">
        <v>3</v>
      </c>
      <c r="O477" s="3">
        <f t="shared" si="60"/>
        <v>0.875</v>
      </c>
      <c r="P477" s="3">
        <f t="shared" si="61"/>
        <v>0.73684210526315785</v>
      </c>
      <c r="Q477" s="3">
        <f t="shared" si="62"/>
        <v>0.84210526315789469</v>
      </c>
      <c r="R477" s="3">
        <f t="shared" si="63"/>
        <v>0.15789473684210525</v>
      </c>
      <c r="S477">
        <v>5</v>
      </c>
      <c r="T477" s="4">
        <v>0.15</v>
      </c>
      <c r="U477">
        <v>244</v>
      </c>
      <c r="V477">
        <v>445</v>
      </c>
    </row>
    <row r="478" spans="1:22">
      <c r="A478">
        <v>474</v>
      </c>
      <c r="B478" s="2">
        <v>46236</v>
      </c>
      <c r="C478" t="s">
        <v>40</v>
      </c>
      <c r="D478" t="s">
        <v>30</v>
      </c>
      <c r="E478" t="s">
        <v>47</v>
      </c>
      <c r="F478">
        <v>14</v>
      </c>
      <c r="G478">
        <v>12</v>
      </c>
      <c r="H478" t="str">
        <f t="shared" si="56"/>
        <v>Win</v>
      </c>
      <c r="I478">
        <f t="shared" si="57"/>
        <v>1</v>
      </c>
      <c r="J478">
        <f t="shared" si="58"/>
        <v>2</v>
      </c>
      <c r="K478">
        <f t="shared" si="59"/>
        <v>26</v>
      </c>
      <c r="L478">
        <v>16</v>
      </c>
      <c r="M478">
        <v>20</v>
      </c>
      <c r="N478">
        <v>3</v>
      </c>
      <c r="O478" s="3">
        <f t="shared" si="60"/>
        <v>0.8</v>
      </c>
      <c r="P478" s="3">
        <f t="shared" si="61"/>
        <v>0.61538461538461542</v>
      </c>
      <c r="Q478" s="3">
        <f t="shared" si="62"/>
        <v>0.76923076923076927</v>
      </c>
      <c r="R478" s="3">
        <f t="shared" si="63"/>
        <v>0.11538461538461539</v>
      </c>
      <c r="S478">
        <v>-19</v>
      </c>
      <c r="T478" s="4">
        <v>0.13</v>
      </c>
      <c r="U478">
        <v>179</v>
      </c>
      <c r="V478">
        <v>403</v>
      </c>
    </row>
    <row r="479" spans="1:22">
      <c r="A479">
        <v>475</v>
      </c>
      <c r="B479" s="2">
        <v>46235</v>
      </c>
      <c r="C479" t="s">
        <v>29</v>
      </c>
      <c r="D479" t="s">
        <v>31</v>
      </c>
      <c r="E479" t="s">
        <v>25</v>
      </c>
      <c r="F479">
        <v>2</v>
      </c>
      <c r="G479">
        <v>13</v>
      </c>
      <c r="H479" t="str">
        <f t="shared" si="56"/>
        <v>Loss</v>
      </c>
      <c r="I479">
        <f t="shared" si="57"/>
        <v>0</v>
      </c>
      <c r="J479">
        <f t="shared" si="58"/>
        <v>-11</v>
      </c>
      <c r="K479">
        <f t="shared" si="59"/>
        <v>15</v>
      </c>
      <c r="L479">
        <v>5</v>
      </c>
      <c r="M479">
        <v>14</v>
      </c>
      <c r="N479">
        <v>2</v>
      </c>
      <c r="O479" s="3">
        <f t="shared" si="60"/>
        <v>0.35714285714285715</v>
      </c>
      <c r="P479" s="3">
        <f t="shared" si="61"/>
        <v>0.33333333333333331</v>
      </c>
      <c r="Q479" s="3">
        <f t="shared" si="62"/>
        <v>0.93333333333333335</v>
      </c>
      <c r="R479" s="3">
        <f t="shared" si="63"/>
        <v>0.13333333333333333</v>
      </c>
      <c r="S479">
        <v>-60</v>
      </c>
      <c r="T479" s="4">
        <v>0.17</v>
      </c>
      <c r="U479">
        <v>109</v>
      </c>
      <c r="V479">
        <v>100</v>
      </c>
    </row>
    <row r="480" spans="1:22">
      <c r="A480">
        <v>476</v>
      </c>
      <c r="B480" s="2">
        <v>46235</v>
      </c>
      <c r="C480" t="s">
        <v>23</v>
      </c>
      <c r="D480" t="s">
        <v>32</v>
      </c>
      <c r="E480" t="s">
        <v>38</v>
      </c>
      <c r="F480">
        <v>13</v>
      </c>
      <c r="G480">
        <v>11</v>
      </c>
      <c r="H480" t="str">
        <f t="shared" si="56"/>
        <v>Win</v>
      </c>
      <c r="I480">
        <f t="shared" si="57"/>
        <v>1</v>
      </c>
      <c r="J480">
        <f t="shared" si="58"/>
        <v>2</v>
      </c>
      <c r="K480">
        <f t="shared" si="59"/>
        <v>24</v>
      </c>
      <c r="L480">
        <v>19</v>
      </c>
      <c r="M480">
        <v>16</v>
      </c>
      <c r="N480">
        <v>4</v>
      </c>
      <c r="O480" s="3">
        <f t="shared" si="60"/>
        <v>1.1875</v>
      </c>
      <c r="P480" s="3">
        <f t="shared" si="61"/>
        <v>0.79166666666666663</v>
      </c>
      <c r="Q480" s="3">
        <f t="shared" si="62"/>
        <v>0.66666666666666663</v>
      </c>
      <c r="R480" s="3">
        <f t="shared" si="63"/>
        <v>0.16666666666666666</v>
      </c>
      <c r="S480">
        <v>-9</v>
      </c>
      <c r="T480" s="4">
        <v>0.06</v>
      </c>
      <c r="U480">
        <v>188</v>
      </c>
      <c r="V480">
        <v>517</v>
      </c>
    </row>
    <row r="481" spans="1:22">
      <c r="A481">
        <v>477</v>
      </c>
      <c r="B481" s="2">
        <v>46235</v>
      </c>
      <c r="C481" t="s">
        <v>34</v>
      </c>
      <c r="D481" t="s">
        <v>31</v>
      </c>
      <c r="E481" t="s">
        <v>25</v>
      </c>
      <c r="F481">
        <v>7</v>
      </c>
      <c r="G481">
        <v>13</v>
      </c>
      <c r="H481" t="str">
        <f t="shared" si="56"/>
        <v>Loss</v>
      </c>
      <c r="I481">
        <f t="shared" si="57"/>
        <v>0</v>
      </c>
      <c r="J481">
        <f t="shared" si="58"/>
        <v>-6</v>
      </c>
      <c r="K481">
        <f t="shared" si="59"/>
        <v>20</v>
      </c>
      <c r="L481">
        <v>4</v>
      </c>
      <c r="M481">
        <v>18</v>
      </c>
      <c r="N481">
        <v>7</v>
      </c>
      <c r="O481" s="3">
        <f t="shared" si="60"/>
        <v>0.22222222222222221</v>
      </c>
      <c r="P481" s="3">
        <f t="shared" si="61"/>
        <v>0.2</v>
      </c>
      <c r="Q481" s="3">
        <f t="shared" si="62"/>
        <v>0.9</v>
      </c>
      <c r="R481" s="3">
        <f t="shared" si="63"/>
        <v>0.35</v>
      </c>
      <c r="S481">
        <v>-84</v>
      </c>
      <c r="T481" s="4">
        <v>0.02</v>
      </c>
      <c r="U481">
        <v>89</v>
      </c>
      <c r="V481">
        <v>128</v>
      </c>
    </row>
    <row r="482" spans="1:22">
      <c r="A482">
        <v>478</v>
      </c>
      <c r="B482" s="2">
        <v>46235</v>
      </c>
      <c r="C482" t="s">
        <v>41</v>
      </c>
      <c r="D482" t="s">
        <v>24</v>
      </c>
      <c r="E482" t="s">
        <v>52</v>
      </c>
      <c r="F482">
        <v>13</v>
      </c>
      <c r="G482">
        <v>11</v>
      </c>
      <c r="H482" t="str">
        <f t="shared" si="56"/>
        <v>Win</v>
      </c>
      <c r="I482">
        <f t="shared" si="57"/>
        <v>1</v>
      </c>
      <c r="J482">
        <f t="shared" si="58"/>
        <v>2</v>
      </c>
      <c r="K482">
        <f t="shared" si="59"/>
        <v>24</v>
      </c>
      <c r="L482">
        <v>10</v>
      </c>
      <c r="M482">
        <v>18</v>
      </c>
      <c r="N482">
        <v>7</v>
      </c>
      <c r="O482" s="3">
        <f t="shared" si="60"/>
        <v>0.55555555555555558</v>
      </c>
      <c r="P482" s="3">
        <f t="shared" si="61"/>
        <v>0.41666666666666669</v>
      </c>
      <c r="Q482" s="3">
        <f t="shared" si="62"/>
        <v>0.75</v>
      </c>
      <c r="R482" s="3">
        <f t="shared" si="63"/>
        <v>0.29166666666666669</v>
      </c>
      <c r="S482">
        <v>-35</v>
      </c>
      <c r="T482" s="4">
        <v>0.05</v>
      </c>
      <c r="U482">
        <v>139</v>
      </c>
      <c r="V482">
        <v>390</v>
      </c>
    </row>
    <row r="483" spans="1:22">
      <c r="A483">
        <v>479</v>
      </c>
      <c r="B483" s="2">
        <v>46235</v>
      </c>
      <c r="C483" t="s">
        <v>29</v>
      </c>
      <c r="D483" t="s">
        <v>24</v>
      </c>
      <c r="E483" t="s">
        <v>25</v>
      </c>
      <c r="F483">
        <v>4</v>
      </c>
      <c r="G483">
        <v>13</v>
      </c>
      <c r="H483" t="str">
        <f t="shared" si="56"/>
        <v>Loss</v>
      </c>
      <c r="I483">
        <f t="shared" si="57"/>
        <v>0</v>
      </c>
      <c r="J483">
        <f t="shared" si="58"/>
        <v>-9</v>
      </c>
      <c r="K483">
        <f t="shared" si="59"/>
        <v>17</v>
      </c>
      <c r="L483">
        <v>6</v>
      </c>
      <c r="M483">
        <v>16</v>
      </c>
      <c r="N483">
        <v>6</v>
      </c>
      <c r="O483" s="3">
        <f t="shared" si="60"/>
        <v>0.375</v>
      </c>
      <c r="P483" s="3">
        <f t="shared" si="61"/>
        <v>0.35294117647058826</v>
      </c>
      <c r="Q483" s="3">
        <f t="shared" si="62"/>
        <v>0.94117647058823528</v>
      </c>
      <c r="R483" s="3">
        <f t="shared" si="63"/>
        <v>0.35294117647058826</v>
      </c>
      <c r="S483">
        <v>-55</v>
      </c>
      <c r="T483" s="4">
        <v>0.05</v>
      </c>
      <c r="U483">
        <v>134</v>
      </c>
      <c r="V483">
        <v>125</v>
      </c>
    </row>
    <row r="484" spans="1:22">
      <c r="A484">
        <v>480</v>
      </c>
      <c r="B484" s="2">
        <v>46235</v>
      </c>
      <c r="C484" t="s">
        <v>54</v>
      </c>
      <c r="D484" t="s">
        <v>27</v>
      </c>
      <c r="E484" t="s">
        <v>25</v>
      </c>
      <c r="F484">
        <v>13</v>
      </c>
      <c r="G484">
        <v>10</v>
      </c>
      <c r="H484" t="str">
        <f t="shared" si="56"/>
        <v>Win</v>
      </c>
      <c r="I484">
        <f t="shared" si="57"/>
        <v>1</v>
      </c>
      <c r="J484">
        <f t="shared" si="58"/>
        <v>3</v>
      </c>
      <c r="K484">
        <f t="shared" si="59"/>
        <v>23</v>
      </c>
      <c r="L484">
        <v>15</v>
      </c>
      <c r="M484">
        <v>17</v>
      </c>
      <c r="N484">
        <v>9</v>
      </c>
      <c r="O484" s="3">
        <f t="shared" si="60"/>
        <v>0.88235294117647056</v>
      </c>
      <c r="P484" s="3">
        <f t="shared" si="61"/>
        <v>0.65217391304347827</v>
      </c>
      <c r="Q484" s="3">
        <f t="shared" si="62"/>
        <v>0.73913043478260865</v>
      </c>
      <c r="R484" s="3">
        <f t="shared" si="63"/>
        <v>0.39130434782608697</v>
      </c>
      <c r="S484">
        <v>0</v>
      </c>
      <c r="T484" s="4">
        <v>0.12</v>
      </c>
      <c r="U484">
        <v>206</v>
      </c>
      <c r="V484">
        <v>573</v>
      </c>
    </row>
    <row r="485" spans="1:22">
      <c r="A485">
        <v>481</v>
      </c>
      <c r="B485" s="2">
        <v>46234</v>
      </c>
      <c r="C485" t="s">
        <v>34</v>
      </c>
      <c r="D485" t="s">
        <v>24</v>
      </c>
      <c r="E485" t="s">
        <v>25</v>
      </c>
      <c r="F485">
        <v>14</v>
      </c>
      <c r="G485">
        <v>12</v>
      </c>
      <c r="H485" t="str">
        <f t="shared" si="56"/>
        <v>Win</v>
      </c>
      <c r="I485">
        <f t="shared" si="57"/>
        <v>1</v>
      </c>
      <c r="J485">
        <f t="shared" si="58"/>
        <v>2</v>
      </c>
      <c r="K485">
        <f t="shared" si="59"/>
        <v>26</v>
      </c>
      <c r="L485">
        <v>15</v>
      </c>
      <c r="M485">
        <v>18</v>
      </c>
      <c r="N485">
        <v>5</v>
      </c>
      <c r="O485" s="3">
        <f t="shared" si="60"/>
        <v>0.83333333333333337</v>
      </c>
      <c r="P485" s="3">
        <f t="shared" si="61"/>
        <v>0.57692307692307687</v>
      </c>
      <c r="Q485" s="3">
        <f t="shared" si="62"/>
        <v>0.69230769230769229</v>
      </c>
      <c r="R485" s="3">
        <f t="shared" si="63"/>
        <v>0.19230769230769232</v>
      </c>
      <c r="S485">
        <v>-26</v>
      </c>
      <c r="T485" s="4">
        <v>0.04</v>
      </c>
      <c r="U485">
        <v>155</v>
      </c>
      <c r="V485">
        <v>352</v>
      </c>
    </row>
    <row r="486" spans="1:22">
      <c r="A486">
        <v>482</v>
      </c>
      <c r="B486" s="2">
        <v>46234</v>
      </c>
      <c r="C486" t="s">
        <v>23</v>
      </c>
      <c r="D486" t="s">
        <v>31</v>
      </c>
      <c r="E486" t="s">
        <v>47</v>
      </c>
      <c r="F486">
        <v>12</v>
      </c>
      <c r="G486">
        <v>14</v>
      </c>
      <c r="H486" t="str">
        <f t="shared" si="56"/>
        <v>Loss</v>
      </c>
      <c r="I486">
        <f t="shared" si="57"/>
        <v>0</v>
      </c>
      <c r="J486">
        <f t="shared" si="58"/>
        <v>-2</v>
      </c>
      <c r="K486">
        <f t="shared" si="59"/>
        <v>26</v>
      </c>
      <c r="L486">
        <v>11</v>
      </c>
      <c r="M486">
        <v>23</v>
      </c>
      <c r="N486">
        <v>5</v>
      </c>
      <c r="O486" s="3">
        <f t="shared" si="60"/>
        <v>0.47826086956521741</v>
      </c>
      <c r="P486" s="3">
        <f t="shared" si="61"/>
        <v>0.42307692307692307</v>
      </c>
      <c r="Q486" s="3">
        <f t="shared" si="62"/>
        <v>0.88461538461538458</v>
      </c>
      <c r="R486" s="3">
        <f t="shared" si="63"/>
        <v>0.19230769230769232</v>
      </c>
      <c r="S486">
        <v>-48</v>
      </c>
      <c r="T486" s="4">
        <v>0.11</v>
      </c>
      <c r="U486">
        <v>138</v>
      </c>
      <c r="V486">
        <v>193</v>
      </c>
    </row>
    <row r="487" spans="1:22">
      <c r="A487">
        <v>483</v>
      </c>
      <c r="B487" s="2">
        <v>46233</v>
      </c>
      <c r="C487" t="s">
        <v>34</v>
      </c>
      <c r="D487" t="s">
        <v>31</v>
      </c>
      <c r="E487" t="s">
        <v>25</v>
      </c>
      <c r="F487">
        <v>10</v>
      </c>
      <c r="G487">
        <v>13</v>
      </c>
      <c r="H487" t="str">
        <f t="shared" si="56"/>
        <v>Loss</v>
      </c>
      <c r="I487">
        <f t="shared" si="57"/>
        <v>0</v>
      </c>
      <c r="J487">
        <f t="shared" si="58"/>
        <v>-3</v>
      </c>
      <c r="K487">
        <f t="shared" si="59"/>
        <v>23</v>
      </c>
      <c r="L487">
        <v>9</v>
      </c>
      <c r="M487">
        <v>16</v>
      </c>
      <c r="N487">
        <v>4</v>
      </c>
      <c r="O487" s="3">
        <f t="shared" si="60"/>
        <v>0.5625</v>
      </c>
      <c r="P487" s="3">
        <f t="shared" si="61"/>
        <v>0.39130434782608697</v>
      </c>
      <c r="Q487" s="3">
        <f t="shared" si="62"/>
        <v>0.69565217391304346</v>
      </c>
      <c r="R487" s="3">
        <f t="shared" si="63"/>
        <v>0.17391304347826086</v>
      </c>
      <c r="S487">
        <v>-37</v>
      </c>
      <c r="T487" s="4">
        <v>7.0000000000000007E-2</v>
      </c>
      <c r="U487">
        <v>121</v>
      </c>
      <c r="V487">
        <v>219</v>
      </c>
    </row>
    <row r="488" spans="1:22">
      <c r="A488">
        <v>484</v>
      </c>
      <c r="B488" s="2">
        <v>46233</v>
      </c>
      <c r="C488" t="s">
        <v>26</v>
      </c>
      <c r="D488" t="s">
        <v>32</v>
      </c>
      <c r="E488" t="s">
        <v>38</v>
      </c>
      <c r="F488">
        <v>10</v>
      </c>
      <c r="G488">
        <v>13</v>
      </c>
      <c r="H488" t="str">
        <f t="shared" si="56"/>
        <v>Loss</v>
      </c>
      <c r="I488">
        <f t="shared" si="57"/>
        <v>0</v>
      </c>
      <c r="J488">
        <f t="shared" si="58"/>
        <v>-3</v>
      </c>
      <c r="K488">
        <f t="shared" si="59"/>
        <v>23</v>
      </c>
      <c r="L488">
        <v>12</v>
      </c>
      <c r="M488">
        <v>22</v>
      </c>
      <c r="N488">
        <v>4</v>
      </c>
      <c r="O488" s="3">
        <f t="shared" si="60"/>
        <v>0.54545454545454541</v>
      </c>
      <c r="P488" s="3">
        <f t="shared" si="61"/>
        <v>0.52173913043478259</v>
      </c>
      <c r="Q488" s="3">
        <f t="shared" si="62"/>
        <v>0.95652173913043481</v>
      </c>
      <c r="R488" s="3">
        <f t="shared" si="63"/>
        <v>0.17391304347826086</v>
      </c>
      <c r="S488">
        <v>-48</v>
      </c>
      <c r="T488" s="4">
        <v>7.0000000000000007E-2</v>
      </c>
      <c r="U488">
        <v>168</v>
      </c>
      <c r="V488">
        <v>260</v>
      </c>
    </row>
    <row r="489" spans="1:22">
      <c r="A489">
        <v>485</v>
      </c>
      <c r="B489" s="2">
        <v>46233</v>
      </c>
      <c r="C489" t="s">
        <v>54</v>
      </c>
      <c r="D489" t="s">
        <v>30</v>
      </c>
      <c r="E489" t="s">
        <v>25</v>
      </c>
      <c r="F489">
        <v>13</v>
      </c>
      <c r="G489">
        <v>7</v>
      </c>
      <c r="H489" t="str">
        <f t="shared" si="56"/>
        <v>Win</v>
      </c>
      <c r="I489">
        <f t="shared" si="57"/>
        <v>1</v>
      </c>
      <c r="J489">
        <f t="shared" si="58"/>
        <v>6</v>
      </c>
      <c r="K489">
        <f t="shared" si="59"/>
        <v>20</v>
      </c>
      <c r="L489">
        <v>11</v>
      </c>
      <c r="M489">
        <v>11</v>
      </c>
      <c r="N489">
        <v>3</v>
      </c>
      <c r="O489" s="3">
        <f t="shared" si="60"/>
        <v>1</v>
      </c>
      <c r="P489" s="3">
        <f t="shared" si="61"/>
        <v>0.55000000000000004</v>
      </c>
      <c r="Q489" s="3">
        <f t="shared" si="62"/>
        <v>0.55000000000000004</v>
      </c>
      <c r="R489" s="3">
        <f t="shared" si="63"/>
        <v>0.15</v>
      </c>
      <c r="S489">
        <v>5</v>
      </c>
      <c r="T489" s="4">
        <v>0.13</v>
      </c>
      <c r="U489">
        <v>147</v>
      </c>
      <c r="V489">
        <v>417</v>
      </c>
    </row>
    <row r="490" spans="1:22">
      <c r="A490">
        <v>486</v>
      </c>
      <c r="B490" s="2">
        <v>46232</v>
      </c>
      <c r="C490" t="s">
        <v>41</v>
      </c>
      <c r="D490" t="s">
        <v>27</v>
      </c>
      <c r="E490" t="s">
        <v>25</v>
      </c>
      <c r="F490">
        <v>8</v>
      </c>
      <c r="G490">
        <v>13</v>
      </c>
      <c r="H490" t="str">
        <f t="shared" si="56"/>
        <v>Loss</v>
      </c>
      <c r="I490">
        <f t="shared" si="57"/>
        <v>0</v>
      </c>
      <c r="J490">
        <f t="shared" si="58"/>
        <v>-5</v>
      </c>
      <c r="K490">
        <f t="shared" si="59"/>
        <v>21</v>
      </c>
      <c r="L490">
        <v>17</v>
      </c>
      <c r="M490">
        <v>16</v>
      </c>
      <c r="N490">
        <v>7</v>
      </c>
      <c r="O490" s="3">
        <f t="shared" si="60"/>
        <v>1.0625</v>
      </c>
      <c r="P490" s="3">
        <f t="shared" si="61"/>
        <v>0.80952380952380953</v>
      </c>
      <c r="Q490" s="3">
        <f t="shared" si="62"/>
        <v>0.76190476190476186</v>
      </c>
      <c r="R490" s="3">
        <f t="shared" si="63"/>
        <v>0.33333333333333331</v>
      </c>
      <c r="S490">
        <v>-9</v>
      </c>
      <c r="T490" s="4">
        <v>0.08</v>
      </c>
      <c r="U490">
        <v>228</v>
      </c>
      <c r="V490">
        <v>608</v>
      </c>
    </row>
    <row r="491" spans="1:22">
      <c r="A491">
        <v>487</v>
      </c>
      <c r="B491" s="2">
        <v>46231</v>
      </c>
      <c r="C491" t="s">
        <v>26</v>
      </c>
      <c r="D491" t="s">
        <v>24</v>
      </c>
      <c r="E491" t="s">
        <v>39</v>
      </c>
      <c r="F491">
        <v>13</v>
      </c>
      <c r="G491">
        <v>10</v>
      </c>
      <c r="H491" t="str">
        <f t="shared" si="56"/>
        <v>Win</v>
      </c>
      <c r="I491">
        <f t="shared" si="57"/>
        <v>1</v>
      </c>
      <c r="J491">
        <f t="shared" si="58"/>
        <v>3</v>
      </c>
      <c r="K491">
        <f t="shared" si="59"/>
        <v>23</v>
      </c>
      <c r="L491">
        <v>14</v>
      </c>
      <c r="M491">
        <v>17</v>
      </c>
      <c r="N491">
        <v>3</v>
      </c>
      <c r="O491" s="3">
        <f t="shared" si="60"/>
        <v>0.82352941176470584</v>
      </c>
      <c r="P491" s="3">
        <f t="shared" si="61"/>
        <v>0.60869565217391308</v>
      </c>
      <c r="Q491" s="3">
        <f t="shared" si="62"/>
        <v>0.73913043478260865</v>
      </c>
      <c r="R491" s="3">
        <f t="shared" si="63"/>
        <v>0.13043478260869565</v>
      </c>
      <c r="S491">
        <v>-15</v>
      </c>
      <c r="T491" s="4">
        <v>0.13</v>
      </c>
      <c r="U491">
        <v>172</v>
      </c>
      <c r="V491">
        <v>388</v>
      </c>
    </row>
    <row r="492" spans="1:22">
      <c r="A492">
        <v>488</v>
      </c>
      <c r="B492" s="2">
        <v>46231</v>
      </c>
      <c r="C492" t="s">
        <v>40</v>
      </c>
      <c r="D492" t="s">
        <v>30</v>
      </c>
      <c r="E492" t="s">
        <v>25</v>
      </c>
      <c r="F492">
        <v>3</v>
      </c>
      <c r="G492">
        <v>13</v>
      </c>
      <c r="H492" t="str">
        <f t="shared" si="56"/>
        <v>Loss</v>
      </c>
      <c r="I492">
        <f t="shared" si="57"/>
        <v>0</v>
      </c>
      <c r="J492">
        <f t="shared" si="58"/>
        <v>-10</v>
      </c>
      <c r="K492">
        <f t="shared" si="59"/>
        <v>16</v>
      </c>
      <c r="L492">
        <v>7</v>
      </c>
      <c r="M492">
        <v>14</v>
      </c>
      <c r="N492">
        <v>2</v>
      </c>
      <c r="O492" s="3">
        <f t="shared" si="60"/>
        <v>0.5</v>
      </c>
      <c r="P492" s="3">
        <f t="shared" si="61"/>
        <v>0.4375</v>
      </c>
      <c r="Q492" s="3">
        <f t="shared" si="62"/>
        <v>0.875</v>
      </c>
      <c r="R492" s="3">
        <f t="shared" si="63"/>
        <v>0.125</v>
      </c>
      <c r="S492">
        <v>-39</v>
      </c>
      <c r="T492" s="4">
        <v>0.02</v>
      </c>
      <c r="U492">
        <v>153</v>
      </c>
      <c r="V492">
        <v>273</v>
      </c>
    </row>
    <row r="493" spans="1:22">
      <c r="A493">
        <v>489</v>
      </c>
      <c r="B493" s="2">
        <v>46231</v>
      </c>
      <c r="C493" t="s">
        <v>23</v>
      </c>
      <c r="D493" t="s">
        <v>37</v>
      </c>
      <c r="E493" t="s">
        <v>49</v>
      </c>
      <c r="F493">
        <v>13</v>
      </c>
      <c r="G493">
        <v>7</v>
      </c>
      <c r="H493" t="str">
        <f t="shared" si="56"/>
        <v>Win</v>
      </c>
      <c r="I493">
        <f t="shared" si="57"/>
        <v>1</v>
      </c>
      <c r="J493">
        <f t="shared" si="58"/>
        <v>6</v>
      </c>
      <c r="K493">
        <f t="shared" si="59"/>
        <v>20</v>
      </c>
      <c r="L493">
        <v>17</v>
      </c>
      <c r="M493">
        <v>12</v>
      </c>
      <c r="N493">
        <v>6</v>
      </c>
      <c r="O493" s="3">
        <f t="shared" si="60"/>
        <v>1.4166666666666667</v>
      </c>
      <c r="P493" s="3">
        <f t="shared" si="61"/>
        <v>0.85</v>
      </c>
      <c r="Q493" s="3">
        <f t="shared" si="62"/>
        <v>0.6</v>
      </c>
      <c r="R493" s="3">
        <f t="shared" si="63"/>
        <v>0.3</v>
      </c>
      <c r="S493">
        <v>48</v>
      </c>
      <c r="T493" s="4">
        <v>0.12</v>
      </c>
      <c r="U493">
        <v>243</v>
      </c>
      <c r="V493">
        <v>769</v>
      </c>
    </row>
    <row r="494" spans="1:22">
      <c r="A494">
        <v>490</v>
      </c>
      <c r="B494" s="2">
        <v>46231</v>
      </c>
      <c r="C494" t="s">
        <v>29</v>
      </c>
      <c r="D494" t="s">
        <v>42</v>
      </c>
      <c r="E494" t="s">
        <v>28</v>
      </c>
      <c r="F494">
        <v>14</v>
      </c>
      <c r="G494">
        <v>12</v>
      </c>
      <c r="H494" t="str">
        <f t="shared" si="56"/>
        <v>Win</v>
      </c>
      <c r="I494">
        <f t="shared" si="57"/>
        <v>1</v>
      </c>
      <c r="J494">
        <f t="shared" si="58"/>
        <v>2</v>
      </c>
      <c r="K494">
        <f t="shared" si="59"/>
        <v>26</v>
      </c>
      <c r="L494">
        <v>29</v>
      </c>
      <c r="M494">
        <v>17</v>
      </c>
      <c r="N494">
        <v>9</v>
      </c>
      <c r="O494" s="3">
        <f t="shared" si="60"/>
        <v>1.7058823529411764</v>
      </c>
      <c r="P494" s="3">
        <f t="shared" si="61"/>
        <v>1.1153846153846154</v>
      </c>
      <c r="Q494" s="3">
        <f t="shared" si="62"/>
        <v>0.65384615384615385</v>
      </c>
      <c r="R494" s="3">
        <f t="shared" si="63"/>
        <v>0.34615384615384615</v>
      </c>
      <c r="S494">
        <v>67</v>
      </c>
      <c r="T494" s="4">
        <v>0.1</v>
      </c>
      <c r="U494">
        <v>301</v>
      </c>
      <c r="V494">
        <v>801</v>
      </c>
    </row>
    <row r="495" spans="1:22">
      <c r="A495">
        <v>491</v>
      </c>
      <c r="B495" s="2">
        <v>46231</v>
      </c>
      <c r="C495" t="s">
        <v>40</v>
      </c>
      <c r="D495" t="s">
        <v>32</v>
      </c>
      <c r="E495" t="s">
        <v>25</v>
      </c>
      <c r="F495">
        <v>11</v>
      </c>
      <c r="G495">
        <v>13</v>
      </c>
      <c r="H495" t="str">
        <f t="shared" si="56"/>
        <v>Loss</v>
      </c>
      <c r="I495">
        <f t="shared" si="57"/>
        <v>0</v>
      </c>
      <c r="J495">
        <f t="shared" si="58"/>
        <v>-2</v>
      </c>
      <c r="K495">
        <f t="shared" si="59"/>
        <v>24</v>
      </c>
      <c r="L495">
        <v>13</v>
      </c>
      <c r="M495">
        <v>21</v>
      </c>
      <c r="N495">
        <v>7</v>
      </c>
      <c r="O495" s="3">
        <f t="shared" si="60"/>
        <v>0.61904761904761907</v>
      </c>
      <c r="P495" s="3">
        <f t="shared" si="61"/>
        <v>0.54166666666666663</v>
      </c>
      <c r="Q495" s="3">
        <f t="shared" si="62"/>
        <v>0.875</v>
      </c>
      <c r="R495" s="3">
        <f t="shared" si="63"/>
        <v>0.29166666666666669</v>
      </c>
      <c r="S495">
        <v>-37</v>
      </c>
      <c r="T495" s="4">
        <v>0.1</v>
      </c>
      <c r="U495">
        <v>169</v>
      </c>
      <c r="V495">
        <v>434</v>
      </c>
    </row>
    <row r="496" spans="1:22">
      <c r="A496">
        <v>492</v>
      </c>
      <c r="B496" s="2">
        <v>46231</v>
      </c>
      <c r="C496" t="s">
        <v>26</v>
      </c>
      <c r="D496" t="s">
        <v>37</v>
      </c>
      <c r="E496" t="s">
        <v>25</v>
      </c>
      <c r="F496">
        <v>3</v>
      </c>
      <c r="G496">
        <v>13</v>
      </c>
      <c r="H496" t="str">
        <f t="shared" si="56"/>
        <v>Loss</v>
      </c>
      <c r="I496">
        <f t="shared" si="57"/>
        <v>0</v>
      </c>
      <c r="J496">
        <f t="shared" si="58"/>
        <v>-10</v>
      </c>
      <c r="K496">
        <f t="shared" si="59"/>
        <v>16</v>
      </c>
      <c r="L496">
        <v>9</v>
      </c>
      <c r="M496">
        <v>14</v>
      </c>
      <c r="N496">
        <v>1</v>
      </c>
      <c r="O496" s="3">
        <f t="shared" si="60"/>
        <v>0.6428571428571429</v>
      </c>
      <c r="P496" s="3">
        <f t="shared" si="61"/>
        <v>0.5625</v>
      </c>
      <c r="Q496" s="3">
        <f t="shared" si="62"/>
        <v>0.875</v>
      </c>
      <c r="R496" s="3">
        <f t="shared" si="63"/>
        <v>6.25E-2</v>
      </c>
      <c r="S496">
        <v>-38</v>
      </c>
      <c r="T496" s="4">
        <v>7.0000000000000007E-2</v>
      </c>
      <c r="U496">
        <v>178</v>
      </c>
      <c r="V496">
        <v>195</v>
      </c>
    </row>
    <row r="497" spans="1:22">
      <c r="A497">
        <v>493</v>
      </c>
      <c r="B497" s="2">
        <v>46231</v>
      </c>
      <c r="C497" t="s">
        <v>54</v>
      </c>
      <c r="D497" t="s">
        <v>36</v>
      </c>
      <c r="E497" t="s">
        <v>25</v>
      </c>
      <c r="F497">
        <v>13</v>
      </c>
      <c r="G497">
        <v>7</v>
      </c>
      <c r="H497" t="str">
        <f t="shared" si="56"/>
        <v>Win</v>
      </c>
      <c r="I497">
        <f t="shared" si="57"/>
        <v>1</v>
      </c>
      <c r="J497">
        <f t="shared" si="58"/>
        <v>6</v>
      </c>
      <c r="K497">
        <f t="shared" si="59"/>
        <v>20</v>
      </c>
      <c r="L497">
        <v>15</v>
      </c>
      <c r="M497">
        <v>13</v>
      </c>
      <c r="N497">
        <v>4</v>
      </c>
      <c r="O497" s="3">
        <f t="shared" si="60"/>
        <v>1.1538461538461537</v>
      </c>
      <c r="P497" s="3">
        <f t="shared" si="61"/>
        <v>0.75</v>
      </c>
      <c r="Q497" s="3">
        <f t="shared" si="62"/>
        <v>0.65</v>
      </c>
      <c r="R497" s="3">
        <f t="shared" si="63"/>
        <v>0.2</v>
      </c>
      <c r="S497">
        <v>23</v>
      </c>
      <c r="T497" s="4">
        <v>0.09</v>
      </c>
      <c r="U497">
        <v>208</v>
      </c>
      <c r="V497">
        <v>729</v>
      </c>
    </row>
    <row r="498" spans="1:22">
      <c r="A498">
        <v>494</v>
      </c>
      <c r="B498" s="2">
        <v>46231</v>
      </c>
      <c r="C498" t="s">
        <v>34</v>
      </c>
      <c r="D498" t="s">
        <v>36</v>
      </c>
      <c r="E498" t="s">
        <v>25</v>
      </c>
      <c r="F498">
        <v>13</v>
      </c>
      <c r="G498">
        <v>3</v>
      </c>
      <c r="H498" t="str">
        <f t="shared" si="56"/>
        <v>Win</v>
      </c>
      <c r="I498">
        <f t="shared" si="57"/>
        <v>1</v>
      </c>
      <c r="J498">
        <f t="shared" si="58"/>
        <v>10</v>
      </c>
      <c r="K498">
        <f t="shared" si="59"/>
        <v>16</v>
      </c>
      <c r="L498">
        <v>12</v>
      </c>
      <c r="M498">
        <v>8</v>
      </c>
      <c r="N498">
        <v>3</v>
      </c>
      <c r="O498" s="3">
        <f t="shared" si="60"/>
        <v>1.5</v>
      </c>
      <c r="P498" s="3">
        <f t="shared" si="61"/>
        <v>0.75</v>
      </c>
      <c r="Q498" s="3">
        <f t="shared" si="62"/>
        <v>0.5</v>
      </c>
      <c r="R498" s="3">
        <f t="shared" si="63"/>
        <v>0.1875</v>
      </c>
      <c r="S498">
        <v>2</v>
      </c>
      <c r="T498" s="4">
        <v>0.1</v>
      </c>
      <c r="U498">
        <v>187</v>
      </c>
      <c r="V498">
        <v>661</v>
      </c>
    </row>
    <row r="499" spans="1:22">
      <c r="A499">
        <v>495</v>
      </c>
      <c r="B499" s="2">
        <v>46231</v>
      </c>
      <c r="C499" t="s">
        <v>29</v>
      </c>
      <c r="D499" t="s">
        <v>27</v>
      </c>
      <c r="E499" t="s">
        <v>38</v>
      </c>
      <c r="F499">
        <v>7</v>
      </c>
      <c r="G499">
        <v>13</v>
      </c>
      <c r="H499" t="str">
        <f t="shared" si="56"/>
        <v>Loss</v>
      </c>
      <c r="I499">
        <f t="shared" si="57"/>
        <v>0</v>
      </c>
      <c r="J499">
        <f t="shared" si="58"/>
        <v>-6</v>
      </c>
      <c r="K499">
        <f t="shared" si="59"/>
        <v>20</v>
      </c>
      <c r="L499">
        <v>14</v>
      </c>
      <c r="M499">
        <v>18</v>
      </c>
      <c r="N499">
        <v>5</v>
      </c>
      <c r="O499" s="3">
        <f t="shared" si="60"/>
        <v>0.77777777777777779</v>
      </c>
      <c r="P499" s="3">
        <f t="shared" si="61"/>
        <v>0.7</v>
      </c>
      <c r="Q499" s="3">
        <f t="shared" si="62"/>
        <v>0.9</v>
      </c>
      <c r="R499" s="3">
        <f t="shared" si="63"/>
        <v>0.25</v>
      </c>
      <c r="S499">
        <v>-50</v>
      </c>
      <c r="T499" s="4">
        <v>0.1</v>
      </c>
      <c r="U499">
        <v>214</v>
      </c>
      <c r="V499">
        <v>396</v>
      </c>
    </row>
    <row r="500" spans="1:22">
      <c r="A500">
        <v>496</v>
      </c>
      <c r="B500" s="2">
        <v>46231</v>
      </c>
      <c r="C500" t="s">
        <v>54</v>
      </c>
      <c r="D500" t="s">
        <v>37</v>
      </c>
      <c r="E500" t="s">
        <v>43</v>
      </c>
      <c r="F500">
        <v>5</v>
      </c>
      <c r="G500">
        <v>13</v>
      </c>
      <c r="H500" t="str">
        <f t="shared" si="56"/>
        <v>Loss</v>
      </c>
      <c r="I500">
        <f t="shared" si="57"/>
        <v>0</v>
      </c>
      <c r="J500">
        <f t="shared" si="58"/>
        <v>-8</v>
      </c>
      <c r="K500">
        <f t="shared" si="59"/>
        <v>18</v>
      </c>
      <c r="L500">
        <v>13</v>
      </c>
      <c r="M500">
        <v>19</v>
      </c>
      <c r="N500">
        <v>5</v>
      </c>
      <c r="O500" s="3">
        <f t="shared" si="60"/>
        <v>0.68421052631578949</v>
      </c>
      <c r="P500" s="3">
        <f t="shared" si="61"/>
        <v>0.72222222222222221</v>
      </c>
      <c r="Q500" s="3">
        <f t="shared" si="62"/>
        <v>1.0555555555555556</v>
      </c>
      <c r="R500" s="3">
        <f t="shared" si="63"/>
        <v>0.27777777777777779</v>
      </c>
      <c r="S500">
        <v>-5</v>
      </c>
      <c r="T500" s="4">
        <v>7.0000000000000007E-2</v>
      </c>
      <c r="U500">
        <v>237</v>
      </c>
      <c r="V500">
        <v>524</v>
      </c>
    </row>
    <row r="501" spans="1:22">
      <c r="A501">
        <v>497</v>
      </c>
      <c r="B501" s="2">
        <v>46230</v>
      </c>
      <c r="C501" t="s">
        <v>34</v>
      </c>
      <c r="D501" t="s">
        <v>30</v>
      </c>
      <c r="E501" t="s">
        <v>25</v>
      </c>
      <c r="F501">
        <v>13</v>
      </c>
      <c r="G501">
        <v>7</v>
      </c>
      <c r="H501" t="str">
        <f t="shared" si="56"/>
        <v>Win</v>
      </c>
      <c r="I501">
        <f t="shared" si="57"/>
        <v>1</v>
      </c>
      <c r="J501">
        <f t="shared" si="58"/>
        <v>6</v>
      </c>
      <c r="K501">
        <f t="shared" si="59"/>
        <v>20</v>
      </c>
      <c r="L501">
        <v>9</v>
      </c>
      <c r="M501">
        <v>14</v>
      </c>
      <c r="N501">
        <v>5</v>
      </c>
      <c r="O501" s="3">
        <f t="shared" si="60"/>
        <v>0.6428571428571429</v>
      </c>
      <c r="P501" s="3">
        <f t="shared" si="61"/>
        <v>0.45</v>
      </c>
      <c r="Q501" s="3">
        <f t="shared" si="62"/>
        <v>0.7</v>
      </c>
      <c r="R501" s="3">
        <f t="shared" si="63"/>
        <v>0.25</v>
      </c>
      <c r="S501">
        <v>-30</v>
      </c>
      <c r="T501" s="4">
        <v>0.06</v>
      </c>
      <c r="U501">
        <v>159</v>
      </c>
      <c r="V501">
        <v>440</v>
      </c>
    </row>
    <row r="502" spans="1:22">
      <c r="A502">
        <v>498</v>
      </c>
      <c r="B502" s="2">
        <v>46230</v>
      </c>
      <c r="C502" t="s">
        <v>29</v>
      </c>
      <c r="D502" t="s">
        <v>46</v>
      </c>
      <c r="E502" t="s">
        <v>25</v>
      </c>
      <c r="F502">
        <v>13</v>
      </c>
      <c r="G502">
        <v>9</v>
      </c>
      <c r="H502" t="str">
        <f t="shared" si="56"/>
        <v>Win</v>
      </c>
      <c r="I502">
        <f t="shared" si="57"/>
        <v>1</v>
      </c>
      <c r="J502">
        <f t="shared" si="58"/>
        <v>4</v>
      </c>
      <c r="K502">
        <f t="shared" si="59"/>
        <v>22</v>
      </c>
      <c r="L502">
        <v>21</v>
      </c>
      <c r="M502">
        <v>15</v>
      </c>
      <c r="N502">
        <v>6</v>
      </c>
      <c r="O502" s="3">
        <f t="shared" si="60"/>
        <v>1.4</v>
      </c>
      <c r="P502" s="3">
        <f t="shared" si="61"/>
        <v>0.95454545454545459</v>
      </c>
      <c r="Q502" s="3">
        <f t="shared" si="62"/>
        <v>0.68181818181818177</v>
      </c>
      <c r="R502" s="3">
        <f t="shared" si="63"/>
        <v>0.27272727272727271</v>
      </c>
      <c r="S502">
        <v>79</v>
      </c>
      <c r="T502" s="4">
        <v>0.14000000000000001</v>
      </c>
      <c r="U502">
        <v>272</v>
      </c>
      <c r="V502">
        <v>945</v>
      </c>
    </row>
    <row r="503" spans="1:22">
      <c r="A503">
        <v>499</v>
      </c>
      <c r="B503" s="2">
        <v>46230</v>
      </c>
      <c r="C503" t="s">
        <v>54</v>
      </c>
      <c r="D503" t="s">
        <v>31</v>
      </c>
      <c r="E503" t="s">
        <v>25</v>
      </c>
      <c r="F503">
        <v>9</v>
      </c>
      <c r="G503">
        <v>13</v>
      </c>
      <c r="H503" t="str">
        <f t="shared" si="56"/>
        <v>Loss</v>
      </c>
      <c r="I503">
        <f t="shared" si="57"/>
        <v>0</v>
      </c>
      <c r="J503">
        <f t="shared" si="58"/>
        <v>-4</v>
      </c>
      <c r="K503">
        <f t="shared" si="59"/>
        <v>22</v>
      </c>
      <c r="L503">
        <v>8</v>
      </c>
      <c r="M503">
        <v>19</v>
      </c>
      <c r="N503">
        <v>5</v>
      </c>
      <c r="O503" s="3">
        <f t="shared" si="60"/>
        <v>0.42105263157894735</v>
      </c>
      <c r="P503" s="3">
        <f t="shared" si="61"/>
        <v>0.36363636363636365</v>
      </c>
      <c r="Q503" s="3">
        <f t="shared" si="62"/>
        <v>0.86363636363636365</v>
      </c>
      <c r="R503" s="3">
        <f t="shared" si="63"/>
        <v>0.22727272727272727</v>
      </c>
      <c r="S503">
        <v>-49</v>
      </c>
      <c r="T503" s="4">
        <v>0.16</v>
      </c>
      <c r="U503">
        <v>125</v>
      </c>
      <c r="V503">
        <v>181</v>
      </c>
    </row>
    <row r="504" spans="1:22">
      <c r="A504">
        <v>500</v>
      </c>
      <c r="B504" s="2">
        <v>46230</v>
      </c>
      <c r="C504" t="s">
        <v>23</v>
      </c>
      <c r="D504" t="s">
        <v>24</v>
      </c>
      <c r="E504" t="s">
        <v>43</v>
      </c>
      <c r="F504">
        <v>13</v>
      </c>
      <c r="G504">
        <v>5</v>
      </c>
      <c r="H504" t="str">
        <f t="shared" si="56"/>
        <v>Win</v>
      </c>
      <c r="I504">
        <f t="shared" si="57"/>
        <v>1</v>
      </c>
      <c r="J504">
        <f t="shared" si="58"/>
        <v>8</v>
      </c>
      <c r="K504">
        <f t="shared" si="59"/>
        <v>18</v>
      </c>
      <c r="L504">
        <v>12</v>
      </c>
      <c r="M504">
        <v>13</v>
      </c>
      <c r="N504">
        <v>2</v>
      </c>
      <c r="O504" s="3">
        <f t="shared" si="60"/>
        <v>0.92307692307692313</v>
      </c>
      <c r="P504" s="3">
        <f t="shared" si="61"/>
        <v>0.66666666666666663</v>
      </c>
      <c r="Q504" s="3">
        <f t="shared" si="62"/>
        <v>0.72222222222222221</v>
      </c>
      <c r="R504" s="3">
        <f t="shared" si="63"/>
        <v>0.1111111111111111</v>
      </c>
      <c r="S504">
        <v>-3</v>
      </c>
      <c r="T504" s="4">
        <v>0.06</v>
      </c>
      <c r="U504">
        <v>178</v>
      </c>
      <c r="V504">
        <v>607</v>
      </c>
    </row>
    <row r="505" spans="1:22">
      <c r="A505">
        <v>501</v>
      </c>
      <c r="B505" s="2">
        <v>46230</v>
      </c>
      <c r="C505" t="s">
        <v>54</v>
      </c>
      <c r="D505" t="s">
        <v>42</v>
      </c>
      <c r="E505" t="s">
        <v>50</v>
      </c>
      <c r="F505">
        <v>11</v>
      </c>
      <c r="G505">
        <v>13</v>
      </c>
      <c r="H505" t="str">
        <f t="shared" si="56"/>
        <v>Loss</v>
      </c>
      <c r="I505">
        <f t="shared" si="57"/>
        <v>0</v>
      </c>
      <c r="J505">
        <f t="shared" si="58"/>
        <v>-2</v>
      </c>
      <c r="K505">
        <f t="shared" si="59"/>
        <v>24</v>
      </c>
      <c r="L505">
        <v>22</v>
      </c>
      <c r="M505">
        <v>17</v>
      </c>
      <c r="N505">
        <v>3</v>
      </c>
      <c r="O505" s="3">
        <f t="shared" si="60"/>
        <v>1.2941176470588236</v>
      </c>
      <c r="P505" s="3">
        <f t="shared" si="61"/>
        <v>0.91666666666666663</v>
      </c>
      <c r="Q505" s="3">
        <f t="shared" si="62"/>
        <v>0.70833333333333337</v>
      </c>
      <c r="R505" s="3">
        <f t="shared" si="63"/>
        <v>0.125</v>
      </c>
      <c r="S505">
        <v>47</v>
      </c>
      <c r="T505" s="4">
        <v>0.11</v>
      </c>
      <c r="U505">
        <v>257</v>
      </c>
      <c r="V505">
        <v>689</v>
      </c>
    </row>
    <row r="506" spans="1:22">
      <c r="A506">
        <v>502</v>
      </c>
      <c r="B506" s="2">
        <v>46230</v>
      </c>
      <c r="C506" t="s">
        <v>23</v>
      </c>
      <c r="D506" t="s">
        <v>32</v>
      </c>
      <c r="E506" t="s">
        <v>47</v>
      </c>
      <c r="F506">
        <v>11</v>
      </c>
      <c r="G506">
        <v>13</v>
      </c>
      <c r="H506" t="str">
        <f t="shared" si="56"/>
        <v>Loss</v>
      </c>
      <c r="I506">
        <f t="shared" si="57"/>
        <v>0</v>
      </c>
      <c r="J506">
        <f t="shared" si="58"/>
        <v>-2</v>
      </c>
      <c r="K506">
        <f t="shared" si="59"/>
        <v>24</v>
      </c>
      <c r="L506">
        <v>14</v>
      </c>
      <c r="M506">
        <v>17</v>
      </c>
      <c r="N506">
        <v>2</v>
      </c>
      <c r="O506" s="3">
        <f t="shared" si="60"/>
        <v>0.82352941176470584</v>
      </c>
      <c r="P506" s="3">
        <f t="shared" si="61"/>
        <v>0.58333333333333337</v>
      </c>
      <c r="Q506" s="3">
        <f t="shared" si="62"/>
        <v>0.70833333333333337</v>
      </c>
      <c r="R506" s="3">
        <f t="shared" si="63"/>
        <v>8.3333333333333329E-2</v>
      </c>
      <c r="S506">
        <v>-44</v>
      </c>
      <c r="T506" s="4">
        <v>0.05</v>
      </c>
      <c r="U506">
        <v>150</v>
      </c>
      <c r="V506">
        <v>258</v>
      </c>
    </row>
    <row r="507" spans="1:22">
      <c r="A507">
        <v>503</v>
      </c>
      <c r="B507" s="2">
        <v>46229</v>
      </c>
      <c r="C507" t="s">
        <v>29</v>
      </c>
      <c r="D507" t="s">
        <v>27</v>
      </c>
      <c r="E507" t="s">
        <v>25</v>
      </c>
      <c r="F507">
        <v>13</v>
      </c>
      <c r="G507">
        <v>5</v>
      </c>
      <c r="H507" t="str">
        <f t="shared" si="56"/>
        <v>Win</v>
      </c>
      <c r="I507">
        <f t="shared" si="57"/>
        <v>1</v>
      </c>
      <c r="J507">
        <f t="shared" si="58"/>
        <v>8</v>
      </c>
      <c r="K507">
        <f t="shared" si="59"/>
        <v>18</v>
      </c>
      <c r="L507">
        <v>16</v>
      </c>
      <c r="M507">
        <v>14</v>
      </c>
      <c r="N507">
        <v>5</v>
      </c>
      <c r="O507" s="3">
        <f t="shared" si="60"/>
        <v>1.1428571428571428</v>
      </c>
      <c r="P507" s="3">
        <f t="shared" si="61"/>
        <v>0.88888888888888884</v>
      </c>
      <c r="Q507" s="3">
        <f t="shared" si="62"/>
        <v>0.77777777777777779</v>
      </c>
      <c r="R507" s="3">
        <f t="shared" si="63"/>
        <v>0.27777777777777779</v>
      </c>
      <c r="S507">
        <v>7</v>
      </c>
      <c r="T507" s="4">
        <v>0.05</v>
      </c>
      <c r="U507">
        <v>244</v>
      </c>
      <c r="V507">
        <v>741</v>
      </c>
    </row>
    <row r="508" spans="1:22">
      <c r="A508">
        <v>504</v>
      </c>
      <c r="B508" s="2">
        <v>46229</v>
      </c>
      <c r="C508" t="s">
        <v>41</v>
      </c>
      <c r="D508" t="s">
        <v>31</v>
      </c>
      <c r="E508" t="s">
        <v>49</v>
      </c>
      <c r="F508">
        <v>14</v>
      </c>
      <c r="G508">
        <v>12</v>
      </c>
      <c r="H508" t="str">
        <f t="shared" si="56"/>
        <v>Win</v>
      </c>
      <c r="I508">
        <f t="shared" si="57"/>
        <v>1</v>
      </c>
      <c r="J508">
        <f t="shared" si="58"/>
        <v>2</v>
      </c>
      <c r="K508">
        <f t="shared" si="59"/>
        <v>26</v>
      </c>
      <c r="L508">
        <v>6</v>
      </c>
      <c r="M508">
        <v>16</v>
      </c>
      <c r="N508">
        <v>4</v>
      </c>
      <c r="O508" s="3">
        <f t="shared" si="60"/>
        <v>0.375</v>
      </c>
      <c r="P508" s="3">
        <f t="shared" si="61"/>
        <v>0.23076923076923078</v>
      </c>
      <c r="Q508" s="3">
        <f t="shared" si="62"/>
        <v>0.61538461538461542</v>
      </c>
      <c r="R508" s="3">
        <f t="shared" si="63"/>
        <v>0.15384615384615385</v>
      </c>
      <c r="S508">
        <v>-46</v>
      </c>
      <c r="T508" s="4">
        <v>0.04</v>
      </c>
      <c r="U508">
        <v>91</v>
      </c>
      <c r="V508">
        <v>253</v>
      </c>
    </row>
    <row r="509" spans="1:22">
      <c r="A509">
        <v>505</v>
      </c>
      <c r="B509" s="2">
        <v>46229</v>
      </c>
      <c r="C509" t="s">
        <v>23</v>
      </c>
      <c r="D509" t="s">
        <v>32</v>
      </c>
      <c r="E509" t="s">
        <v>47</v>
      </c>
      <c r="F509">
        <v>7</v>
      </c>
      <c r="G509">
        <v>13</v>
      </c>
      <c r="H509" t="str">
        <f t="shared" si="56"/>
        <v>Loss</v>
      </c>
      <c r="I509">
        <f t="shared" si="57"/>
        <v>0</v>
      </c>
      <c r="J509">
        <f t="shared" si="58"/>
        <v>-6</v>
      </c>
      <c r="K509">
        <f t="shared" si="59"/>
        <v>20</v>
      </c>
      <c r="L509">
        <v>9</v>
      </c>
      <c r="M509">
        <v>18</v>
      </c>
      <c r="N509">
        <v>5</v>
      </c>
      <c r="O509" s="3">
        <f t="shared" si="60"/>
        <v>0.5</v>
      </c>
      <c r="P509" s="3">
        <f t="shared" si="61"/>
        <v>0.45</v>
      </c>
      <c r="Q509" s="3">
        <f t="shared" si="62"/>
        <v>0.9</v>
      </c>
      <c r="R509" s="3">
        <f t="shared" si="63"/>
        <v>0.25</v>
      </c>
      <c r="S509">
        <v>-46</v>
      </c>
      <c r="T509" s="4">
        <v>7.0000000000000007E-2</v>
      </c>
      <c r="U509">
        <v>142</v>
      </c>
      <c r="V509">
        <v>182</v>
      </c>
    </row>
    <row r="510" spans="1:22">
      <c r="A510">
        <v>506</v>
      </c>
      <c r="B510" s="2">
        <v>46229</v>
      </c>
      <c r="C510" t="s">
        <v>41</v>
      </c>
      <c r="D510" t="s">
        <v>31</v>
      </c>
      <c r="E510" t="s">
        <v>25</v>
      </c>
      <c r="F510">
        <v>13</v>
      </c>
      <c r="G510">
        <v>4</v>
      </c>
      <c r="H510" t="str">
        <f t="shared" si="56"/>
        <v>Win</v>
      </c>
      <c r="I510">
        <f t="shared" si="57"/>
        <v>1</v>
      </c>
      <c r="J510">
        <f t="shared" si="58"/>
        <v>9</v>
      </c>
      <c r="K510">
        <f t="shared" si="59"/>
        <v>17</v>
      </c>
      <c r="L510">
        <v>9</v>
      </c>
      <c r="M510">
        <v>12</v>
      </c>
      <c r="N510">
        <v>0</v>
      </c>
      <c r="O510" s="3">
        <f t="shared" si="60"/>
        <v>0.75</v>
      </c>
      <c r="P510" s="3">
        <f t="shared" si="61"/>
        <v>0.52941176470588236</v>
      </c>
      <c r="Q510" s="3">
        <f t="shared" si="62"/>
        <v>0.70588235294117652</v>
      </c>
      <c r="R510" s="3">
        <f t="shared" si="63"/>
        <v>0</v>
      </c>
      <c r="S510">
        <v>-45</v>
      </c>
      <c r="T510" s="4">
        <v>0.08</v>
      </c>
      <c r="U510">
        <v>132</v>
      </c>
      <c r="V510">
        <v>395</v>
      </c>
    </row>
    <row r="511" spans="1:22">
      <c r="A511">
        <v>507</v>
      </c>
      <c r="B511" s="2">
        <v>46229</v>
      </c>
      <c r="C511" t="s">
        <v>26</v>
      </c>
      <c r="D511" t="s">
        <v>32</v>
      </c>
      <c r="E511" t="s">
        <v>25</v>
      </c>
      <c r="F511">
        <v>8</v>
      </c>
      <c r="G511">
        <v>13</v>
      </c>
      <c r="H511" t="str">
        <f t="shared" si="56"/>
        <v>Loss</v>
      </c>
      <c r="I511">
        <f t="shared" si="57"/>
        <v>0</v>
      </c>
      <c r="J511">
        <f t="shared" si="58"/>
        <v>-5</v>
      </c>
      <c r="K511">
        <f t="shared" si="59"/>
        <v>21</v>
      </c>
      <c r="L511">
        <v>7</v>
      </c>
      <c r="M511">
        <v>18</v>
      </c>
      <c r="N511">
        <v>4</v>
      </c>
      <c r="O511" s="3">
        <f t="shared" si="60"/>
        <v>0.3888888888888889</v>
      </c>
      <c r="P511" s="3">
        <f t="shared" si="61"/>
        <v>0.33333333333333331</v>
      </c>
      <c r="Q511" s="3">
        <f t="shared" si="62"/>
        <v>0.8571428571428571</v>
      </c>
      <c r="R511" s="3">
        <f t="shared" si="63"/>
        <v>0.19047619047619047</v>
      </c>
      <c r="S511">
        <v>-63</v>
      </c>
      <c r="T511" s="4">
        <v>0.11</v>
      </c>
      <c r="U511">
        <v>112</v>
      </c>
      <c r="V511">
        <v>145</v>
      </c>
    </row>
    <row r="512" spans="1:22">
      <c r="A512">
        <v>508</v>
      </c>
      <c r="B512" s="2">
        <v>46229</v>
      </c>
      <c r="C512" t="s">
        <v>40</v>
      </c>
      <c r="D512" t="s">
        <v>42</v>
      </c>
      <c r="E512" t="s">
        <v>25</v>
      </c>
      <c r="F512">
        <v>13</v>
      </c>
      <c r="G512">
        <v>6</v>
      </c>
      <c r="H512" t="str">
        <f t="shared" si="56"/>
        <v>Win</v>
      </c>
      <c r="I512">
        <f t="shared" si="57"/>
        <v>1</v>
      </c>
      <c r="J512">
        <f t="shared" si="58"/>
        <v>7</v>
      </c>
      <c r="K512">
        <f t="shared" si="59"/>
        <v>19</v>
      </c>
      <c r="L512">
        <v>18</v>
      </c>
      <c r="M512">
        <v>11</v>
      </c>
      <c r="N512">
        <v>6</v>
      </c>
      <c r="O512" s="3">
        <f t="shared" si="60"/>
        <v>1.6363636363636365</v>
      </c>
      <c r="P512" s="3">
        <f t="shared" si="61"/>
        <v>0.94736842105263153</v>
      </c>
      <c r="Q512" s="3">
        <f t="shared" si="62"/>
        <v>0.57894736842105265</v>
      </c>
      <c r="R512" s="3">
        <f t="shared" si="63"/>
        <v>0.31578947368421051</v>
      </c>
      <c r="S512">
        <v>74</v>
      </c>
      <c r="T512" s="4">
        <v>0.13</v>
      </c>
      <c r="U512">
        <v>278</v>
      </c>
      <c r="V512">
        <v>917</v>
      </c>
    </row>
    <row r="513" spans="1:22">
      <c r="A513">
        <v>509</v>
      </c>
      <c r="B513" s="2">
        <v>46229</v>
      </c>
      <c r="C513" t="s">
        <v>23</v>
      </c>
      <c r="D513" t="s">
        <v>32</v>
      </c>
      <c r="E513" t="s">
        <v>47</v>
      </c>
      <c r="F513">
        <v>13</v>
      </c>
      <c r="G513">
        <v>10</v>
      </c>
      <c r="H513" t="str">
        <f t="shared" si="56"/>
        <v>Win</v>
      </c>
      <c r="I513">
        <f t="shared" si="57"/>
        <v>1</v>
      </c>
      <c r="J513">
        <f t="shared" si="58"/>
        <v>3</v>
      </c>
      <c r="K513">
        <f t="shared" si="59"/>
        <v>23</v>
      </c>
      <c r="L513">
        <v>11</v>
      </c>
      <c r="M513">
        <v>15</v>
      </c>
      <c r="N513">
        <v>5</v>
      </c>
      <c r="O513" s="3">
        <f t="shared" si="60"/>
        <v>0.73333333333333328</v>
      </c>
      <c r="P513" s="3">
        <f t="shared" si="61"/>
        <v>0.47826086956521741</v>
      </c>
      <c r="Q513" s="3">
        <f t="shared" si="62"/>
        <v>0.65217391304347827</v>
      </c>
      <c r="R513" s="3">
        <f t="shared" si="63"/>
        <v>0.21739130434782608</v>
      </c>
      <c r="S513">
        <v>-39</v>
      </c>
      <c r="T513" s="4">
        <v>0.1</v>
      </c>
      <c r="U513">
        <v>138</v>
      </c>
      <c r="V513">
        <v>294</v>
      </c>
    </row>
    <row r="514" spans="1:22">
      <c r="A514">
        <v>510</v>
      </c>
      <c r="B514" s="2">
        <v>46229</v>
      </c>
      <c r="C514" t="s">
        <v>29</v>
      </c>
      <c r="D514" t="s">
        <v>36</v>
      </c>
      <c r="E514" t="s">
        <v>25</v>
      </c>
      <c r="F514">
        <v>5</v>
      </c>
      <c r="G514">
        <v>13</v>
      </c>
      <c r="H514" t="str">
        <f t="shared" si="56"/>
        <v>Loss</v>
      </c>
      <c r="I514">
        <f t="shared" si="57"/>
        <v>0</v>
      </c>
      <c r="J514">
        <f t="shared" si="58"/>
        <v>-8</v>
      </c>
      <c r="K514">
        <f t="shared" si="59"/>
        <v>18</v>
      </c>
      <c r="L514">
        <v>12</v>
      </c>
      <c r="M514">
        <v>14</v>
      </c>
      <c r="N514">
        <v>0</v>
      </c>
      <c r="O514" s="3">
        <f t="shared" si="60"/>
        <v>0.8571428571428571</v>
      </c>
      <c r="P514" s="3">
        <f t="shared" si="61"/>
        <v>0.66666666666666663</v>
      </c>
      <c r="Q514" s="3">
        <f t="shared" si="62"/>
        <v>0.77777777777777779</v>
      </c>
      <c r="R514" s="3">
        <f t="shared" si="63"/>
        <v>0</v>
      </c>
      <c r="S514">
        <v>-4</v>
      </c>
      <c r="T514" s="4">
        <v>7.0000000000000007E-2</v>
      </c>
      <c r="U514">
        <v>201</v>
      </c>
      <c r="V514">
        <v>317</v>
      </c>
    </row>
    <row r="515" spans="1:22">
      <c r="A515">
        <v>511</v>
      </c>
      <c r="B515" s="2">
        <v>46228</v>
      </c>
      <c r="C515" t="s">
        <v>26</v>
      </c>
      <c r="D515" t="s">
        <v>24</v>
      </c>
      <c r="E515" t="s">
        <v>38</v>
      </c>
      <c r="F515">
        <v>4</v>
      </c>
      <c r="G515">
        <v>13</v>
      </c>
      <c r="H515" t="str">
        <f t="shared" si="56"/>
        <v>Loss</v>
      </c>
      <c r="I515">
        <f t="shared" si="57"/>
        <v>0</v>
      </c>
      <c r="J515">
        <f t="shared" si="58"/>
        <v>-9</v>
      </c>
      <c r="K515">
        <f t="shared" si="59"/>
        <v>17</v>
      </c>
      <c r="L515">
        <v>8</v>
      </c>
      <c r="M515">
        <v>16</v>
      </c>
      <c r="N515">
        <v>5</v>
      </c>
      <c r="O515" s="3">
        <f t="shared" si="60"/>
        <v>0.5</v>
      </c>
      <c r="P515" s="3">
        <f t="shared" si="61"/>
        <v>0.47058823529411764</v>
      </c>
      <c r="Q515" s="3">
        <f t="shared" si="62"/>
        <v>0.94117647058823528</v>
      </c>
      <c r="R515" s="3">
        <f t="shared" si="63"/>
        <v>0.29411764705882354</v>
      </c>
      <c r="S515">
        <v>-45</v>
      </c>
      <c r="T515" s="4">
        <v>0.08</v>
      </c>
      <c r="U515">
        <v>133</v>
      </c>
      <c r="V515">
        <v>166</v>
      </c>
    </row>
    <row r="516" spans="1:22">
      <c r="A516">
        <v>512</v>
      </c>
      <c r="B516" s="2">
        <v>46228</v>
      </c>
      <c r="C516" t="s">
        <v>29</v>
      </c>
      <c r="D516" t="s">
        <v>27</v>
      </c>
      <c r="E516" t="s">
        <v>25</v>
      </c>
      <c r="F516">
        <v>9</v>
      </c>
      <c r="G516">
        <v>13</v>
      </c>
      <c r="H516" t="str">
        <f t="shared" si="56"/>
        <v>Loss</v>
      </c>
      <c r="I516">
        <f t="shared" si="57"/>
        <v>0</v>
      </c>
      <c r="J516">
        <f t="shared" si="58"/>
        <v>-4</v>
      </c>
      <c r="K516">
        <f t="shared" si="59"/>
        <v>22</v>
      </c>
      <c r="L516">
        <v>17</v>
      </c>
      <c r="M516">
        <v>18</v>
      </c>
      <c r="N516">
        <v>5</v>
      </c>
      <c r="O516" s="3">
        <f t="shared" si="60"/>
        <v>0.94444444444444442</v>
      </c>
      <c r="P516" s="3">
        <f t="shared" si="61"/>
        <v>0.77272727272727271</v>
      </c>
      <c r="Q516" s="3">
        <f t="shared" si="62"/>
        <v>0.81818181818181823</v>
      </c>
      <c r="R516" s="3">
        <f t="shared" si="63"/>
        <v>0.22727272727272727</v>
      </c>
      <c r="S516">
        <v>-18</v>
      </c>
      <c r="T516" s="4">
        <v>7.0000000000000007E-2</v>
      </c>
      <c r="U516">
        <v>207</v>
      </c>
      <c r="V516">
        <v>411</v>
      </c>
    </row>
    <row r="517" spans="1:22">
      <c r="A517">
        <v>513</v>
      </c>
      <c r="B517" s="2">
        <v>46228</v>
      </c>
      <c r="C517" t="s">
        <v>40</v>
      </c>
      <c r="D517" t="s">
        <v>27</v>
      </c>
      <c r="E517" t="s">
        <v>45</v>
      </c>
      <c r="F517">
        <v>13</v>
      </c>
      <c r="G517">
        <v>3</v>
      </c>
      <c r="H517" t="str">
        <f t="shared" ref="H517:H580" si="64">IF(F517&gt;G517,"Win",IF(F517&lt;G517,"Loss","Draw"))</f>
        <v>Win</v>
      </c>
      <c r="I517">
        <f t="shared" ref="I517:I580" si="65">IF(H517="Win",1,0)</f>
        <v>1</v>
      </c>
      <c r="J517">
        <f t="shared" ref="J517:J580" si="66">F517-G517</f>
        <v>10</v>
      </c>
      <c r="K517">
        <f t="shared" ref="K517:K580" si="67">F517+G517</f>
        <v>16</v>
      </c>
      <c r="L517">
        <v>11</v>
      </c>
      <c r="M517">
        <v>9</v>
      </c>
      <c r="N517">
        <v>6</v>
      </c>
      <c r="O517" s="3">
        <f t="shared" ref="O517:O580" si="68">IFERROR(L517/M517,0)</f>
        <v>1.2222222222222223</v>
      </c>
      <c r="P517" s="3">
        <f t="shared" ref="P517:P580" si="69">IFERROR(L517/K517,0)</f>
        <v>0.6875</v>
      </c>
      <c r="Q517" s="3">
        <f t="shared" ref="Q517:Q580" si="70">IFERROR(M517/K517,0)</f>
        <v>0.5625</v>
      </c>
      <c r="R517" s="3">
        <f t="shared" ref="R517:R580" si="71">IFERROR(N517/K517,0)</f>
        <v>0.375</v>
      </c>
      <c r="S517">
        <v>24</v>
      </c>
      <c r="T517" s="4">
        <v>0.15</v>
      </c>
      <c r="U517">
        <v>184</v>
      </c>
      <c r="V517">
        <v>694</v>
      </c>
    </row>
    <row r="518" spans="1:22">
      <c r="A518">
        <v>514</v>
      </c>
      <c r="B518" s="2">
        <v>46228</v>
      </c>
      <c r="C518" t="s">
        <v>41</v>
      </c>
      <c r="D518" t="s">
        <v>24</v>
      </c>
      <c r="E518" t="s">
        <v>38</v>
      </c>
      <c r="F518">
        <v>13</v>
      </c>
      <c r="G518">
        <v>9</v>
      </c>
      <c r="H518" t="str">
        <f t="shared" si="64"/>
        <v>Win</v>
      </c>
      <c r="I518">
        <f t="shared" si="65"/>
        <v>1</v>
      </c>
      <c r="J518">
        <f t="shared" si="66"/>
        <v>4</v>
      </c>
      <c r="K518">
        <f t="shared" si="67"/>
        <v>22</v>
      </c>
      <c r="L518">
        <v>11</v>
      </c>
      <c r="M518">
        <v>18</v>
      </c>
      <c r="N518">
        <v>7</v>
      </c>
      <c r="O518" s="3">
        <f t="shared" si="68"/>
        <v>0.61111111111111116</v>
      </c>
      <c r="P518" s="3">
        <f t="shared" si="69"/>
        <v>0.5</v>
      </c>
      <c r="Q518" s="3">
        <f t="shared" si="70"/>
        <v>0.81818181818181823</v>
      </c>
      <c r="R518" s="3">
        <f t="shared" si="71"/>
        <v>0.31818181818181818</v>
      </c>
      <c r="S518">
        <v>-17</v>
      </c>
      <c r="T518" s="4">
        <v>0.11</v>
      </c>
      <c r="U518">
        <v>162</v>
      </c>
      <c r="V518">
        <v>506</v>
      </c>
    </row>
    <row r="519" spans="1:22">
      <c r="A519">
        <v>515</v>
      </c>
      <c r="B519" s="2">
        <v>46228</v>
      </c>
      <c r="C519" t="s">
        <v>34</v>
      </c>
      <c r="D519" t="s">
        <v>24</v>
      </c>
      <c r="E519" t="s">
        <v>25</v>
      </c>
      <c r="F519">
        <v>6</v>
      </c>
      <c r="G519">
        <v>13</v>
      </c>
      <c r="H519" t="str">
        <f t="shared" si="64"/>
        <v>Loss</v>
      </c>
      <c r="I519">
        <f t="shared" si="65"/>
        <v>0</v>
      </c>
      <c r="J519">
        <f t="shared" si="66"/>
        <v>-7</v>
      </c>
      <c r="K519">
        <f t="shared" si="67"/>
        <v>19</v>
      </c>
      <c r="L519">
        <v>8</v>
      </c>
      <c r="M519">
        <v>16</v>
      </c>
      <c r="N519">
        <v>4</v>
      </c>
      <c r="O519" s="3">
        <f t="shared" si="68"/>
        <v>0.5</v>
      </c>
      <c r="P519" s="3">
        <f t="shared" si="69"/>
        <v>0.42105263157894735</v>
      </c>
      <c r="Q519" s="3">
        <f t="shared" si="70"/>
        <v>0.84210526315789469</v>
      </c>
      <c r="R519" s="3">
        <f t="shared" si="71"/>
        <v>0.21052631578947367</v>
      </c>
      <c r="S519">
        <v>-24</v>
      </c>
      <c r="T519" s="4">
        <v>0.05</v>
      </c>
      <c r="U519">
        <v>148</v>
      </c>
      <c r="V519">
        <v>194</v>
      </c>
    </row>
    <row r="520" spans="1:22">
      <c r="A520">
        <v>516</v>
      </c>
      <c r="B520" s="2">
        <v>46228</v>
      </c>
      <c r="C520" t="s">
        <v>40</v>
      </c>
      <c r="D520" t="s">
        <v>37</v>
      </c>
      <c r="E520" t="s">
        <v>25</v>
      </c>
      <c r="F520">
        <v>14</v>
      </c>
      <c r="G520">
        <v>12</v>
      </c>
      <c r="H520" t="str">
        <f t="shared" si="64"/>
        <v>Win</v>
      </c>
      <c r="I520">
        <f t="shared" si="65"/>
        <v>1</v>
      </c>
      <c r="J520">
        <f t="shared" si="66"/>
        <v>2</v>
      </c>
      <c r="K520">
        <f t="shared" si="67"/>
        <v>26</v>
      </c>
      <c r="L520">
        <v>19</v>
      </c>
      <c r="M520">
        <v>20</v>
      </c>
      <c r="N520">
        <v>10</v>
      </c>
      <c r="O520" s="3">
        <f t="shared" si="68"/>
        <v>0.95</v>
      </c>
      <c r="P520" s="3">
        <f t="shared" si="69"/>
        <v>0.73076923076923073</v>
      </c>
      <c r="Q520" s="3">
        <f t="shared" si="70"/>
        <v>0.76923076923076927</v>
      </c>
      <c r="R520" s="3">
        <f t="shared" si="71"/>
        <v>0.38461538461538464</v>
      </c>
      <c r="S520">
        <v>-7</v>
      </c>
      <c r="T520" s="4">
        <v>0.06</v>
      </c>
      <c r="U520">
        <v>219</v>
      </c>
      <c r="V520">
        <v>592</v>
      </c>
    </row>
    <row r="521" spans="1:22">
      <c r="A521">
        <v>517</v>
      </c>
      <c r="B521" s="2">
        <v>46227</v>
      </c>
      <c r="C521" t="s">
        <v>29</v>
      </c>
      <c r="D521" t="s">
        <v>32</v>
      </c>
      <c r="E521" t="s">
        <v>25</v>
      </c>
      <c r="F521">
        <v>8</v>
      </c>
      <c r="G521">
        <v>13</v>
      </c>
      <c r="H521" t="str">
        <f t="shared" si="64"/>
        <v>Loss</v>
      </c>
      <c r="I521">
        <f t="shared" si="65"/>
        <v>0</v>
      </c>
      <c r="J521">
        <f t="shared" si="66"/>
        <v>-5</v>
      </c>
      <c r="K521">
        <f t="shared" si="67"/>
        <v>21</v>
      </c>
      <c r="L521">
        <v>9</v>
      </c>
      <c r="M521">
        <v>18</v>
      </c>
      <c r="N521">
        <v>1</v>
      </c>
      <c r="O521" s="3">
        <f t="shared" si="68"/>
        <v>0.5</v>
      </c>
      <c r="P521" s="3">
        <f t="shared" si="69"/>
        <v>0.42857142857142855</v>
      </c>
      <c r="Q521" s="3">
        <f t="shared" si="70"/>
        <v>0.8571428571428571</v>
      </c>
      <c r="R521" s="3">
        <f t="shared" si="71"/>
        <v>4.7619047619047616E-2</v>
      </c>
      <c r="S521">
        <v>-53</v>
      </c>
      <c r="T521" s="4">
        <v>0.15</v>
      </c>
      <c r="U521">
        <v>132</v>
      </c>
      <c r="V521">
        <v>161</v>
      </c>
    </row>
    <row r="522" spans="1:22">
      <c r="A522">
        <v>518</v>
      </c>
      <c r="B522" s="2">
        <v>46227</v>
      </c>
      <c r="C522" t="s">
        <v>34</v>
      </c>
      <c r="D522" t="s">
        <v>27</v>
      </c>
      <c r="E522" t="s">
        <v>51</v>
      </c>
      <c r="F522">
        <v>4</v>
      </c>
      <c r="G522">
        <v>13</v>
      </c>
      <c r="H522" t="str">
        <f t="shared" si="64"/>
        <v>Loss</v>
      </c>
      <c r="I522">
        <f t="shared" si="65"/>
        <v>0</v>
      </c>
      <c r="J522">
        <f t="shared" si="66"/>
        <v>-9</v>
      </c>
      <c r="K522">
        <f t="shared" si="67"/>
        <v>17</v>
      </c>
      <c r="L522">
        <v>12</v>
      </c>
      <c r="M522">
        <v>15</v>
      </c>
      <c r="N522">
        <v>1</v>
      </c>
      <c r="O522" s="3">
        <f t="shared" si="68"/>
        <v>0.8</v>
      </c>
      <c r="P522" s="3">
        <f t="shared" si="69"/>
        <v>0.70588235294117652</v>
      </c>
      <c r="Q522" s="3">
        <f t="shared" si="70"/>
        <v>0.88235294117647056</v>
      </c>
      <c r="R522" s="3">
        <f t="shared" si="71"/>
        <v>5.8823529411764705E-2</v>
      </c>
      <c r="S522">
        <v>-22</v>
      </c>
      <c r="T522" s="4">
        <v>0.04</v>
      </c>
      <c r="U522">
        <v>208</v>
      </c>
      <c r="V522">
        <v>364</v>
      </c>
    </row>
    <row r="523" spans="1:22">
      <c r="A523">
        <v>519</v>
      </c>
      <c r="B523" s="2">
        <v>46227</v>
      </c>
      <c r="C523" t="s">
        <v>29</v>
      </c>
      <c r="D523" t="s">
        <v>24</v>
      </c>
      <c r="E523" t="s">
        <v>38</v>
      </c>
      <c r="F523">
        <v>9</v>
      </c>
      <c r="G523">
        <v>13</v>
      </c>
      <c r="H523" t="str">
        <f t="shared" si="64"/>
        <v>Loss</v>
      </c>
      <c r="I523">
        <f t="shared" si="65"/>
        <v>0</v>
      </c>
      <c r="J523">
        <f t="shared" si="66"/>
        <v>-4</v>
      </c>
      <c r="K523">
        <f t="shared" si="67"/>
        <v>22</v>
      </c>
      <c r="L523">
        <v>14</v>
      </c>
      <c r="M523">
        <v>18</v>
      </c>
      <c r="N523">
        <v>2</v>
      </c>
      <c r="O523" s="3">
        <f t="shared" si="68"/>
        <v>0.77777777777777779</v>
      </c>
      <c r="P523" s="3">
        <f t="shared" si="69"/>
        <v>0.63636363636363635</v>
      </c>
      <c r="Q523" s="3">
        <f t="shared" si="70"/>
        <v>0.81818181818181823</v>
      </c>
      <c r="R523" s="3">
        <f t="shared" si="71"/>
        <v>9.0909090909090912E-2</v>
      </c>
      <c r="S523">
        <v>-28</v>
      </c>
      <c r="T523" s="4">
        <v>0.16</v>
      </c>
      <c r="U523">
        <v>175</v>
      </c>
      <c r="V523">
        <v>265</v>
      </c>
    </row>
    <row r="524" spans="1:22">
      <c r="A524">
        <v>520</v>
      </c>
      <c r="B524" s="2">
        <v>46227</v>
      </c>
      <c r="C524" t="s">
        <v>23</v>
      </c>
      <c r="D524" t="s">
        <v>37</v>
      </c>
      <c r="E524" t="s">
        <v>39</v>
      </c>
      <c r="F524">
        <v>13</v>
      </c>
      <c r="G524">
        <v>11</v>
      </c>
      <c r="H524" t="str">
        <f t="shared" si="64"/>
        <v>Win</v>
      </c>
      <c r="I524">
        <f t="shared" si="65"/>
        <v>1</v>
      </c>
      <c r="J524">
        <f t="shared" si="66"/>
        <v>2</v>
      </c>
      <c r="K524">
        <f t="shared" si="67"/>
        <v>24</v>
      </c>
      <c r="L524">
        <v>20</v>
      </c>
      <c r="M524">
        <v>21</v>
      </c>
      <c r="N524">
        <v>2</v>
      </c>
      <c r="O524" s="3">
        <f t="shared" si="68"/>
        <v>0.95238095238095233</v>
      </c>
      <c r="P524" s="3">
        <f t="shared" si="69"/>
        <v>0.83333333333333337</v>
      </c>
      <c r="Q524" s="3">
        <f t="shared" si="70"/>
        <v>0.875</v>
      </c>
      <c r="R524" s="3">
        <f t="shared" si="71"/>
        <v>8.3333333333333329E-2</v>
      </c>
      <c r="S524">
        <v>4</v>
      </c>
      <c r="T524" s="4">
        <v>0.09</v>
      </c>
      <c r="U524">
        <v>232</v>
      </c>
      <c r="V524">
        <v>572</v>
      </c>
    </row>
    <row r="525" spans="1:22">
      <c r="A525">
        <v>521</v>
      </c>
      <c r="B525" s="2">
        <v>46227</v>
      </c>
      <c r="C525" t="s">
        <v>54</v>
      </c>
      <c r="D525" t="s">
        <v>32</v>
      </c>
      <c r="E525" t="s">
        <v>25</v>
      </c>
      <c r="F525">
        <v>12</v>
      </c>
      <c r="G525">
        <v>14</v>
      </c>
      <c r="H525" t="str">
        <f t="shared" si="64"/>
        <v>Loss</v>
      </c>
      <c r="I525">
        <f t="shared" si="65"/>
        <v>0</v>
      </c>
      <c r="J525">
        <f t="shared" si="66"/>
        <v>-2</v>
      </c>
      <c r="K525">
        <f t="shared" si="67"/>
        <v>26</v>
      </c>
      <c r="L525">
        <v>15</v>
      </c>
      <c r="M525">
        <v>20</v>
      </c>
      <c r="N525">
        <v>5</v>
      </c>
      <c r="O525" s="3">
        <f t="shared" si="68"/>
        <v>0.75</v>
      </c>
      <c r="P525" s="3">
        <f t="shared" si="69"/>
        <v>0.57692307692307687</v>
      </c>
      <c r="Q525" s="3">
        <f t="shared" si="70"/>
        <v>0.76923076923076927</v>
      </c>
      <c r="R525" s="3">
        <f t="shared" si="71"/>
        <v>0.19230769230769232</v>
      </c>
      <c r="S525">
        <v>-13</v>
      </c>
      <c r="T525" s="4">
        <v>0.11</v>
      </c>
      <c r="U525">
        <v>172</v>
      </c>
      <c r="V525">
        <v>374</v>
      </c>
    </row>
    <row r="526" spans="1:22">
      <c r="A526">
        <v>522</v>
      </c>
      <c r="B526" s="2">
        <v>46227</v>
      </c>
      <c r="C526" t="s">
        <v>40</v>
      </c>
      <c r="D526" t="s">
        <v>37</v>
      </c>
      <c r="E526" t="s">
        <v>25</v>
      </c>
      <c r="F526">
        <v>13</v>
      </c>
      <c r="G526">
        <v>4</v>
      </c>
      <c r="H526" t="str">
        <f t="shared" si="64"/>
        <v>Win</v>
      </c>
      <c r="I526">
        <f t="shared" si="65"/>
        <v>1</v>
      </c>
      <c r="J526">
        <f t="shared" si="66"/>
        <v>9</v>
      </c>
      <c r="K526">
        <f t="shared" si="67"/>
        <v>17</v>
      </c>
      <c r="L526">
        <v>13</v>
      </c>
      <c r="M526">
        <v>13</v>
      </c>
      <c r="N526">
        <v>9</v>
      </c>
      <c r="O526" s="3">
        <f t="shared" si="68"/>
        <v>1</v>
      </c>
      <c r="P526" s="3">
        <f t="shared" si="69"/>
        <v>0.76470588235294112</v>
      </c>
      <c r="Q526" s="3">
        <f t="shared" si="70"/>
        <v>0.76470588235294112</v>
      </c>
      <c r="R526" s="3">
        <f t="shared" si="71"/>
        <v>0.52941176470588236</v>
      </c>
      <c r="S526">
        <v>23</v>
      </c>
      <c r="T526" s="4">
        <v>0.12</v>
      </c>
      <c r="U526">
        <v>231</v>
      </c>
      <c r="V526">
        <v>782</v>
      </c>
    </row>
    <row r="527" spans="1:22">
      <c r="A527">
        <v>523</v>
      </c>
      <c r="B527" s="2">
        <v>46226</v>
      </c>
      <c r="C527" t="s">
        <v>54</v>
      </c>
      <c r="D527" t="s">
        <v>36</v>
      </c>
      <c r="E527" t="s">
        <v>47</v>
      </c>
      <c r="F527">
        <v>10</v>
      </c>
      <c r="G527">
        <v>13</v>
      </c>
      <c r="H527" t="str">
        <f t="shared" si="64"/>
        <v>Loss</v>
      </c>
      <c r="I527">
        <f t="shared" si="65"/>
        <v>0</v>
      </c>
      <c r="J527">
        <f t="shared" si="66"/>
        <v>-3</v>
      </c>
      <c r="K527">
        <f t="shared" si="67"/>
        <v>23</v>
      </c>
      <c r="L527">
        <v>12</v>
      </c>
      <c r="M527">
        <v>18</v>
      </c>
      <c r="N527">
        <v>4</v>
      </c>
      <c r="O527" s="3">
        <f t="shared" si="68"/>
        <v>0.66666666666666663</v>
      </c>
      <c r="P527" s="3">
        <f t="shared" si="69"/>
        <v>0.52173913043478259</v>
      </c>
      <c r="Q527" s="3">
        <f t="shared" si="70"/>
        <v>0.78260869565217395</v>
      </c>
      <c r="R527" s="3">
        <f t="shared" si="71"/>
        <v>0.17391304347826086</v>
      </c>
      <c r="S527">
        <v>-21</v>
      </c>
      <c r="T527" s="4">
        <v>0.08</v>
      </c>
      <c r="U527">
        <v>156</v>
      </c>
      <c r="V527">
        <v>294</v>
      </c>
    </row>
    <row r="528" spans="1:22">
      <c r="A528">
        <v>524</v>
      </c>
      <c r="B528" s="2">
        <v>46226</v>
      </c>
      <c r="C528" t="s">
        <v>41</v>
      </c>
      <c r="D528" t="s">
        <v>27</v>
      </c>
      <c r="E528" t="s">
        <v>47</v>
      </c>
      <c r="F528">
        <v>4</v>
      </c>
      <c r="G528">
        <v>13</v>
      </c>
      <c r="H528" t="str">
        <f t="shared" si="64"/>
        <v>Loss</v>
      </c>
      <c r="I528">
        <f t="shared" si="65"/>
        <v>0</v>
      </c>
      <c r="J528">
        <f t="shared" si="66"/>
        <v>-9</v>
      </c>
      <c r="K528">
        <f t="shared" si="67"/>
        <v>17</v>
      </c>
      <c r="L528">
        <v>10</v>
      </c>
      <c r="M528">
        <v>16</v>
      </c>
      <c r="N528">
        <v>1</v>
      </c>
      <c r="O528" s="3">
        <f t="shared" si="68"/>
        <v>0.625</v>
      </c>
      <c r="P528" s="3">
        <f t="shared" si="69"/>
        <v>0.58823529411764708</v>
      </c>
      <c r="Q528" s="3">
        <f t="shared" si="70"/>
        <v>0.94117647058823528</v>
      </c>
      <c r="R528" s="3">
        <f t="shared" si="71"/>
        <v>5.8823529411764705E-2</v>
      </c>
      <c r="S528">
        <v>-20</v>
      </c>
      <c r="T528" s="4">
        <v>0.03</v>
      </c>
      <c r="U528">
        <v>187</v>
      </c>
      <c r="V528">
        <v>267</v>
      </c>
    </row>
    <row r="529" spans="1:22">
      <c r="A529">
        <v>525</v>
      </c>
      <c r="B529" s="2">
        <v>46226</v>
      </c>
      <c r="C529" t="s">
        <v>29</v>
      </c>
      <c r="D529" t="s">
        <v>32</v>
      </c>
      <c r="E529" t="s">
        <v>47</v>
      </c>
      <c r="F529">
        <v>2</v>
      </c>
      <c r="G529">
        <v>6</v>
      </c>
      <c r="H529" t="str">
        <f t="shared" si="64"/>
        <v>Loss</v>
      </c>
      <c r="I529">
        <f t="shared" si="65"/>
        <v>0</v>
      </c>
      <c r="J529">
        <f t="shared" si="66"/>
        <v>-4</v>
      </c>
      <c r="K529">
        <f t="shared" si="67"/>
        <v>8</v>
      </c>
      <c r="L529">
        <v>5</v>
      </c>
      <c r="M529">
        <v>6</v>
      </c>
      <c r="N529">
        <v>1</v>
      </c>
      <c r="O529" s="3">
        <f t="shared" si="68"/>
        <v>0.83333333333333337</v>
      </c>
      <c r="P529" s="3">
        <f t="shared" si="69"/>
        <v>0.625</v>
      </c>
      <c r="Q529" s="3">
        <f t="shared" si="70"/>
        <v>0.75</v>
      </c>
      <c r="R529" s="3">
        <f t="shared" si="71"/>
        <v>0.125</v>
      </c>
      <c r="S529">
        <v>-44</v>
      </c>
      <c r="T529" s="4">
        <v>0.1</v>
      </c>
      <c r="U529">
        <v>159</v>
      </c>
      <c r="V529">
        <v>223</v>
      </c>
    </row>
    <row r="530" spans="1:22">
      <c r="A530">
        <v>526</v>
      </c>
      <c r="B530" s="2">
        <v>46225</v>
      </c>
      <c r="C530" t="s">
        <v>40</v>
      </c>
      <c r="D530" t="s">
        <v>31</v>
      </c>
      <c r="E530" t="s">
        <v>47</v>
      </c>
      <c r="F530">
        <v>9</v>
      </c>
      <c r="G530">
        <v>13</v>
      </c>
      <c r="H530" t="str">
        <f t="shared" si="64"/>
        <v>Loss</v>
      </c>
      <c r="I530">
        <f t="shared" si="65"/>
        <v>0</v>
      </c>
      <c r="J530">
        <f t="shared" si="66"/>
        <v>-4</v>
      </c>
      <c r="K530">
        <f t="shared" si="67"/>
        <v>22</v>
      </c>
      <c r="L530">
        <v>8</v>
      </c>
      <c r="M530">
        <v>19</v>
      </c>
      <c r="N530">
        <v>3</v>
      </c>
      <c r="O530" s="3">
        <f t="shared" si="68"/>
        <v>0.42105263157894735</v>
      </c>
      <c r="P530" s="3">
        <f t="shared" si="69"/>
        <v>0.36363636363636365</v>
      </c>
      <c r="Q530" s="3">
        <f t="shared" si="70"/>
        <v>0.86363636363636365</v>
      </c>
      <c r="R530" s="3">
        <f t="shared" si="71"/>
        <v>0.13636363636363635</v>
      </c>
      <c r="S530">
        <v>-52</v>
      </c>
      <c r="T530" s="4">
        <v>0.09</v>
      </c>
      <c r="U530">
        <v>119</v>
      </c>
      <c r="V530">
        <v>172</v>
      </c>
    </row>
    <row r="531" spans="1:22">
      <c r="A531">
        <v>527</v>
      </c>
      <c r="B531" s="2">
        <v>46225</v>
      </c>
      <c r="C531" t="s">
        <v>34</v>
      </c>
      <c r="D531" t="s">
        <v>30</v>
      </c>
      <c r="E531" t="s">
        <v>25</v>
      </c>
      <c r="F531">
        <v>11</v>
      </c>
      <c r="G531">
        <v>13</v>
      </c>
      <c r="H531" t="str">
        <f t="shared" si="64"/>
        <v>Loss</v>
      </c>
      <c r="I531">
        <f t="shared" si="65"/>
        <v>0</v>
      </c>
      <c r="J531">
        <f t="shared" si="66"/>
        <v>-2</v>
      </c>
      <c r="K531">
        <f t="shared" si="67"/>
        <v>24</v>
      </c>
      <c r="L531">
        <v>11</v>
      </c>
      <c r="M531">
        <v>16</v>
      </c>
      <c r="N531">
        <v>6</v>
      </c>
      <c r="O531" s="3">
        <f t="shared" si="68"/>
        <v>0.6875</v>
      </c>
      <c r="P531" s="3">
        <f t="shared" si="69"/>
        <v>0.45833333333333331</v>
      </c>
      <c r="Q531" s="3">
        <f t="shared" si="70"/>
        <v>0.66666666666666663</v>
      </c>
      <c r="R531" s="3">
        <f t="shared" si="71"/>
        <v>0.25</v>
      </c>
      <c r="S531">
        <v>3</v>
      </c>
      <c r="T531" s="4">
        <v>0.08</v>
      </c>
      <c r="U531">
        <v>152</v>
      </c>
      <c r="V531">
        <v>487</v>
      </c>
    </row>
    <row r="532" spans="1:22">
      <c r="A532">
        <v>528</v>
      </c>
      <c r="B532" s="2">
        <v>46225</v>
      </c>
      <c r="C532" t="s">
        <v>41</v>
      </c>
      <c r="D532" t="s">
        <v>30</v>
      </c>
      <c r="E532" t="s">
        <v>38</v>
      </c>
      <c r="F532">
        <v>9</v>
      </c>
      <c r="G532">
        <v>13</v>
      </c>
      <c r="H532" t="str">
        <f t="shared" si="64"/>
        <v>Loss</v>
      </c>
      <c r="I532">
        <f t="shared" si="65"/>
        <v>0</v>
      </c>
      <c r="J532">
        <f t="shared" si="66"/>
        <v>-4</v>
      </c>
      <c r="K532">
        <f t="shared" si="67"/>
        <v>22</v>
      </c>
      <c r="L532">
        <v>11</v>
      </c>
      <c r="M532">
        <v>19</v>
      </c>
      <c r="N532">
        <v>7</v>
      </c>
      <c r="O532" s="3">
        <f t="shared" si="68"/>
        <v>0.57894736842105265</v>
      </c>
      <c r="P532" s="3">
        <f t="shared" si="69"/>
        <v>0.5</v>
      </c>
      <c r="Q532" s="3">
        <f t="shared" si="70"/>
        <v>0.86363636363636365</v>
      </c>
      <c r="R532" s="3">
        <f t="shared" si="71"/>
        <v>0.31818181818181818</v>
      </c>
      <c r="S532">
        <v>-56</v>
      </c>
      <c r="T532" s="4">
        <v>0.16</v>
      </c>
      <c r="U532">
        <v>150</v>
      </c>
      <c r="V532">
        <v>443</v>
      </c>
    </row>
    <row r="533" spans="1:22">
      <c r="A533">
        <v>529</v>
      </c>
      <c r="B533" s="2">
        <v>46225</v>
      </c>
      <c r="C533" t="s">
        <v>26</v>
      </c>
      <c r="D533" t="s">
        <v>31</v>
      </c>
      <c r="E533" t="s">
        <v>39</v>
      </c>
      <c r="F533">
        <v>10</v>
      </c>
      <c r="G533">
        <v>13</v>
      </c>
      <c r="H533" t="str">
        <f t="shared" si="64"/>
        <v>Loss</v>
      </c>
      <c r="I533">
        <f t="shared" si="65"/>
        <v>0</v>
      </c>
      <c r="J533">
        <f t="shared" si="66"/>
        <v>-3</v>
      </c>
      <c r="K533">
        <f t="shared" si="67"/>
        <v>23</v>
      </c>
      <c r="L533">
        <v>10</v>
      </c>
      <c r="M533">
        <v>22</v>
      </c>
      <c r="N533">
        <v>6</v>
      </c>
      <c r="O533" s="3">
        <f t="shared" si="68"/>
        <v>0.45454545454545453</v>
      </c>
      <c r="P533" s="3">
        <f t="shared" si="69"/>
        <v>0.43478260869565216</v>
      </c>
      <c r="Q533" s="3">
        <f t="shared" si="70"/>
        <v>0.95652173913043481</v>
      </c>
      <c r="R533" s="3">
        <f t="shared" si="71"/>
        <v>0.2608695652173913</v>
      </c>
      <c r="S533">
        <v>-46</v>
      </c>
      <c r="T533" s="4">
        <v>0.04</v>
      </c>
      <c r="U533">
        <v>150</v>
      </c>
      <c r="V533">
        <v>259</v>
      </c>
    </row>
    <row r="534" spans="1:22">
      <c r="A534">
        <v>530</v>
      </c>
      <c r="B534" s="2">
        <v>46225</v>
      </c>
      <c r="C534" t="s">
        <v>54</v>
      </c>
      <c r="D534" t="s">
        <v>30</v>
      </c>
      <c r="E534" t="s">
        <v>47</v>
      </c>
      <c r="F534">
        <v>11</v>
      </c>
      <c r="G534">
        <v>13</v>
      </c>
      <c r="H534" t="str">
        <f t="shared" si="64"/>
        <v>Loss</v>
      </c>
      <c r="I534">
        <f t="shared" si="65"/>
        <v>0</v>
      </c>
      <c r="J534">
        <f t="shared" si="66"/>
        <v>-2</v>
      </c>
      <c r="K534">
        <f t="shared" si="67"/>
        <v>24</v>
      </c>
      <c r="L534">
        <v>11</v>
      </c>
      <c r="M534">
        <v>26</v>
      </c>
      <c r="N534">
        <v>8</v>
      </c>
      <c r="O534" s="3">
        <f t="shared" si="68"/>
        <v>0.42307692307692307</v>
      </c>
      <c r="P534" s="3">
        <f t="shared" si="69"/>
        <v>0.45833333333333331</v>
      </c>
      <c r="Q534" s="3">
        <f t="shared" si="70"/>
        <v>1.0833333333333333</v>
      </c>
      <c r="R534" s="3">
        <f t="shared" si="71"/>
        <v>0.33333333333333331</v>
      </c>
      <c r="S534">
        <v>-53</v>
      </c>
      <c r="T534" s="4">
        <v>0.14000000000000001</v>
      </c>
      <c r="U534">
        <v>173</v>
      </c>
      <c r="V534">
        <v>279</v>
      </c>
    </row>
    <row r="535" spans="1:22">
      <c r="A535">
        <v>531</v>
      </c>
      <c r="B535" s="2">
        <v>46225</v>
      </c>
      <c r="C535" t="s">
        <v>40</v>
      </c>
      <c r="D535" t="s">
        <v>32</v>
      </c>
      <c r="E535" t="s">
        <v>25</v>
      </c>
      <c r="F535">
        <v>13</v>
      </c>
      <c r="G535">
        <v>8</v>
      </c>
      <c r="H535" t="str">
        <f t="shared" si="64"/>
        <v>Win</v>
      </c>
      <c r="I535">
        <f t="shared" si="65"/>
        <v>1</v>
      </c>
      <c r="J535">
        <f t="shared" si="66"/>
        <v>5</v>
      </c>
      <c r="K535">
        <f t="shared" si="67"/>
        <v>21</v>
      </c>
      <c r="L535">
        <v>10</v>
      </c>
      <c r="M535">
        <v>15</v>
      </c>
      <c r="N535">
        <v>4</v>
      </c>
      <c r="O535" s="3">
        <f t="shared" si="68"/>
        <v>0.66666666666666663</v>
      </c>
      <c r="P535" s="3">
        <f t="shared" si="69"/>
        <v>0.47619047619047616</v>
      </c>
      <c r="Q535" s="3">
        <f t="shared" si="70"/>
        <v>0.7142857142857143</v>
      </c>
      <c r="R535" s="3">
        <f t="shared" si="71"/>
        <v>0.19047619047619047</v>
      </c>
      <c r="S535">
        <v>-59</v>
      </c>
      <c r="T535" s="4">
        <v>0.12</v>
      </c>
      <c r="U535">
        <v>134</v>
      </c>
      <c r="V535">
        <v>377</v>
      </c>
    </row>
    <row r="536" spans="1:22">
      <c r="A536">
        <v>532</v>
      </c>
      <c r="B536" s="2">
        <v>46225</v>
      </c>
      <c r="C536" t="s">
        <v>41</v>
      </c>
      <c r="D536" t="s">
        <v>32</v>
      </c>
      <c r="E536" t="s">
        <v>47</v>
      </c>
      <c r="F536">
        <v>13</v>
      </c>
      <c r="G536">
        <v>2</v>
      </c>
      <c r="H536" t="str">
        <f t="shared" si="64"/>
        <v>Win</v>
      </c>
      <c r="I536">
        <f t="shared" si="65"/>
        <v>1</v>
      </c>
      <c r="J536">
        <f t="shared" si="66"/>
        <v>11</v>
      </c>
      <c r="K536">
        <f t="shared" si="67"/>
        <v>15</v>
      </c>
      <c r="L536">
        <v>6</v>
      </c>
      <c r="M536">
        <v>11</v>
      </c>
      <c r="N536">
        <v>6</v>
      </c>
      <c r="O536" s="3">
        <f t="shared" si="68"/>
        <v>0.54545454545454541</v>
      </c>
      <c r="P536" s="3">
        <f t="shared" si="69"/>
        <v>0.4</v>
      </c>
      <c r="Q536" s="3">
        <f t="shared" si="70"/>
        <v>0.73333333333333328</v>
      </c>
      <c r="R536" s="3">
        <f t="shared" si="71"/>
        <v>0.4</v>
      </c>
      <c r="S536">
        <v>-60</v>
      </c>
      <c r="T536" s="4">
        <v>0</v>
      </c>
      <c r="U536">
        <v>140</v>
      </c>
      <c r="V536">
        <v>468</v>
      </c>
    </row>
    <row r="537" spans="1:22">
      <c r="A537">
        <v>533</v>
      </c>
      <c r="B537" s="2">
        <v>46224</v>
      </c>
      <c r="C537" t="s">
        <v>29</v>
      </c>
      <c r="D537" t="s">
        <v>32</v>
      </c>
      <c r="E537" t="s">
        <v>47</v>
      </c>
      <c r="F537">
        <v>11</v>
      </c>
      <c r="G537">
        <v>13</v>
      </c>
      <c r="H537" t="str">
        <f t="shared" si="64"/>
        <v>Loss</v>
      </c>
      <c r="I537">
        <f t="shared" si="65"/>
        <v>0</v>
      </c>
      <c r="J537">
        <f t="shared" si="66"/>
        <v>-2</v>
      </c>
      <c r="K537">
        <f t="shared" si="67"/>
        <v>24</v>
      </c>
      <c r="L537">
        <v>11</v>
      </c>
      <c r="M537">
        <v>21</v>
      </c>
      <c r="N537">
        <v>8</v>
      </c>
      <c r="O537" s="3">
        <f t="shared" si="68"/>
        <v>0.52380952380952384</v>
      </c>
      <c r="P537" s="3">
        <f t="shared" si="69"/>
        <v>0.45833333333333331</v>
      </c>
      <c r="Q537" s="3">
        <f t="shared" si="70"/>
        <v>0.875</v>
      </c>
      <c r="R537" s="3">
        <f t="shared" si="71"/>
        <v>0.33333333333333331</v>
      </c>
      <c r="S537">
        <v>-34</v>
      </c>
      <c r="T537" s="4">
        <v>0.08</v>
      </c>
      <c r="U537">
        <v>166</v>
      </c>
      <c r="V537">
        <v>354</v>
      </c>
    </row>
    <row r="538" spans="1:22">
      <c r="A538">
        <v>534</v>
      </c>
      <c r="B538" s="2">
        <v>46224</v>
      </c>
      <c r="C538" t="s">
        <v>34</v>
      </c>
      <c r="D538" t="s">
        <v>36</v>
      </c>
      <c r="E538" t="s">
        <v>25</v>
      </c>
      <c r="F538">
        <v>7</v>
      </c>
      <c r="G538">
        <v>13</v>
      </c>
      <c r="H538" t="str">
        <f t="shared" si="64"/>
        <v>Loss</v>
      </c>
      <c r="I538">
        <f t="shared" si="65"/>
        <v>0</v>
      </c>
      <c r="J538">
        <f t="shared" si="66"/>
        <v>-6</v>
      </c>
      <c r="K538">
        <f t="shared" si="67"/>
        <v>20</v>
      </c>
      <c r="L538">
        <v>14</v>
      </c>
      <c r="M538">
        <v>16</v>
      </c>
      <c r="N538">
        <v>5</v>
      </c>
      <c r="O538" s="3">
        <f t="shared" si="68"/>
        <v>0.875</v>
      </c>
      <c r="P538" s="3">
        <f t="shared" si="69"/>
        <v>0.7</v>
      </c>
      <c r="Q538" s="3">
        <f t="shared" si="70"/>
        <v>0.8</v>
      </c>
      <c r="R538" s="3">
        <f t="shared" si="71"/>
        <v>0.25</v>
      </c>
      <c r="S538">
        <v>15</v>
      </c>
      <c r="T538" s="4">
        <v>0.05</v>
      </c>
      <c r="U538">
        <v>215</v>
      </c>
      <c r="V538">
        <v>519</v>
      </c>
    </row>
    <row r="539" spans="1:22">
      <c r="A539">
        <v>535</v>
      </c>
      <c r="B539" s="2">
        <v>46224</v>
      </c>
      <c r="C539" t="s">
        <v>34</v>
      </c>
      <c r="D539" t="s">
        <v>24</v>
      </c>
      <c r="E539" t="s">
        <v>25</v>
      </c>
      <c r="F539">
        <v>9</v>
      </c>
      <c r="G539">
        <v>13</v>
      </c>
      <c r="H539" t="str">
        <f t="shared" si="64"/>
        <v>Loss</v>
      </c>
      <c r="I539">
        <f t="shared" si="65"/>
        <v>0</v>
      </c>
      <c r="J539">
        <f t="shared" si="66"/>
        <v>-4</v>
      </c>
      <c r="K539">
        <f t="shared" si="67"/>
        <v>22</v>
      </c>
      <c r="L539">
        <v>12</v>
      </c>
      <c r="M539">
        <v>19</v>
      </c>
      <c r="N539">
        <v>4</v>
      </c>
      <c r="O539" s="3">
        <f t="shared" si="68"/>
        <v>0.63157894736842102</v>
      </c>
      <c r="P539" s="3">
        <f t="shared" si="69"/>
        <v>0.54545454545454541</v>
      </c>
      <c r="Q539" s="3">
        <f t="shared" si="70"/>
        <v>0.86363636363636365</v>
      </c>
      <c r="R539" s="3">
        <f t="shared" si="71"/>
        <v>0.18181818181818182</v>
      </c>
      <c r="S539">
        <v>-28</v>
      </c>
      <c r="T539" s="4">
        <v>7.0000000000000007E-2</v>
      </c>
      <c r="U539">
        <v>165</v>
      </c>
      <c r="V539">
        <v>352</v>
      </c>
    </row>
    <row r="540" spans="1:22">
      <c r="A540">
        <v>536</v>
      </c>
      <c r="B540" s="2">
        <v>46224</v>
      </c>
      <c r="C540" t="s">
        <v>41</v>
      </c>
      <c r="D540" t="s">
        <v>30</v>
      </c>
      <c r="E540" t="s">
        <v>47</v>
      </c>
      <c r="F540">
        <v>13</v>
      </c>
      <c r="G540">
        <v>11</v>
      </c>
      <c r="H540" t="str">
        <f t="shared" si="64"/>
        <v>Win</v>
      </c>
      <c r="I540">
        <f t="shared" si="65"/>
        <v>1</v>
      </c>
      <c r="J540">
        <f t="shared" si="66"/>
        <v>2</v>
      </c>
      <c r="K540">
        <f t="shared" si="67"/>
        <v>24</v>
      </c>
      <c r="L540">
        <v>14</v>
      </c>
      <c r="M540">
        <v>19</v>
      </c>
      <c r="N540">
        <v>5</v>
      </c>
      <c r="O540" s="3">
        <f t="shared" si="68"/>
        <v>0.73684210526315785</v>
      </c>
      <c r="P540" s="3">
        <f t="shared" si="69"/>
        <v>0.58333333333333337</v>
      </c>
      <c r="Q540" s="3">
        <f t="shared" si="70"/>
        <v>0.79166666666666663</v>
      </c>
      <c r="R540" s="3">
        <f t="shared" si="71"/>
        <v>0.20833333333333334</v>
      </c>
      <c r="S540">
        <v>-39</v>
      </c>
      <c r="T540" s="4">
        <v>0.13</v>
      </c>
      <c r="U540">
        <v>171</v>
      </c>
      <c r="V540">
        <v>385</v>
      </c>
    </row>
    <row r="541" spans="1:22">
      <c r="A541">
        <v>537</v>
      </c>
      <c r="B541" s="2">
        <v>46223</v>
      </c>
      <c r="C541" t="s">
        <v>40</v>
      </c>
      <c r="D541" t="s">
        <v>31</v>
      </c>
      <c r="E541" t="s">
        <v>45</v>
      </c>
      <c r="F541">
        <v>4</v>
      </c>
      <c r="G541">
        <v>13</v>
      </c>
      <c r="H541" t="str">
        <f t="shared" si="64"/>
        <v>Loss</v>
      </c>
      <c r="I541">
        <f t="shared" si="65"/>
        <v>0</v>
      </c>
      <c r="J541">
        <f t="shared" si="66"/>
        <v>-9</v>
      </c>
      <c r="K541">
        <f t="shared" si="67"/>
        <v>17</v>
      </c>
      <c r="L541">
        <v>7</v>
      </c>
      <c r="M541">
        <v>15</v>
      </c>
      <c r="N541">
        <v>3</v>
      </c>
      <c r="O541" s="3">
        <f t="shared" si="68"/>
        <v>0.46666666666666667</v>
      </c>
      <c r="P541" s="3">
        <f t="shared" si="69"/>
        <v>0.41176470588235292</v>
      </c>
      <c r="Q541" s="3">
        <f t="shared" si="70"/>
        <v>0.88235294117647056</v>
      </c>
      <c r="R541" s="3">
        <f t="shared" si="71"/>
        <v>0.17647058823529413</v>
      </c>
      <c r="S541">
        <v>-57</v>
      </c>
      <c r="T541" s="4">
        <v>0.06</v>
      </c>
      <c r="U541">
        <v>105</v>
      </c>
      <c r="V541">
        <v>100</v>
      </c>
    </row>
    <row r="542" spans="1:22">
      <c r="A542">
        <v>538</v>
      </c>
      <c r="B542" s="2">
        <v>46223</v>
      </c>
      <c r="C542" t="s">
        <v>40</v>
      </c>
      <c r="D542" t="s">
        <v>46</v>
      </c>
      <c r="E542" t="s">
        <v>38</v>
      </c>
      <c r="F542">
        <v>13</v>
      </c>
      <c r="G542">
        <v>9</v>
      </c>
      <c r="H542" t="str">
        <f t="shared" si="64"/>
        <v>Win</v>
      </c>
      <c r="I542">
        <f t="shared" si="65"/>
        <v>1</v>
      </c>
      <c r="J542">
        <f t="shared" si="66"/>
        <v>4</v>
      </c>
      <c r="K542">
        <f t="shared" si="67"/>
        <v>22</v>
      </c>
      <c r="L542">
        <v>20</v>
      </c>
      <c r="M542">
        <v>17</v>
      </c>
      <c r="N542">
        <v>8</v>
      </c>
      <c r="O542" s="3">
        <f t="shared" si="68"/>
        <v>1.1764705882352942</v>
      </c>
      <c r="P542" s="3">
        <f t="shared" si="69"/>
        <v>0.90909090909090906</v>
      </c>
      <c r="Q542" s="3">
        <f t="shared" si="70"/>
        <v>0.77272727272727271</v>
      </c>
      <c r="R542" s="3">
        <f t="shared" si="71"/>
        <v>0.36363636363636365</v>
      </c>
      <c r="S542">
        <v>-4</v>
      </c>
      <c r="T542" s="4">
        <v>0.09</v>
      </c>
      <c r="U542">
        <v>246</v>
      </c>
      <c r="V542">
        <v>673</v>
      </c>
    </row>
    <row r="543" spans="1:22">
      <c r="A543">
        <v>539</v>
      </c>
      <c r="B543" s="2">
        <v>46223</v>
      </c>
      <c r="C543" t="s">
        <v>23</v>
      </c>
      <c r="D543" t="s">
        <v>32</v>
      </c>
      <c r="E543" t="s">
        <v>51</v>
      </c>
      <c r="F543">
        <v>10</v>
      </c>
      <c r="G543">
        <v>13</v>
      </c>
      <c r="H543" t="str">
        <f t="shared" si="64"/>
        <v>Loss</v>
      </c>
      <c r="I543">
        <f t="shared" si="65"/>
        <v>0</v>
      </c>
      <c r="J543">
        <f t="shared" si="66"/>
        <v>-3</v>
      </c>
      <c r="K543">
        <f t="shared" si="67"/>
        <v>23</v>
      </c>
      <c r="L543">
        <v>12</v>
      </c>
      <c r="M543">
        <v>18</v>
      </c>
      <c r="N543">
        <v>8</v>
      </c>
      <c r="O543" s="3">
        <f t="shared" si="68"/>
        <v>0.66666666666666663</v>
      </c>
      <c r="P543" s="3">
        <f t="shared" si="69"/>
        <v>0.52173913043478259</v>
      </c>
      <c r="Q543" s="3">
        <f t="shared" si="70"/>
        <v>0.78260869565217395</v>
      </c>
      <c r="R543" s="3">
        <f t="shared" si="71"/>
        <v>0.34782608695652173</v>
      </c>
      <c r="S543">
        <v>-25</v>
      </c>
      <c r="T543" s="4">
        <v>0.11</v>
      </c>
      <c r="U543">
        <v>167</v>
      </c>
      <c r="V543">
        <v>393</v>
      </c>
    </row>
    <row r="544" spans="1:22">
      <c r="A544">
        <v>540</v>
      </c>
      <c r="B544" s="2">
        <v>46223</v>
      </c>
      <c r="C544" t="s">
        <v>29</v>
      </c>
      <c r="D544" t="s">
        <v>42</v>
      </c>
      <c r="E544" t="s">
        <v>28</v>
      </c>
      <c r="F544">
        <v>13</v>
      </c>
      <c r="G544">
        <v>1</v>
      </c>
      <c r="H544" t="str">
        <f t="shared" si="64"/>
        <v>Win</v>
      </c>
      <c r="I544">
        <f t="shared" si="65"/>
        <v>1</v>
      </c>
      <c r="J544">
        <f t="shared" si="66"/>
        <v>12</v>
      </c>
      <c r="K544">
        <f t="shared" si="67"/>
        <v>14</v>
      </c>
      <c r="L544">
        <v>12</v>
      </c>
      <c r="M544">
        <v>10</v>
      </c>
      <c r="N544">
        <v>5</v>
      </c>
      <c r="O544" s="3">
        <f t="shared" si="68"/>
        <v>1.2</v>
      </c>
      <c r="P544" s="3">
        <f t="shared" si="69"/>
        <v>0.8571428571428571</v>
      </c>
      <c r="Q544" s="3">
        <f t="shared" si="70"/>
        <v>0.7142857142857143</v>
      </c>
      <c r="R544" s="3">
        <f t="shared" si="71"/>
        <v>0.35714285714285715</v>
      </c>
      <c r="S544">
        <v>29</v>
      </c>
      <c r="T544" s="4">
        <v>0.05</v>
      </c>
      <c r="U544">
        <v>247</v>
      </c>
      <c r="V544">
        <v>793</v>
      </c>
    </row>
    <row r="545" spans="1:22">
      <c r="A545">
        <v>541</v>
      </c>
      <c r="B545" s="2">
        <v>46222</v>
      </c>
      <c r="C545" t="s">
        <v>26</v>
      </c>
      <c r="D545" t="s">
        <v>36</v>
      </c>
      <c r="E545" t="s">
        <v>38</v>
      </c>
      <c r="F545">
        <v>11</v>
      </c>
      <c r="G545">
        <v>13</v>
      </c>
      <c r="H545" t="str">
        <f t="shared" si="64"/>
        <v>Loss</v>
      </c>
      <c r="I545">
        <f t="shared" si="65"/>
        <v>0</v>
      </c>
      <c r="J545">
        <f t="shared" si="66"/>
        <v>-2</v>
      </c>
      <c r="K545">
        <f t="shared" si="67"/>
        <v>24</v>
      </c>
      <c r="L545">
        <v>19</v>
      </c>
      <c r="M545">
        <v>20</v>
      </c>
      <c r="N545">
        <v>7</v>
      </c>
      <c r="O545" s="3">
        <f t="shared" si="68"/>
        <v>0.95</v>
      </c>
      <c r="P545" s="3">
        <f t="shared" si="69"/>
        <v>0.79166666666666663</v>
      </c>
      <c r="Q545" s="3">
        <f t="shared" si="70"/>
        <v>0.83333333333333337</v>
      </c>
      <c r="R545" s="3">
        <f t="shared" si="71"/>
        <v>0.29166666666666669</v>
      </c>
      <c r="S545">
        <v>-14</v>
      </c>
      <c r="T545" s="4">
        <v>0.18</v>
      </c>
      <c r="U545">
        <v>209</v>
      </c>
      <c r="V545">
        <v>547</v>
      </c>
    </row>
    <row r="546" spans="1:22">
      <c r="A546">
        <v>542</v>
      </c>
      <c r="B546" s="2">
        <v>46222</v>
      </c>
      <c r="C546" t="s">
        <v>41</v>
      </c>
      <c r="D546" t="s">
        <v>42</v>
      </c>
      <c r="E546" t="s">
        <v>51</v>
      </c>
      <c r="F546">
        <v>13</v>
      </c>
      <c r="G546">
        <v>11</v>
      </c>
      <c r="H546" t="str">
        <f t="shared" si="64"/>
        <v>Win</v>
      </c>
      <c r="I546">
        <f t="shared" si="65"/>
        <v>1</v>
      </c>
      <c r="J546">
        <f t="shared" si="66"/>
        <v>2</v>
      </c>
      <c r="K546">
        <f t="shared" si="67"/>
        <v>24</v>
      </c>
      <c r="L546">
        <v>20</v>
      </c>
      <c r="M546">
        <v>18</v>
      </c>
      <c r="N546">
        <v>3</v>
      </c>
      <c r="O546" s="3">
        <f t="shared" si="68"/>
        <v>1.1111111111111112</v>
      </c>
      <c r="P546" s="3">
        <f t="shared" si="69"/>
        <v>0.83333333333333337</v>
      </c>
      <c r="Q546" s="3">
        <f t="shared" si="70"/>
        <v>0.75</v>
      </c>
      <c r="R546" s="3">
        <f t="shared" si="71"/>
        <v>0.125</v>
      </c>
      <c r="S546">
        <v>34</v>
      </c>
      <c r="T546" s="4">
        <v>7.0000000000000007E-2</v>
      </c>
      <c r="U546">
        <v>254</v>
      </c>
      <c r="V546">
        <v>736</v>
      </c>
    </row>
    <row r="547" spans="1:22">
      <c r="A547">
        <v>543</v>
      </c>
      <c r="B547" s="2">
        <v>46222</v>
      </c>
      <c r="C547" t="s">
        <v>26</v>
      </c>
      <c r="D547" t="s">
        <v>32</v>
      </c>
      <c r="E547" t="s">
        <v>47</v>
      </c>
      <c r="F547">
        <v>7</v>
      </c>
      <c r="G547">
        <v>13</v>
      </c>
      <c r="H547" t="str">
        <f t="shared" si="64"/>
        <v>Loss</v>
      </c>
      <c r="I547">
        <f t="shared" si="65"/>
        <v>0</v>
      </c>
      <c r="J547">
        <f t="shared" si="66"/>
        <v>-6</v>
      </c>
      <c r="K547">
        <f t="shared" si="67"/>
        <v>20</v>
      </c>
      <c r="L547">
        <v>9</v>
      </c>
      <c r="M547">
        <v>18</v>
      </c>
      <c r="N547">
        <v>3</v>
      </c>
      <c r="O547" s="3">
        <f t="shared" si="68"/>
        <v>0.5</v>
      </c>
      <c r="P547" s="3">
        <f t="shared" si="69"/>
        <v>0.45</v>
      </c>
      <c r="Q547" s="3">
        <f t="shared" si="70"/>
        <v>0.9</v>
      </c>
      <c r="R547" s="3">
        <f t="shared" si="71"/>
        <v>0.15</v>
      </c>
      <c r="S547">
        <v>-55</v>
      </c>
      <c r="T547" s="4">
        <v>0.05</v>
      </c>
      <c r="U547">
        <v>135</v>
      </c>
      <c r="V547">
        <v>263</v>
      </c>
    </row>
    <row r="548" spans="1:22">
      <c r="A548">
        <v>544</v>
      </c>
      <c r="B548" s="2">
        <v>46222</v>
      </c>
      <c r="C548" t="s">
        <v>29</v>
      </c>
      <c r="D548" t="s">
        <v>31</v>
      </c>
      <c r="E548" t="s">
        <v>47</v>
      </c>
      <c r="F548">
        <v>7</v>
      </c>
      <c r="G548">
        <v>13</v>
      </c>
      <c r="H548" t="str">
        <f t="shared" si="64"/>
        <v>Loss</v>
      </c>
      <c r="I548">
        <f t="shared" si="65"/>
        <v>0</v>
      </c>
      <c r="J548">
        <f t="shared" si="66"/>
        <v>-6</v>
      </c>
      <c r="K548">
        <f t="shared" si="67"/>
        <v>20</v>
      </c>
      <c r="L548">
        <v>8</v>
      </c>
      <c r="M548">
        <v>18</v>
      </c>
      <c r="N548">
        <v>1</v>
      </c>
      <c r="O548" s="3">
        <f t="shared" si="68"/>
        <v>0.44444444444444442</v>
      </c>
      <c r="P548" s="3">
        <f t="shared" si="69"/>
        <v>0.4</v>
      </c>
      <c r="Q548" s="3">
        <f t="shared" si="70"/>
        <v>0.9</v>
      </c>
      <c r="R548" s="3">
        <f t="shared" si="71"/>
        <v>0.05</v>
      </c>
      <c r="S548">
        <v>-87</v>
      </c>
      <c r="T548" s="4">
        <v>0</v>
      </c>
      <c r="U548">
        <v>102</v>
      </c>
      <c r="V548">
        <v>100</v>
      </c>
    </row>
    <row r="549" spans="1:22">
      <c r="A549">
        <v>545</v>
      </c>
      <c r="B549" s="2">
        <v>46222</v>
      </c>
      <c r="C549" t="s">
        <v>34</v>
      </c>
      <c r="D549" t="s">
        <v>31</v>
      </c>
      <c r="E549" t="s">
        <v>25</v>
      </c>
      <c r="F549">
        <v>13</v>
      </c>
      <c r="G549">
        <v>10</v>
      </c>
      <c r="H549" t="str">
        <f t="shared" si="64"/>
        <v>Win</v>
      </c>
      <c r="I549">
        <f t="shared" si="65"/>
        <v>1</v>
      </c>
      <c r="J549">
        <f t="shared" si="66"/>
        <v>3</v>
      </c>
      <c r="K549">
        <f t="shared" si="67"/>
        <v>23</v>
      </c>
      <c r="L549">
        <v>3</v>
      </c>
      <c r="M549">
        <v>18</v>
      </c>
      <c r="N549">
        <v>6</v>
      </c>
      <c r="O549" s="3">
        <f t="shared" si="68"/>
        <v>0.16666666666666666</v>
      </c>
      <c r="P549" s="3">
        <f t="shared" si="69"/>
        <v>0.13043478260869565</v>
      </c>
      <c r="Q549" s="3">
        <f t="shared" si="70"/>
        <v>0.78260869565217395</v>
      </c>
      <c r="R549" s="3">
        <f t="shared" si="71"/>
        <v>0.2608695652173913</v>
      </c>
      <c r="S549">
        <v>-71</v>
      </c>
      <c r="T549" s="4">
        <v>0.05</v>
      </c>
      <c r="U549">
        <v>61</v>
      </c>
      <c r="V549">
        <v>205</v>
      </c>
    </row>
    <row r="550" spans="1:22">
      <c r="A550">
        <v>546</v>
      </c>
      <c r="B550" s="2">
        <v>46221</v>
      </c>
      <c r="C550" t="s">
        <v>23</v>
      </c>
      <c r="D550" t="s">
        <v>31</v>
      </c>
      <c r="E550" t="s">
        <v>47</v>
      </c>
      <c r="F550">
        <v>10</v>
      </c>
      <c r="G550">
        <v>13</v>
      </c>
      <c r="H550" t="str">
        <f t="shared" si="64"/>
        <v>Loss</v>
      </c>
      <c r="I550">
        <f t="shared" si="65"/>
        <v>0</v>
      </c>
      <c r="J550">
        <f t="shared" si="66"/>
        <v>-3</v>
      </c>
      <c r="K550">
        <f t="shared" si="67"/>
        <v>23</v>
      </c>
      <c r="L550">
        <v>10</v>
      </c>
      <c r="M550">
        <v>20</v>
      </c>
      <c r="N550">
        <v>3</v>
      </c>
      <c r="O550" s="3">
        <f t="shared" si="68"/>
        <v>0.5</v>
      </c>
      <c r="P550" s="3">
        <f t="shared" si="69"/>
        <v>0.43478260869565216</v>
      </c>
      <c r="Q550" s="3">
        <f t="shared" si="70"/>
        <v>0.86956521739130432</v>
      </c>
      <c r="R550" s="3">
        <f t="shared" si="71"/>
        <v>0.13043478260869565</v>
      </c>
      <c r="S550">
        <v>-51</v>
      </c>
      <c r="T550" s="4">
        <v>0.06</v>
      </c>
      <c r="U550">
        <v>124</v>
      </c>
      <c r="V550">
        <v>183</v>
      </c>
    </row>
    <row r="551" spans="1:22">
      <c r="A551">
        <v>547</v>
      </c>
      <c r="B551" s="2">
        <v>46221</v>
      </c>
      <c r="C551" t="s">
        <v>54</v>
      </c>
      <c r="D551" t="s">
        <v>37</v>
      </c>
      <c r="E551" t="s">
        <v>47</v>
      </c>
      <c r="F551">
        <v>13</v>
      </c>
      <c r="G551">
        <v>5</v>
      </c>
      <c r="H551" t="str">
        <f t="shared" si="64"/>
        <v>Win</v>
      </c>
      <c r="I551">
        <f t="shared" si="65"/>
        <v>1</v>
      </c>
      <c r="J551">
        <f t="shared" si="66"/>
        <v>8</v>
      </c>
      <c r="K551">
        <f t="shared" si="67"/>
        <v>18</v>
      </c>
      <c r="L551">
        <v>14</v>
      </c>
      <c r="M551">
        <v>10</v>
      </c>
      <c r="N551">
        <v>5</v>
      </c>
      <c r="O551" s="3">
        <f t="shared" si="68"/>
        <v>1.4</v>
      </c>
      <c r="P551" s="3">
        <f t="shared" si="69"/>
        <v>0.77777777777777779</v>
      </c>
      <c r="Q551" s="3">
        <f t="shared" si="70"/>
        <v>0.55555555555555558</v>
      </c>
      <c r="R551" s="3">
        <f t="shared" si="71"/>
        <v>0.27777777777777779</v>
      </c>
      <c r="S551">
        <v>60</v>
      </c>
      <c r="T551" s="4">
        <v>0.15</v>
      </c>
      <c r="U551">
        <v>238</v>
      </c>
      <c r="V551">
        <v>757</v>
      </c>
    </row>
    <row r="552" spans="1:22">
      <c r="A552">
        <v>548</v>
      </c>
      <c r="B552" s="2">
        <v>46221</v>
      </c>
      <c r="C552" t="s">
        <v>41</v>
      </c>
      <c r="D552" t="s">
        <v>36</v>
      </c>
      <c r="E552" t="s">
        <v>47</v>
      </c>
      <c r="F552">
        <v>13</v>
      </c>
      <c r="G552">
        <v>11</v>
      </c>
      <c r="H552" t="str">
        <f t="shared" si="64"/>
        <v>Win</v>
      </c>
      <c r="I552">
        <f t="shared" si="65"/>
        <v>1</v>
      </c>
      <c r="J552">
        <f t="shared" si="66"/>
        <v>2</v>
      </c>
      <c r="K552">
        <f t="shared" si="67"/>
        <v>24</v>
      </c>
      <c r="L552">
        <v>15</v>
      </c>
      <c r="M552">
        <v>18</v>
      </c>
      <c r="N552">
        <v>3</v>
      </c>
      <c r="O552" s="3">
        <f t="shared" si="68"/>
        <v>0.83333333333333337</v>
      </c>
      <c r="P552" s="3">
        <f t="shared" si="69"/>
        <v>0.625</v>
      </c>
      <c r="Q552" s="3">
        <f t="shared" si="70"/>
        <v>0.75</v>
      </c>
      <c r="R552" s="3">
        <f t="shared" si="71"/>
        <v>0.125</v>
      </c>
      <c r="S552">
        <v>25</v>
      </c>
      <c r="T552" s="4">
        <v>0.08</v>
      </c>
      <c r="U552">
        <v>201</v>
      </c>
      <c r="V552">
        <v>601</v>
      </c>
    </row>
    <row r="553" spans="1:22">
      <c r="A553">
        <v>549</v>
      </c>
      <c r="B553" s="2">
        <v>46221</v>
      </c>
      <c r="C553" t="s">
        <v>34</v>
      </c>
      <c r="D553" t="s">
        <v>36</v>
      </c>
      <c r="E553" t="s">
        <v>25</v>
      </c>
      <c r="F553">
        <v>8</v>
      </c>
      <c r="G553">
        <v>13</v>
      </c>
      <c r="H553" t="str">
        <f t="shared" si="64"/>
        <v>Loss</v>
      </c>
      <c r="I553">
        <f t="shared" si="65"/>
        <v>0</v>
      </c>
      <c r="J553">
        <f t="shared" si="66"/>
        <v>-5</v>
      </c>
      <c r="K553">
        <f t="shared" si="67"/>
        <v>21</v>
      </c>
      <c r="L553">
        <v>11</v>
      </c>
      <c r="M553">
        <v>17</v>
      </c>
      <c r="N553">
        <v>1</v>
      </c>
      <c r="O553" s="3">
        <f t="shared" si="68"/>
        <v>0.6470588235294118</v>
      </c>
      <c r="P553" s="3">
        <f t="shared" si="69"/>
        <v>0.52380952380952384</v>
      </c>
      <c r="Q553" s="3">
        <f t="shared" si="70"/>
        <v>0.80952380952380953</v>
      </c>
      <c r="R553" s="3">
        <f t="shared" si="71"/>
        <v>4.7619047619047616E-2</v>
      </c>
      <c r="S553">
        <v>-20</v>
      </c>
      <c r="T553" s="4">
        <v>0.06</v>
      </c>
      <c r="U553">
        <v>156</v>
      </c>
      <c r="V553">
        <v>269</v>
      </c>
    </row>
    <row r="554" spans="1:22">
      <c r="A554">
        <v>550</v>
      </c>
      <c r="B554" s="2">
        <v>46221</v>
      </c>
      <c r="C554" t="s">
        <v>34</v>
      </c>
      <c r="D554" t="s">
        <v>30</v>
      </c>
      <c r="E554" t="s">
        <v>25</v>
      </c>
      <c r="F554">
        <v>13</v>
      </c>
      <c r="G554">
        <v>10</v>
      </c>
      <c r="H554" t="str">
        <f t="shared" si="64"/>
        <v>Win</v>
      </c>
      <c r="I554">
        <f t="shared" si="65"/>
        <v>1</v>
      </c>
      <c r="J554">
        <f t="shared" si="66"/>
        <v>3</v>
      </c>
      <c r="K554">
        <f t="shared" si="67"/>
        <v>23</v>
      </c>
      <c r="L554">
        <v>13</v>
      </c>
      <c r="M554">
        <v>15</v>
      </c>
      <c r="N554">
        <v>3</v>
      </c>
      <c r="O554" s="3">
        <f t="shared" si="68"/>
        <v>0.8666666666666667</v>
      </c>
      <c r="P554" s="3">
        <f t="shared" si="69"/>
        <v>0.56521739130434778</v>
      </c>
      <c r="Q554" s="3">
        <f t="shared" si="70"/>
        <v>0.65217391304347827</v>
      </c>
      <c r="R554" s="3">
        <f t="shared" si="71"/>
        <v>0.13043478260869565</v>
      </c>
      <c r="S554">
        <v>5</v>
      </c>
      <c r="T554" s="4">
        <v>0.11</v>
      </c>
      <c r="U554">
        <v>159</v>
      </c>
      <c r="V554">
        <v>502</v>
      </c>
    </row>
    <row r="555" spans="1:22">
      <c r="A555">
        <v>551</v>
      </c>
      <c r="B555" s="2">
        <v>46221</v>
      </c>
      <c r="C555" t="s">
        <v>54</v>
      </c>
      <c r="D555" t="s">
        <v>30</v>
      </c>
      <c r="E555" t="s">
        <v>51</v>
      </c>
      <c r="F555">
        <v>10</v>
      </c>
      <c r="G555">
        <v>13</v>
      </c>
      <c r="H555" t="str">
        <f t="shared" si="64"/>
        <v>Loss</v>
      </c>
      <c r="I555">
        <f t="shared" si="65"/>
        <v>0</v>
      </c>
      <c r="J555">
        <f t="shared" si="66"/>
        <v>-3</v>
      </c>
      <c r="K555">
        <f t="shared" si="67"/>
        <v>23</v>
      </c>
      <c r="L555">
        <v>8</v>
      </c>
      <c r="M555">
        <v>23</v>
      </c>
      <c r="N555">
        <v>8</v>
      </c>
      <c r="O555" s="3">
        <f t="shared" si="68"/>
        <v>0.34782608695652173</v>
      </c>
      <c r="P555" s="3">
        <f t="shared" si="69"/>
        <v>0.34782608695652173</v>
      </c>
      <c r="Q555" s="3">
        <f t="shared" si="70"/>
        <v>1</v>
      </c>
      <c r="R555" s="3">
        <f t="shared" si="71"/>
        <v>0.34782608695652173</v>
      </c>
      <c r="S555">
        <v>-51</v>
      </c>
      <c r="T555" s="4">
        <v>0.02</v>
      </c>
      <c r="U555">
        <v>131</v>
      </c>
      <c r="V555">
        <v>227</v>
      </c>
    </row>
    <row r="556" spans="1:22">
      <c r="A556">
        <v>552</v>
      </c>
      <c r="B556" s="2">
        <v>46221</v>
      </c>
      <c r="C556" t="s">
        <v>26</v>
      </c>
      <c r="D556" t="s">
        <v>37</v>
      </c>
      <c r="E556" t="s">
        <v>47</v>
      </c>
      <c r="F556">
        <v>13</v>
      </c>
      <c r="G556">
        <v>8</v>
      </c>
      <c r="H556" t="str">
        <f t="shared" si="64"/>
        <v>Win</v>
      </c>
      <c r="I556">
        <f t="shared" si="65"/>
        <v>1</v>
      </c>
      <c r="J556">
        <f t="shared" si="66"/>
        <v>5</v>
      </c>
      <c r="K556">
        <f t="shared" si="67"/>
        <v>21</v>
      </c>
      <c r="L556">
        <v>18</v>
      </c>
      <c r="M556">
        <v>17</v>
      </c>
      <c r="N556">
        <v>5</v>
      </c>
      <c r="O556" s="3">
        <f t="shared" si="68"/>
        <v>1.0588235294117647</v>
      </c>
      <c r="P556" s="3">
        <f t="shared" si="69"/>
        <v>0.8571428571428571</v>
      </c>
      <c r="Q556" s="3">
        <f t="shared" si="70"/>
        <v>0.80952380952380953</v>
      </c>
      <c r="R556" s="3">
        <f t="shared" si="71"/>
        <v>0.23809523809523808</v>
      </c>
      <c r="S556">
        <v>22</v>
      </c>
      <c r="T556" s="4">
        <v>0.16</v>
      </c>
      <c r="U556">
        <v>262</v>
      </c>
      <c r="V556">
        <v>776</v>
      </c>
    </row>
    <row r="557" spans="1:22">
      <c r="A557">
        <v>553</v>
      </c>
      <c r="B557" s="2">
        <v>46221</v>
      </c>
      <c r="C557" t="s">
        <v>23</v>
      </c>
      <c r="D557" t="s">
        <v>30</v>
      </c>
      <c r="E557" t="s">
        <v>25</v>
      </c>
      <c r="F557">
        <v>5</v>
      </c>
      <c r="G557">
        <v>13</v>
      </c>
      <c r="H557" t="str">
        <f t="shared" si="64"/>
        <v>Loss</v>
      </c>
      <c r="I557">
        <f t="shared" si="65"/>
        <v>0</v>
      </c>
      <c r="J557">
        <f t="shared" si="66"/>
        <v>-8</v>
      </c>
      <c r="K557">
        <f t="shared" si="67"/>
        <v>18</v>
      </c>
      <c r="L557">
        <v>10</v>
      </c>
      <c r="M557">
        <v>17</v>
      </c>
      <c r="N557">
        <v>4</v>
      </c>
      <c r="O557" s="3">
        <f t="shared" si="68"/>
        <v>0.58823529411764708</v>
      </c>
      <c r="P557" s="3">
        <f t="shared" si="69"/>
        <v>0.55555555555555558</v>
      </c>
      <c r="Q557" s="3">
        <f t="shared" si="70"/>
        <v>0.94444444444444442</v>
      </c>
      <c r="R557" s="3">
        <f t="shared" si="71"/>
        <v>0.22222222222222221</v>
      </c>
      <c r="S557">
        <v>-29</v>
      </c>
      <c r="T557" s="4">
        <v>0.05</v>
      </c>
      <c r="U557">
        <v>160</v>
      </c>
      <c r="V557">
        <v>286</v>
      </c>
    </row>
    <row r="558" spans="1:22">
      <c r="A558">
        <v>554</v>
      </c>
      <c r="B558" s="2">
        <v>46221</v>
      </c>
      <c r="C558" t="s">
        <v>41</v>
      </c>
      <c r="D558" t="s">
        <v>27</v>
      </c>
      <c r="E558" t="s">
        <v>38</v>
      </c>
      <c r="F558">
        <v>13</v>
      </c>
      <c r="G558">
        <v>4</v>
      </c>
      <c r="H558" t="str">
        <f t="shared" si="64"/>
        <v>Win</v>
      </c>
      <c r="I558">
        <f t="shared" si="65"/>
        <v>1</v>
      </c>
      <c r="J558">
        <f t="shared" si="66"/>
        <v>9</v>
      </c>
      <c r="K558">
        <f t="shared" si="67"/>
        <v>17</v>
      </c>
      <c r="L558">
        <v>14</v>
      </c>
      <c r="M558">
        <v>11</v>
      </c>
      <c r="N558">
        <v>2</v>
      </c>
      <c r="O558" s="3">
        <f t="shared" si="68"/>
        <v>1.2727272727272727</v>
      </c>
      <c r="P558" s="3">
        <f t="shared" si="69"/>
        <v>0.82352941176470584</v>
      </c>
      <c r="Q558" s="3">
        <f t="shared" si="70"/>
        <v>0.6470588235294118</v>
      </c>
      <c r="R558" s="3">
        <f t="shared" si="71"/>
        <v>0.11764705882352941</v>
      </c>
      <c r="S558">
        <v>8</v>
      </c>
      <c r="T558" s="4">
        <v>0.02</v>
      </c>
      <c r="U558">
        <v>211</v>
      </c>
      <c r="V558">
        <v>622</v>
      </c>
    </row>
    <row r="559" spans="1:22">
      <c r="A559">
        <v>555</v>
      </c>
      <c r="B559" s="2">
        <v>46221</v>
      </c>
      <c r="C559" t="s">
        <v>26</v>
      </c>
      <c r="D559" t="s">
        <v>32</v>
      </c>
      <c r="E559" t="s">
        <v>45</v>
      </c>
      <c r="F559">
        <v>11</v>
      </c>
      <c r="G559">
        <v>13</v>
      </c>
      <c r="H559" t="str">
        <f t="shared" si="64"/>
        <v>Loss</v>
      </c>
      <c r="I559">
        <f t="shared" si="65"/>
        <v>0</v>
      </c>
      <c r="J559">
        <f t="shared" si="66"/>
        <v>-2</v>
      </c>
      <c r="K559">
        <f t="shared" si="67"/>
        <v>24</v>
      </c>
      <c r="L559">
        <v>10</v>
      </c>
      <c r="M559">
        <v>19</v>
      </c>
      <c r="N559">
        <v>8</v>
      </c>
      <c r="O559" s="3">
        <f t="shared" si="68"/>
        <v>0.52631578947368418</v>
      </c>
      <c r="P559" s="3">
        <f t="shared" si="69"/>
        <v>0.41666666666666669</v>
      </c>
      <c r="Q559" s="3">
        <f t="shared" si="70"/>
        <v>0.79166666666666663</v>
      </c>
      <c r="R559" s="3">
        <f t="shared" si="71"/>
        <v>0.33333333333333331</v>
      </c>
      <c r="S559">
        <v>-48</v>
      </c>
      <c r="T559" s="4">
        <v>0.12</v>
      </c>
      <c r="U559">
        <v>127</v>
      </c>
      <c r="V559">
        <v>244</v>
      </c>
    </row>
    <row r="560" spans="1:22">
      <c r="A560">
        <v>556</v>
      </c>
      <c r="B560" s="2">
        <v>46221</v>
      </c>
      <c r="C560" t="s">
        <v>29</v>
      </c>
      <c r="D560" t="s">
        <v>31</v>
      </c>
      <c r="E560" t="s">
        <v>33</v>
      </c>
      <c r="F560">
        <v>13</v>
      </c>
      <c r="G560">
        <v>10</v>
      </c>
      <c r="H560" t="str">
        <f t="shared" si="64"/>
        <v>Win</v>
      </c>
      <c r="I560">
        <f t="shared" si="65"/>
        <v>1</v>
      </c>
      <c r="J560">
        <f t="shared" si="66"/>
        <v>3</v>
      </c>
      <c r="K560">
        <f t="shared" si="67"/>
        <v>23</v>
      </c>
      <c r="L560">
        <v>11</v>
      </c>
      <c r="M560">
        <v>15</v>
      </c>
      <c r="N560">
        <v>3</v>
      </c>
      <c r="O560" s="3">
        <f t="shared" si="68"/>
        <v>0.73333333333333328</v>
      </c>
      <c r="P560" s="3">
        <f t="shared" si="69"/>
        <v>0.47826086956521741</v>
      </c>
      <c r="Q560" s="3">
        <f t="shared" si="70"/>
        <v>0.65217391304347827</v>
      </c>
      <c r="R560" s="3">
        <f t="shared" si="71"/>
        <v>0.13043478260869565</v>
      </c>
      <c r="S560">
        <v>-34</v>
      </c>
      <c r="T560" s="4">
        <v>0.17</v>
      </c>
      <c r="U560">
        <v>132</v>
      </c>
      <c r="V560">
        <v>430</v>
      </c>
    </row>
    <row r="561" spans="1:22">
      <c r="A561">
        <v>557</v>
      </c>
      <c r="B561" s="2">
        <v>46221</v>
      </c>
      <c r="C561" t="s">
        <v>23</v>
      </c>
      <c r="D561" t="s">
        <v>32</v>
      </c>
      <c r="E561" t="s">
        <v>38</v>
      </c>
      <c r="F561">
        <v>9</v>
      </c>
      <c r="G561">
        <v>13</v>
      </c>
      <c r="H561" t="str">
        <f t="shared" si="64"/>
        <v>Loss</v>
      </c>
      <c r="I561">
        <f t="shared" si="65"/>
        <v>0</v>
      </c>
      <c r="J561">
        <f t="shared" si="66"/>
        <v>-4</v>
      </c>
      <c r="K561">
        <f t="shared" si="67"/>
        <v>22</v>
      </c>
      <c r="L561">
        <v>10</v>
      </c>
      <c r="M561">
        <v>17</v>
      </c>
      <c r="N561">
        <v>13</v>
      </c>
      <c r="O561" s="3">
        <f t="shared" si="68"/>
        <v>0.58823529411764708</v>
      </c>
      <c r="P561" s="3">
        <f t="shared" si="69"/>
        <v>0.45454545454545453</v>
      </c>
      <c r="Q561" s="3">
        <f t="shared" si="70"/>
        <v>0.77272727272727271</v>
      </c>
      <c r="R561" s="3">
        <f t="shared" si="71"/>
        <v>0.59090909090909094</v>
      </c>
      <c r="S561">
        <v>-44</v>
      </c>
      <c r="T561" s="4">
        <v>7.0000000000000007E-2</v>
      </c>
      <c r="U561">
        <v>149</v>
      </c>
      <c r="V561">
        <v>348</v>
      </c>
    </row>
    <row r="562" spans="1:22">
      <c r="A562">
        <v>558</v>
      </c>
      <c r="B562" s="2">
        <v>46221</v>
      </c>
      <c r="C562" t="s">
        <v>54</v>
      </c>
      <c r="D562" t="s">
        <v>36</v>
      </c>
      <c r="E562" t="s">
        <v>51</v>
      </c>
      <c r="F562">
        <v>14</v>
      </c>
      <c r="G562">
        <v>12</v>
      </c>
      <c r="H562" t="str">
        <f t="shared" si="64"/>
        <v>Win</v>
      </c>
      <c r="I562">
        <f t="shared" si="65"/>
        <v>1</v>
      </c>
      <c r="J562">
        <f t="shared" si="66"/>
        <v>2</v>
      </c>
      <c r="K562">
        <f t="shared" si="67"/>
        <v>26</v>
      </c>
      <c r="L562">
        <v>18</v>
      </c>
      <c r="M562">
        <v>23</v>
      </c>
      <c r="N562">
        <v>3</v>
      </c>
      <c r="O562" s="3">
        <f t="shared" si="68"/>
        <v>0.78260869565217395</v>
      </c>
      <c r="P562" s="3">
        <f t="shared" si="69"/>
        <v>0.69230769230769229</v>
      </c>
      <c r="Q562" s="3">
        <f t="shared" si="70"/>
        <v>0.88461538461538458</v>
      </c>
      <c r="R562" s="3">
        <f t="shared" si="71"/>
        <v>0.11538461538461539</v>
      </c>
      <c r="S562">
        <v>-6</v>
      </c>
      <c r="T562" s="4">
        <v>0.09</v>
      </c>
      <c r="U562">
        <v>204</v>
      </c>
      <c r="V562">
        <v>453</v>
      </c>
    </row>
    <row r="563" spans="1:22">
      <c r="A563">
        <v>559</v>
      </c>
      <c r="B563" s="2">
        <v>46221</v>
      </c>
      <c r="C563" t="s">
        <v>40</v>
      </c>
      <c r="D563" t="s">
        <v>46</v>
      </c>
      <c r="E563" t="s">
        <v>47</v>
      </c>
      <c r="F563">
        <v>13</v>
      </c>
      <c r="G563">
        <v>5</v>
      </c>
      <c r="H563" t="str">
        <f t="shared" si="64"/>
        <v>Win</v>
      </c>
      <c r="I563">
        <f t="shared" si="65"/>
        <v>1</v>
      </c>
      <c r="J563">
        <f t="shared" si="66"/>
        <v>8</v>
      </c>
      <c r="K563">
        <f t="shared" si="67"/>
        <v>18</v>
      </c>
      <c r="L563">
        <v>22</v>
      </c>
      <c r="M563">
        <v>12</v>
      </c>
      <c r="N563">
        <v>4</v>
      </c>
      <c r="O563" s="3">
        <f t="shared" si="68"/>
        <v>1.8333333333333333</v>
      </c>
      <c r="P563" s="3">
        <f t="shared" si="69"/>
        <v>1.2222222222222223</v>
      </c>
      <c r="Q563" s="3">
        <f t="shared" si="70"/>
        <v>0.66666666666666663</v>
      </c>
      <c r="R563" s="3">
        <f t="shared" si="71"/>
        <v>0.22222222222222221</v>
      </c>
      <c r="S563">
        <v>45</v>
      </c>
      <c r="T563" s="4">
        <v>7.0000000000000007E-2</v>
      </c>
      <c r="U563">
        <v>332</v>
      </c>
      <c r="V563">
        <v>951</v>
      </c>
    </row>
    <row r="564" spans="1:22">
      <c r="A564">
        <v>560</v>
      </c>
      <c r="B564" s="2">
        <v>46221</v>
      </c>
      <c r="C564" t="s">
        <v>54</v>
      </c>
      <c r="D564" t="s">
        <v>30</v>
      </c>
      <c r="E564" t="s">
        <v>47</v>
      </c>
      <c r="F564">
        <v>2</v>
      </c>
      <c r="G564">
        <v>13</v>
      </c>
      <c r="H564" t="str">
        <f t="shared" si="64"/>
        <v>Loss</v>
      </c>
      <c r="I564">
        <f t="shared" si="65"/>
        <v>0</v>
      </c>
      <c r="J564">
        <f t="shared" si="66"/>
        <v>-11</v>
      </c>
      <c r="K564">
        <f t="shared" si="67"/>
        <v>15</v>
      </c>
      <c r="L564">
        <v>6</v>
      </c>
      <c r="M564">
        <v>13</v>
      </c>
      <c r="N564">
        <v>1</v>
      </c>
      <c r="O564" s="3">
        <f t="shared" si="68"/>
        <v>0.46153846153846156</v>
      </c>
      <c r="P564" s="3">
        <f t="shared" si="69"/>
        <v>0.4</v>
      </c>
      <c r="Q564" s="3">
        <f t="shared" si="70"/>
        <v>0.8666666666666667</v>
      </c>
      <c r="R564" s="3">
        <f t="shared" si="71"/>
        <v>6.6666666666666666E-2</v>
      </c>
      <c r="S564">
        <v>-53</v>
      </c>
      <c r="T564" s="4">
        <v>0.13</v>
      </c>
      <c r="U564">
        <v>121</v>
      </c>
      <c r="V564">
        <v>100</v>
      </c>
    </row>
    <row r="565" spans="1:22">
      <c r="A565">
        <v>561</v>
      </c>
      <c r="B565" s="2">
        <v>46221</v>
      </c>
      <c r="C565" t="s">
        <v>26</v>
      </c>
      <c r="D565" t="s">
        <v>32</v>
      </c>
      <c r="E565" t="s">
        <v>25</v>
      </c>
      <c r="F565">
        <v>13</v>
      </c>
      <c r="G565">
        <v>10</v>
      </c>
      <c r="H565" t="str">
        <f t="shared" si="64"/>
        <v>Win</v>
      </c>
      <c r="I565">
        <f t="shared" si="65"/>
        <v>1</v>
      </c>
      <c r="J565">
        <f t="shared" si="66"/>
        <v>3</v>
      </c>
      <c r="K565">
        <f t="shared" si="67"/>
        <v>23</v>
      </c>
      <c r="L565">
        <v>11</v>
      </c>
      <c r="M565">
        <v>21</v>
      </c>
      <c r="N565">
        <v>9</v>
      </c>
      <c r="O565" s="3">
        <f t="shared" si="68"/>
        <v>0.52380952380952384</v>
      </c>
      <c r="P565" s="3">
        <f t="shared" si="69"/>
        <v>0.47826086956521741</v>
      </c>
      <c r="Q565" s="3">
        <f t="shared" si="70"/>
        <v>0.91304347826086951</v>
      </c>
      <c r="R565" s="3">
        <f t="shared" si="71"/>
        <v>0.39130434782608697</v>
      </c>
      <c r="S565">
        <v>-16</v>
      </c>
      <c r="T565" s="4">
        <v>7.0000000000000007E-2</v>
      </c>
      <c r="U565">
        <v>160</v>
      </c>
      <c r="V565">
        <v>501</v>
      </c>
    </row>
    <row r="566" spans="1:22">
      <c r="A566">
        <v>562</v>
      </c>
      <c r="B566" s="2">
        <v>46220</v>
      </c>
      <c r="C566" t="s">
        <v>23</v>
      </c>
      <c r="D566" t="s">
        <v>24</v>
      </c>
      <c r="E566" t="s">
        <v>47</v>
      </c>
      <c r="F566">
        <v>13</v>
      </c>
      <c r="G566">
        <v>6</v>
      </c>
      <c r="H566" t="str">
        <f t="shared" si="64"/>
        <v>Win</v>
      </c>
      <c r="I566">
        <f t="shared" si="65"/>
        <v>1</v>
      </c>
      <c r="J566">
        <f t="shared" si="66"/>
        <v>7</v>
      </c>
      <c r="K566">
        <f t="shared" si="67"/>
        <v>19</v>
      </c>
      <c r="L566">
        <v>10</v>
      </c>
      <c r="M566">
        <v>13</v>
      </c>
      <c r="N566">
        <v>3</v>
      </c>
      <c r="O566" s="3">
        <f t="shared" si="68"/>
        <v>0.76923076923076927</v>
      </c>
      <c r="P566" s="3">
        <f t="shared" si="69"/>
        <v>0.52631578947368418</v>
      </c>
      <c r="Q566" s="3">
        <f t="shared" si="70"/>
        <v>0.68421052631578949</v>
      </c>
      <c r="R566" s="3">
        <f t="shared" si="71"/>
        <v>0.15789473684210525</v>
      </c>
      <c r="S566">
        <v>-22</v>
      </c>
      <c r="T566" s="4">
        <v>0.08</v>
      </c>
      <c r="U566">
        <v>158</v>
      </c>
      <c r="V566">
        <v>402</v>
      </c>
    </row>
    <row r="567" spans="1:22">
      <c r="A567">
        <v>563</v>
      </c>
      <c r="B567" s="2">
        <v>46220</v>
      </c>
      <c r="C567" t="s">
        <v>41</v>
      </c>
      <c r="D567" t="s">
        <v>30</v>
      </c>
      <c r="E567" t="s">
        <v>50</v>
      </c>
      <c r="F567">
        <v>4</v>
      </c>
      <c r="G567">
        <v>13</v>
      </c>
      <c r="H567" t="str">
        <f t="shared" si="64"/>
        <v>Loss</v>
      </c>
      <c r="I567">
        <f t="shared" si="65"/>
        <v>0</v>
      </c>
      <c r="J567">
        <f t="shared" si="66"/>
        <v>-9</v>
      </c>
      <c r="K567">
        <f t="shared" si="67"/>
        <v>17</v>
      </c>
      <c r="L567">
        <v>7</v>
      </c>
      <c r="M567">
        <v>14</v>
      </c>
      <c r="N567">
        <v>3</v>
      </c>
      <c r="O567" s="3">
        <f t="shared" si="68"/>
        <v>0.5</v>
      </c>
      <c r="P567" s="3">
        <f t="shared" si="69"/>
        <v>0.41176470588235292</v>
      </c>
      <c r="Q567" s="3">
        <f t="shared" si="70"/>
        <v>0.82352941176470584</v>
      </c>
      <c r="R567" s="3">
        <f t="shared" si="71"/>
        <v>0.17647058823529413</v>
      </c>
      <c r="S567">
        <v>-40</v>
      </c>
      <c r="T567" s="4">
        <v>0.09</v>
      </c>
      <c r="U567">
        <v>126</v>
      </c>
      <c r="V567">
        <v>118</v>
      </c>
    </row>
    <row r="568" spans="1:22">
      <c r="A568">
        <v>564</v>
      </c>
      <c r="B568" s="2">
        <v>46220</v>
      </c>
      <c r="C568" t="s">
        <v>26</v>
      </c>
      <c r="D568" t="s">
        <v>36</v>
      </c>
      <c r="E568" t="s">
        <v>25</v>
      </c>
      <c r="F568">
        <v>3</v>
      </c>
      <c r="G568">
        <v>13</v>
      </c>
      <c r="H568" t="str">
        <f t="shared" si="64"/>
        <v>Loss</v>
      </c>
      <c r="I568">
        <f t="shared" si="65"/>
        <v>0</v>
      </c>
      <c r="J568">
        <f t="shared" si="66"/>
        <v>-10</v>
      </c>
      <c r="K568">
        <f t="shared" si="67"/>
        <v>16</v>
      </c>
      <c r="L568">
        <v>12</v>
      </c>
      <c r="M568">
        <v>13</v>
      </c>
      <c r="N568">
        <v>1</v>
      </c>
      <c r="O568" s="3">
        <f t="shared" si="68"/>
        <v>0.92307692307692313</v>
      </c>
      <c r="P568" s="3">
        <f t="shared" si="69"/>
        <v>0.75</v>
      </c>
      <c r="Q568" s="3">
        <f t="shared" si="70"/>
        <v>0.8125</v>
      </c>
      <c r="R568" s="3">
        <f t="shared" si="71"/>
        <v>6.25E-2</v>
      </c>
      <c r="S568">
        <v>-20</v>
      </c>
      <c r="T568" s="4">
        <v>0.08</v>
      </c>
      <c r="U568">
        <v>209</v>
      </c>
      <c r="V568">
        <v>288</v>
      </c>
    </row>
    <row r="569" spans="1:22">
      <c r="A569">
        <v>565</v>
      </c>
      <c r="B569" s="2">
        <v>46219</v>
      </c>
      <c r="C569" t="s">
        <v>41</v>
      </c>
      <c r="D569" t="s">
        <v>31</v>
      </c>
      <c r="E569" t="s">
        <v>47</v>
      </c>
      <c r="F569">
        <v>6</v>
      </c>
      <c r="G569">
        <v>13</v>
      </c>
      <c r="H569" t="str">
        <f t="shared" si="64"/>
        <v>Loss</v>
      </c>
      <c r="I569">
        <f t="shared" si="65"/>
        <v>0</v>
      </c>
      <c r="J569">
        <f t="shared" si="66"/>
        <v>-7</v>
      </c>
      <c r="K569">
        <f t="shared" si="67"/>
        <v>19</v>
      </c>
      <c r="L569">
        <v>8</v>
      </c>
      <c r="M569">
        <v>17</v>
      </c>
      <c r="N569">
        <v>2</v>
      </c>
      <c r="O569" s="3">
        <f t="shared" si="68"/>
        <v>0.47058823529411764</v>
      </c>
      <c r="P569" s="3">
        <f t="shared" si="69"/>
        <v>0.42105263157894735</v>
      </c>
      <c r="Q569" s="3">
        <f t="shared" si="70"/>
        <v>0.89473684210526316</v>
      </c>
      <c r="R569" s="3">
        <f t="shared" si="71"/>
        <v>0.10526315789473684</v>
      </c>
      <c r="S569">
        <v>-73</v>
      </c>
      <c r="T569" s="4">
        <v>7.0000000000000007E-2</v>
      </c>
      <c r="U569">
        <v>125</v>
      </c>
      <c r="V569">
        <v>100</v>
      </c>
    </row>
    <row r="570" spans="1:22">
      <c r="A570">
        <v>566</v>
      </c>
      <c r="B570" s="2">
        <v>46219</v>
      </c>
      <c r="C570" t="s">
        <v>23</v>
      </c>
      <c r="D570" t="s">
        <v>31</v>
      </c>
      <c r="E570" t="s">
        <v>39</v>
      </c>
      <c r="F570">
        <v>3</v>
      </c>
      <c r="G570">
        <v>13</v>
      </c>
      <c r="H570" t="str">
        <f t="shared" si="64"/>
        <v>Loss</v>
      </c>
      <c r="I570">
        <f t="shared" si="65"/>
        <v>0</v>
      </c>
      <c r="J570">
        <f t="shared" si="66"/>
        <v>-10</v>
      </c>
      <c r="K570">
        <f t="shared" si="67"/>
        <v>16</v>
      </c>
      <c r="L570">
        <v>4</v>
      </c>
      <c r="M570">
        <v>15</v>
      </c>
      <c r="N570">
        <v>0</v>
      </c>
      <c r="O570" s="3">
        <f t="shared" si="68"/>
        <v>0.26666666666666666</v>
      </c>
      <c r="P570" s="3">
        <f t="shared" si="69"/>
        <v>0.25</v>
      </c>
      <c r="Q570" s="3">
        <f t="shared" si="70"/>
        <v>0.9375</v>
      </c>
      <c r="R570" s="3">
        <f t="shared" si="71"/>
        <v>0</v>
      </c>
      <c r="S570">
        <v>-65</v>
      </c>
      <c r="T570" s="4">
        <v>0.15</v>
      </c>
      <c r="U570">
        <v>91</v>
      </c>
      <c r="V570">
        <v>100</v>
      </c>
    </row>
    <row r="571" spans="1:22">
      <c r="A571">
        <v>567</v>
      </c>
      <c r="B571" s="2">
        <v>46218</v>
      </c>
      <c r="C571" t="s">
        <v>34</v>
      </c>
      <c r="D571" t="s">
        <v>24</v>
      </c>
      <c r="E571" t="s">
        <v>25</v>
      </c>
      <c r="F571">
        <v>5</v>
      </c>
      <c r="G571">
        <v>13</v>
      </c>
      <c r="H571" t="str">
        <f t="shared" si="64"/>
        <v>Loss</v>
      </c>
      <c r="I571">
        <f t="shared" si="65"/>
        <v>0</v>
      </c>
      <c r="J571">
        <f t="shared" si="66"/>
        <v>-8</v>
      </c>
      <c r="K571">
        <f t="shared" si="67"/>
        <v>18</v>
      </c>
      <c r="L571">
        <v>12</v>
      </c>
      <c r="M571">
        <v>14</v>
      </c>
      <c r="N571">
        <v>4</v>
      </c>
      <c r="O571" s="3">
        <f t="shared" si="68"/>
        <v>0.8571428571428571</v>
      </c>
      <c r="P571" s="3">
        <f t="shared" si="69"/>
        <v>0.66666666666666663</v>
      </c>
      <c r="Q571" s="3">
        <f t="shared" si="70"/>
        <v>0.77777777777777779</v>
      </c>
      <c r="R571" s="3">
        <f t="shared" si="71"/>
        <v>0.22222222222222221</v>
      </c>
      <c r="S571">
        <v>9</v>
      </c>
      <c r="T571" s="4">
        <v>0.06</v>
      </c>
      <c r="U571">
        <v>192</v>
      </c>
      <c r="V571">
        <v>475</v>
      </c>
    </row>
    <row r="572" spans="1:22">
      <c r="A572">
        <v>568</v>
      </c>
      <c r="B572" s="2">
        <v>46218</v>
      </c>
      <c r="C572" t="s">
        <v>23</v>
      </c>
      <c r="D572" t="s">
        <v>32</v>
      </c>
      <c r="E572" t="s">
        <v>28</v>
      </c>
      <c r="F572">
        <v>9</v>
      </c>
      <c r="G572">
        <v>13</v>
      </c>
      <c r="H572" t="str">
        <f t="shared" si="64"/>
        <v>Loss</v>
      </c>
      <c r="I572">
        <f t="shared" si="65"/>
        <v>0</v>
      </c>
      <c r="J572">
        <f t="shared" si="66"/>
        <v>-4</v>
      </c>
      <c r="K572">
        <f t="shared" si="67"/>
        <v>22</v>
      </c>
      <c r="L572">
        <v>9</v>
      </c>
      <c r="M572">
        <v>20</v>
      </c>
      <c r="N572">
        <v>5</v>
      </c>
      <c r="O572" s="3">
        <f t="shared" si="68"/>
        <v>0.45</v>
      </c>
      <c r="P572" s="3">
        <f t="shared" si="69"/>
        <v>0.40909090909090912</v>
      </c>
      <c r="Q572" s="3">
        <f t="shared" si="70"/>
        <v>0.90909090909090906</v>
      </c>
      <c r="R572" s="3">
        <f t="shared" si="71"/>
        <v>0.22727272727272727</v>
      </c>
      <c r="S572">
        <v>-24</v>
      </c>
      <c r="T572" s="4">
        <v>0</v>
      </c>
      <c r="U572">
        <v>145</v>
      </c>
      <c r="V572">
        <v>245</v>
      </c>
    </row>
    <row r="573" spans="1:22">
      <c r="A573">
        <v>569</v>
      </c>
      <c r="B573" s="2">
        <v>46218</v>
      </c>
      <c r="C573" t="s">
        <v>29</v>
      </c>
      <c r="D573" t="s">
        <v>42</v>
      </c>
      <c r="E573" t="s">
        <v>25</v>
      </c>
      <c r="F573">
        <v>13</v>
      </c>
      <c r="G573">
        <v>3</v>
      </c>
      <c r="H573" t="str">
        <f t="shared" si="64"/>
        <v>Win</v>
      </c>
      <c r="I573">
        <f t="shared" si="65"/>
        <v>1</v>
      </c>
      <c r="J573">
        <f t="shared" si="66"/>
        <v>10</v>
      </c>
      <c r="K573">
        <f t="shared" si="67"/>
        <v>16</v>
      </c>
      <c r="L573">
        <v>15</v>
      </c>
      <c r="M573">
        <v>13</v>
      </c>
      <c r="N573">
        <v>4</v>
      </c>
      <c r="O573" s="3">
        <f t="shared" si="68"/>
        <v>1.1538461538461537</v>
      </c>
      <c r="P573" s="3">
        <f t="shared" si="69"/>
        <v>0.9375</v>
      </c>
      <c r="Q573" s="3">
        <f t="shared" si="70"/>
        <v>0.8125</v>
      </c>
      <c r="R573" s="3">
        <f t="shared" si="71"/>
        <v>0.25</v>
      </c>
      <c r="S573">
        <v>46</v>
      </c>
      <c r="T573" s="4">
        <v>0.11</v>
      </c>
      <c r="U573">
        <v>269</v>
      </c>
      <c r="V573">
        <v>857</v>
      </c>
    </row>
    <row r="574" spans="1:22">
      <c r="A574">
        <v>570</v>
      </c>
      <c r="B574" s="2">
        <v>46218</v>
      </c>
      <c r="C574" t="s">
        <v>41</v>
      </c>
      <c r="D574" t="s">
        <v>31</v>
      </c>
      <c r="E574" t="s">
        <v>51</v>
      </c>
      <c r="F574">
        <v>8</v>
      </c>
      <c r="G574">
        <v>13</v>
      </c>
      <c r="H574" t="str">
        <f t="shared" si="64"/>
        <v>Loss</v>
      </c>
      <c r="I574">
        <f t="shared" si="65"/>
        <v>0</v>
      </c>
      <c r="J574">
        <f t="shared" si="66"/>
        <v>-5</v>
      </c>
      <c r="K574">
        <f t="shared" si="67"/>
        <v>21</v>
      </c>
      <c r="L574">
        <v>6</v>
      </c>
      <c r="M574">
        <v>19</v>
      </c>
      <c r="N574">
        <v>4</v>
      </c>
      <c r="O574" s="3">
        <f t="shared" si="68"/>
        <v>0.31578947368421051</v>
      </c>
      <c r="P574" s="3">
        <f t="shared" si="69"/>
        <v>0.2857142857142857</v>
      </c>
      <c r="Q574" s="3">
        <f t="shared" si="70"/>
        <v>0.90476190476190477</v>
      </c>
      <c r="R574" s="3">
        <f t="shared" si="71"/>
        <v>0.19047619047619047</v>
      </c>
      <c r="S574">
        <v>-57</v>
      </c>
      <c r="T574" s="4">
        <v>0.05</v>
      </c>
      <c r="U574">
        <v>95</v>
      </c>
      <c r="V574">
        <v>119</v>
      </c>
    </row>
    <row r="575" spans="1:22">
      <c r="A575">
        <v>571</v>
      </c>
      <c r="B575" s="2">
        <v>46217</v>
      </c>
      <c r="C575" t="s">
        <v>41</v>
      </c>
      <c r="D575" t="s">
        <v>37</v>
      </c>
      <c r="E575" t="s">
        <v>47</v>
      </c>
      <c r="F575">
        <v>2</v>
      </c>
      <c r="G575">
        <v>13</v>
      </c>
      <c r="H575" t="str">
        <f t="shared" si="64"/>
        <v>Loss</v>
      </c>
      <c r="I575">
        <f t="shared" si="65"/>
        <v>0</v>
      </c>
      <c r="J575">
        <f t="shared" si="66"/>
        <v>-11</v>
      </c>
      <c r="K575">
        <f t="shared" si="67"/>
        <v>15</v>
      </c>
      <c r="L575">
        <v>11</v>
      </c>
      <c r="M575">
        <v>14</v>
      </c>
      <c r="N575">
        <v>3</v>
      </c>
      <c r="O575" s="3">
        <f t="shared" si="68"/>
        <v>0.7857142857142857</v>
      </c>
      <c r="P575" s="3">
        <f t="shared" si="69"/>
        <v>0.73333333333333328</v>
      </c>
      <c r="Q575" s="3">
        <f t="shared" si="70"/>
        <v>0.93333333333333335</v>
      </c>
      <c r="R575" s="3">
        <f t="shared" si="71"/>
        <v>0.2</v>
      </c>
      <c r="S575">
        <v>23</v>
      </c>
      <c r="T575" s="4">
        <v>0.06</v>
      </c>
      <c r="U575">
        <v>246</v>
      </c>
      <c r="V575">
        <v>511</v>
      </c>
    </row>
    <row r="576" spans="1:22">
      <c r="A576">
        <v>572</v>
      </c>
      <c r="B576" s="2">
        <v>46217</v>
      </c>
      <c r="C576" t="s">
        <v>34</v>
      </c>
      <c r="D576" t="s">
        <v>30</v>
      </c>
      <c r="E576" t="s">
        <v>47</v>
      </c>
      <c r="F576">
        <v>14</v>
      </c>
      <c r="G576">
        <v>12</v>
      </c>
      <c r="H576" t="str">
        <f t="shared" si="64"/>
        <v>Win</v>
      </c>
      <c r="I576">
        <f t="shared" si="65"/>
        <v>1</v>
      </c>
      <c r="J576">
        <f t="shared" si="66"/>
        <v>2</v>
      </c>
      <c r="K576">
        <f t="shared" si="67"/>
        <v>26</v>
      </c>
      <c r="L576">
        <v>16</v>
      </c>
      <c r="M576">
        <v>20</v>
      </c>
      <c r="N576">
        <v>4</v>
      </c>
      <c r="O576" s="3">
        <f t="shared" si="68"/>
        <v>0.8</v>
      </c>
      <c r="P576" s="3">
        <f t="shared" si="69"/>
        <v>0.61538461538461542</v>
      </c>
      <c r="Q576" s="3">
        <f t="shared" si="70"/>
        <v>0.76923076923076927</v>
      </c>
      <c r="R576" s="3">
        <f t="shared" si="71"/>
        <v>0.15384615384615385</v>
      </c>
      <c r="S576">
        <v>-10</v>
      </c>
      <c r="T576" s="4">
        <v>0.05</v>
      </c>
      <c r="U576">
        <v>187</v>
      </c>
      <c r="V576">
        <v>496</v>
      </c>
    </row>
    <row r="577" spans="1:22">
      <c r="A577">
        <v>573</v>
      </c>
      <c r="B577" s="2">
        <v>46217</v>
      </c>
      <c r="C577" t="s">
        <v>29</v>
      </c>
      <c r="D577" t="s">
        <v>30</v>
      </c>
      <c r="E577" t="s">
        <v>47</v>
      </c>
      <c r="F577">
        <v>7</v>
      </c>
      <c r="G577">
        <v>13</v>
      </c>
      <c r="H577" t="str">
        <f t="shared" si="64"/>
        <v>Loss</v>
      </c>
      <c r="I577">
        <f t="shared" si="65"/>
        <v>0</v>
      </c>
      <c r="J577">
        <f t="shared" si="66"/>
        <v>-6</v>
      </c>
      <c r="K577">
        <f t="shared" si="67"/>
        <v>20</v>
      </c>
      <c r="L577">
        <v>10</v>
      </c>
      <c r="M577">
        <v>18</v>
      </c>
      <c r="N577">
        <v>5</v>
      </c>
      <c r="O577" s="3">
        <f t="shared" si="68"/>
        <v>0.55555555555555558</v>
      </c>
      <c r="P577" s="3">
        <f t="shared" si="69"/>
        <v>0.5</v>
      </c>
      <c r="Q577" s="3">
        <f t="shared" si="70"/>
        <v>0.9</v>
      </c>
      <c r="R577" s="3">
        <f t="shared" si="71"/>
        <v>0.25</v>
      </c>
      <c r="S577">
        <v>5</v>
      </c>
      <c r="T577" s="4">
        <v>0.06</v>
      </c>
      <c r="U577">
        <v>182</v>
      </c>
      <c r="V577">
        <v>397</v>
      </c>
    </row>
    <row r="578" spans="1:22">
      <c r="A578">
        <v>574</v>
      </c>
      <c r="B578" s="2">
        <v>46217</v>
      </c>
      <c r="C578" t="s">
        <v>26</v>
      </c>
      <c r="D578" t="s">
        <v>42</v>
      </c>
      <c r="E578" t="s">
        <v>47</v>
      </c>
      <c r="F578">
        <v>9</v>
      </c>
      <c r="G578">
        <v>3</v>
      </c>
      <c r="H578" t="str">
        <f t="shared" si="64"/>
        <v>Win</v>
      </c>
      <c r="I578">
        <f t="shared" si="65"/>
        <v>1</v>
      </c>
      <c r="J578">
        <f t="shared" si="66"/>
        <v>6</v>
      </c>
      <c r="K578">
        <f t="shared" si="67"/>
        <v>12</v>
      </c>
      <c r="L578">
        <v>11</v>
      </c>
      <c r="M578">
        <v>9</v>
      </c>
      <c r="N578">
        <v>0</v>
      </c>
      <c r="O578" s="3">
        <f t="shared" si="68"/>
        <v>1.2222222222222223</v>
      </c>
      <c r="P578" s="3">
        <f t="shared" si="69"/>
        <v>0.91666666666666663</v>
      </c>
      <c r="Q578" s="3">
        <f t="shared" si="70"/>
        <v>0.75</v>
      </c>
      <c r="R578" s="3">
        <f t="shared" si="71"/>
        <v>0</v>
      </c>
      <c r="S578">
        <v>-19</v>
      </c>
      <c r="T578" s="4">
        <v>0.15</v>
      </c>
      <c r="U578">
        <v>236</v>
      </c>
      <c r="V578">
        <v>648</v>
      </c>
    </row>
    <row r="579" spans="1:22">
      <c r="A579">
        <v>575</v>
      </c>
      <c r="B579" s="2">
        <v>46217</v>
      </c>
      <c r="C579" t="s">
        <v>26</v>
      </c>
      <c r="D579" t="s">
        <v>27</v>
      </c>
      <c r="E579" t="s">
        <v>47</v>
      </c>
      <c r="F579">
        <v>13</v>
      </c>
      <c r="G579">
        <v>9</v>
      </c>
      <c r="H579" t="str">
        <f t="shared" si="64"/>
        <v>Win</v>
      </c>
      <c r="I579">
        <f t="shared" si="65"/>
        <v>1</v>
      </c>
      <c r="J579">
        <f t="shared" si="66"/>
        <v>4</v>
      </c>
      <c r="K579">
        <f t="shared" si="67"/>
        <v>22</v>
      </c>
      <c r="L579">
        <v>16</v>
      </c>
      <c r="M579">
        <v>19</v>
      </c>
      <c r="N579">
        <v>7</v>
      </c>
      <c r="O579" s="3">
        <f t="shared" si="68"/>
        <v>0.84210526315789469</v>
      </c>
      <c r="P579" s="3">
        <f t="shared" si="69"/>
        <v>0.72727272727272729</v>
      </c>
      <c r="Q579" s="3">
        <f t="shared" si="70"/>
        <v>0.86363636363636365</v>
      </c>
      <c r="R579" s="3">
        <f t="shared" si="71"/>
        <v>0.31818181818181818</v>
      </c>
      <c r="S579">
        <v>-25</v>
      </c>
      <c r="T579" s="4">
        <v>0.1</v>
      </c>
      <c r="U579">
        <v>222</v>
      </c>
      <c r="V579">
        <v>594</v>
      </c>
    </row>
    <row r="580" spans="1:22">
      <c r="A580">
        <v>576</v>
      </c>
      <c r="B580" s="2">
        <v>46216</v>
      </c>
      <c r="C580" t="s">
        <v>41</v>
      </c>
      <c r="D580" t="s">
        <v>37</v>
      </c>
      <c r="E580" t="s">
        <v>47</v>
      </c>
      <c r="F580">
        <v>7</v>
      </c>
      <c r="G580">
        <v>13</v>
      </c>
      <c r="H580" t="str">
        <f t="shared" si="64"/>
        <v>Loss</v>
      </c>
      <c r="I580">
        <f t="shared" si="65"/>
        <v>0</v>
      </c>
      <c r="J580">
        <f t="shared" si="66"/>
        <v>-6</v>
      </c>
      <c r="K580">
        <f t="shared" si="67"/>
        <v>20</v>
      </c>
      <c r="L580">
        <v>13</v>
      </c>
      <c r="M580">
        <v>18</v>
      </c>
      <c r="N580">
        <v>6</v>
      </c>
      <c r="O580" s="3">
        <f t="shared" si="68"/>
        <v>0.72222222222222221</v>
      </c>
      <c r="P580" s="3">
        <f t="shared" si="69"/>
        <v>0.65</v>
      </c>
      <c r="Q580" s="3">
        <f t="shared" si="70"/>
        <v>0.9</v>
      </c>
      <c r="R580" s="3">
        <f t="shared" si="71"/>
        <v>0.3</v>
      </c>
      <c r="S580">
        <v>6</v>
      </c>
      <c r="T580" s="4">
        <v>0.11</v>
      </c>
      <c r="U580">
        <v>212</v>
      </c>
      <c r="V580">
        <v>453</v>
      </c>
    </row>
    <row r="581" spans="1:22">
      <c r="A581">
        <v>577</v>
      </c>
      <c r="B581" s="2">
        <v>46216</v>
      </c>
      <c r="C581" t="s">
        <v>34</v>
      </c>
      <c r="D581" t="s">
        <v>27</v>
      </c>
      <c r="E581" t="s">
        <v>50</v>
      </c>
      <c r="F581">
        <v>13</v>
      </c>
      <c r="G581">
        <v>5</v>
      </c>
      <c r="H581" t="str">
        <f t="shared" ref="H581:H644" si="72">IF(F581&gt;G581,"Win",IF(F581&lt;G581,"Loss","Draw"))</f>
        <v>Win</v>
      </c>
      <c r="I581">
        <f t="shared" ref="I581:I644" si="73">IF(H581="Win",1,0)</f>
        <v>1</v>
      </c>
      <c r="J581">
        <f t="shared" ref="J581:J644" si="74">F581-G581</f>
        <v>8</v>
      </c>
      <c r="K581">
        <f t="shared" ref="K581:K644" si="75">F581+G581</f>
        <v>18</v>
      </c>
      <c r="L581">
        <v>12</v>
      </c>
      <c r="M581">
        <v>12</v>
      </c>
      <c r="N581">
        <v>5</v>
      </c>
      <c r="O581" s="3">
        <f t="shared" ref="O581:O644" si="76">IFERROR(L581/M581,0)</f>
        <v>1</v>
      </c>
      <c r="P581" s="3">
        <f t="shared" ref="P581:P644" si="77">IFERROR(L581/K581,0)</f>
        <v>0.66666666666666663</v>
      </c>
      <c r="Q581" s="3">
        <f t="shared" ref="Q581:Q644" si="78">IFERROR(M581/K581,0)</f>
        <v>0.66666666666666663</v>
      </c>
      <c r="R581" s="3">
        <f t="shared" ref="R581:R644" si="79">IFERROR(N581/K581,0)</f>
        <v>0.27777777777777779</v>
      </c>
      <c r="S581">
        <v>13</v>
      </c>
      <c r="T581" s="4">
        <v>0.15</v>
      </c>
      <c r="U581">
        <v>215</v>
      </c>
      <c r="V581">
        <v>748</v>
      </c>
    </row>
    <row r="582" spans="1:22">
      <c r="A582">
        <v>578</v>
      </c>
      <c r="B582" s="2">
        <v>46216</v>
      </c>
      <c r="C582" t="s">
        <v>41</v>
      </c>
      <c r="D582" t="s">
        <v>32</v>
      </c>
      <c r="E582" t="s">
        <v>38</v>
      </c>
      <c r="F582">
        <v>8</v>
      </c>
      <c r="G582">
        <v>13</v>
      </c>
      <c r="H582" t="str">
        <f t="shared" si="72"/>
        <v>Loss</v>
      </c>
      <c r="I582">
        <f t="shared" si="73"/>
        <v>0</v>
      </c>
      <c r="J582">
        <f t="shared" si="74"/>
        <v>-5</v>
      </c>
      <c r="K582">
        <f t="shared" si="75"/>
        <v>21</v>
      </c>
      <c r="L582">
        <v>8</v>
      </c>
      <c r="M582">
        <v>18</v>
      </c>
      <c r="N582">
        <v>8</v>
      </c>
      <c r="O582" s="3">
        <f t="shared" si="76"/>
        <v>0.44444444444444442</v>
      </c>
      <c r="P582" s="3">
        <f t="shared" si="77"/>
        <v>0.38095238095238093</v>
      </c>
      <c r="Q582" s="3">
        <f t="shared" si="78"/>
        <v>0.8571428571428571</v>
      </c>
      <c r="R582" s="3">
        <f t="shared" si="79"/>
        <v>0.38095238095238093</v>
      </c>
      <c r="S582">
        <v>-67</v>
      </c>
      <c r="T582" s="4">
        <v>0.18</v>
      </c>
      <c r="U582">
        <v>123</v>
      </c>
      <c r="V582">
        <v>153</v>
      </c>
    </row>
    <row r="583" spans="1:22">
      <c r="A583">
        <v>579</v>
      </c>
      <c r="B583" s="2">
        <v>46216</v>
      </c>
      <c r="C583" t="s">
        <v>40</v>
      </c>
      <c r="D583" t="s">
        <v>24</v>
      </c>
      <c r="E583" t="s">
        <v>25</v>
      </c>
      <c r="F583">
        <v>13</v>
      </c>
      <c r="G583">
        <v>9</v>
      </c>
      <c r="H583" t="str">
        <f t="shared" si="72"/>
        <v>Win</v>
      </c>
      <c r="I583">
        <f t="shared" si="73"/>
        <v>1</v>
      </c>
      <c r="J583">
        <f t="shared" si="74"/>
        <v>4</v>
      </c>
      <c r="K583">
        <f t="shared" si="75"/>
        <v>22</v>
      </c>
      <c r="L583">
        <v>14</v>
      </c>
      <c r="M583">
        <v>13</v>
      </c>
      <c r="N583">
        <v>4</v>
      </c>
      <c r="O583" s="3">
        <f t="shared" si="76"/>
        <v>1.0769230769230769</v>
      </c>
      <c r="P583" s="3">
        <f t="shared" si="77"/>
        <v>0.63636363636363635</v>
      </c>
      <c r="Q583" s="3">
        <f t="shared" si="78"/>
        <v>0.59090909090909094</v>
      </c>
      <c r="R583" s="3">
        <f t="shared" si="79"/>
        <v>0.18181818181818182</v>
      </c>
      <c r="S583">
        <v>-4</v>
      </c>
      <c r="T583" s="4">
        <v>0.04</v>
      </c>
      <c r="U583">
        <v>164</v>
      </c>
      <c r="V583">
        <v>533</v>
      </c>
    </row>
    <row r="584" spans="1:22">
      <c r="A584">
        <v>580</v>
      </c>
      <c r="B584" s="2">
        <v>46216</v>
      </c>
      <c r="C584" t="s">
        <v>26</v>
      </c>
      <c r="D584" t="s">
        <v>27</v>
      </c>
      <c r="E584" t="s">
        <v>50</v>
      </c>
      <c r="F584">
        <v>10</v>
      </c>
      <c r="G584">
        <v>13</v>
      </c>
      <c r="H584" t="str">
        <f t="shared" si="72"/>
        <v>Loss</v>
      </c>
      <c r="I584">
        <f t="shared" si="73"/>
        <v>0</v>
      </c>
      <c r="J584">
        <f t="shared" si="74"/>
        <v>-3</v>
      </c>
      <c r="K584">
        <f t="shared" si="75"/>
        <v>23</v>
      </c>
      <c r="L584">
        <v>16</v>
      </c>
      <c r="M584">
        <v>19</v>
      </c>
      <c r="N584">
        <v>2</v>
      </c>
      <c r="O584" s="3">
        <f t="shared" si="76"/>
        <v>0.84210526315789469</v>
      </c>
      <c r="P584" s="3">
        <f t="shared" si="77"/>
        <v>0.69565217391304346</v>
      </c>
      <c r="Q584" s="3">
        <f t="shared" si="78"/>
        <v>0.82608695652173914</v>
      </c>
      <c r="R584" s="3">
        <f t="shared" si="79"/>
        <v>8.6956521739130432E-2</v>
      </c>
      <c r="S584">
        <v>-11</v>
      </c>
      <c r="T584" s="4">
        <v>0.08</v>
      </c>
      <c r="U584">
        <v>201</v>
      </c>
      <c r="V584">
        <v>409</v>
      </c>
    </row>
    <row r="585" spans="1:22">
      <c r="A585">
        <v>581</v>
      </c>
      <c r="B585" s="2">
        <v>46215</v>
      </c>
      <c r="C585" t="s">
        <v>41</v>
      </c>
      <c r="D585" t="s">
        <v>30</v>
      </c>
      <c r="E585" t="s">
        <v>25</v>
      </c>
      <c r="F585">
        <v>12</v>
      </c>
      <c r="G585">
        <v>14</v>
      </c>
      <c r="H585" t="str">
        <f t="shared" si="72"/>
        <v>Loss</v>
      </c>
      <c r="I585">
        <f t="shared" si="73"/>
        <v>0</v>
      </c>
      <c r="J585">
        <f t="shared" si="74"/>
        <v>-2</v>
      </c>
      <c r="K585">
        <f t="shared" si="75"/>
        <v>26</v>
      </c>
      <c r="L585">
        <v>11</v>
      </c>
      <c r="M585">
        <v>21</v>
      </c>
      <c r="N585">
        <v>2</v>
      </c>
      <c r="O585" s="3">
        <f t="shared" si="76"/>
        <v>0.52380952380952384</v>
      </c>
      <c r="P585" s="3">
        <f t="shared" si="77"/>
        <v>0.42307692307692307</v>
      </c>
      <c r="Q585" s="3">
        <f t="shared" si="78"/>
        <v>0.80769230769230771</v>
      </c>
      <c r="R585" s="3">
        <f t="shared" si="79"/>
        <v>7.6923076923076927E-2</v>
      </c>
      <c r="S585">
        <v>-32</v>
      </c>
      <c r="T585" s="4">
        <v>0.13</v>
      </c>
      <c r="U585">
        <v>130</v>
      </c>
      <c r="V585">
        <v>222</v>
      </c>
    </row>
    <row r="586" spans="1:22">
      <c r="A586">
        <v>582</v>
      </c>
      <c r="B586" s="2">
        <v>46215</v>
      </c>
      <c r="C586" t="s">
        <v>26</v>
      </c>
      <c r="D586" t="s">
        <v>27</v>
      </c>
      <c r="E586" t="s">
        <v>50</v>
      </c>
      <c r="F586">
        <v>11</v>
      </c>
      <c r="G586">
        <v>5</v>
      </c>
      <c r="H586" t="str">
        <f t="shared" si="72"/>
        <v>Win</v>
      </c>
      <c r="I586">
        <f t="shared" si="73"/>
        <v>1</v>
      </c>
      <c r="J586">
        <f t="shared" si="74"/>
        <v>6</v>
      </c>
      <c r="K586">
        <f t="shared" si="75"/>
        <v>16</v>
      </c>
      <c r="L586">
        <v>15</v>
      </c>
      <c r="M586">
        <v>12</v>
      </c>
      <c r="N586">
        <v>4</v>
      </c>
      <c r="O586" s="3">
        <f t="shared" si="76"/>
        <v>1.25</v>
      </c>
      <c r="P586" s="3">
        <f t="shared" si="77"/>
        <v>0.9375</v>
      </c>
      <c r="Q586" s="3">
        <f t="shared" si="78"/>
        <v>0.75</v>
      </c>
      <c r="R586" s="3">
        <f t="shared" si="79"/>
        <v>0.25</v>
      </c>
      <c r="S586">
        <v>17</v>
      </c>
      <c r="T586" s="4">
        <v>0.12</v>
      </c>
      <c r="U586">
        <v>239</v>
      </c>
      <c r="V586">
        <v>831</v>
      </c>
    </row>
    <row r="587" spans="1:22">
      <c r="A587">
        <v>583</v>
      </c>
      <c r="B587" s="2">
        <v>46215</v>
      </c>
      <c r="C587" t="s">
        <v>29</v>
      </c>
      <c r="D587" t="s">
        <v>46</v>
      </c>
      <c r="E587" t="s">
        <v>25</v>
      </c>
      <c r="F587">
        <v>6</v>
      </c>
      <c r="G587">
        <v>13</v>
      </c>
      <c r="H587" t="str">
        <f t="shared" si="72"/>
        <v>Loss</v>
      </c>
      <c r="I587">
        <f t="shared" si="73"/>
        <v>0</v>
      </c>
      <c r="J587">
        <f t="shared" si="74"/>
        <v>-7</v>
      </c>
      <c r="K587">
        <f t="shared" si="75"/>
        <v>19</v>
      </c>
      <c r="L587">
        <v>17</v>
      </c>
      <c r="M587">
        <v>14</v>
      </c>
      <c r="N587">
        <v>7</v>
      </c>
      <c r="O587" s="3">
        <f t="shared" si="76"/>
        <v>1.2142857142857142</v>
      </c>
      <c r="P587" s="3">
        <f t="shared" si="77"/>
        <v>0.89473684210526316</v>
      </c>
      <c r="Q587" s="3">
        <f t="shared" si="78"/>
        <v>0.73684210526315785</v>
      </c>
      <c r="R587" s="3">
        <f t="shared" si="79"/>
        <v>0.36842105263157893</v>
      </c>
      <c r="S587">
        <v>52</v>
      </c>
      <c r="T587" s="4">
        <v>0.11</v>
      </c>
      <c r="U587">
        <v>278</v>
      </c>
      <c r="V587">
        <v>561</v>
      </c>
    </row>
    <row r="588" spans="1:22">
      <c r="A588">
        <v>584</v>
      </c>
      <c r="B588" s="2">
        <v>46214</v>
      </c>
      <c r="C588" t="s">
        <v>40</v>
      </c>
      <c r="D588" t="s">
        <v>31</v>
      </c>
      <c r="E588" t="s">
        <v>25</v>
      </c>
      <c r="F588">
        <v>13</v>
      </c>
      <c r="G588">
        <v>10</v>
      </c>
      <c r="H588" t="str">
        <f t="shared" si="72"/>
        <v>Win</v>
      </c>
      <c r="I588">
        <f t="shared" si="73"/>
        <v>1</v>
      </c>
      <c r="J588">
        <f t="shared" si="74"/>
        <v>3</v>
      </c>
      <c r="K588">
        <f t="shared" si="75"/>
        <v>23</v>
      </c>
      <c r="L588">
        <v>11</v>
      </c>
      <c r="M588">
        <v>17</v>
      </c>
      <c r="N588">
        <v>3</v>
      </c>
      <c r="O588" s="3">
        <f t="shared" si="76"/>
        <v>0.6470588235294118</v>
      </c>
      <c r="P588" s="3">
        <f t="shared" si="77"/>
        <v>0.47826086956521741</v>
      </c>
      <c r="Q588" s="3">
        <f t="shared" si="78"/>
        <v>0.73913043478260865</v>
      </c>
      <c r="R588" s="3">
        <f t="shared" si="79"/>
        <v>0.13043478260869565</v>
      </c>
      <c r="S588">
        <v>-24</v>
      </c>
      <c r="T588" s="4">
        <v>0.2</v>
      </c>
      <c r="U588">
        <v>135</v>
      </c>
      <c r="V588">
        <v>316</v>
      </c>
    </row>
    <row r="589" spans="1:22">
      <c r="A589">
        <v>585</v>
      </c>
      <c r="B589" s="2">
        <v>46214</v>
      </c>
      <c r="C589" t="s">
        <v>34</v>
      </c>
      <c r="D589" t="s">
        <v>30</v>
      </c>
      <c r="E589" t="s">
        <v>49</v>
      </c>
      <c r="F589">
        <v>13</v>
      </c>
      <c r="G589">
        <v>8</v>
      </c>
      <c r="H589" t="str">
        <f t="shared" si="72"/>
        <v>Win</v>
      </c>
      <c r="I589">
        <f t="shared" si="73"/>
        <v>1</v>
      </c>
      <c r="J589">
        <f t="shared" si="74"/>
        <v>5</v>
      </c>
      <c r="K589">
        <f t="shared" si="75"/>
        <v>21</v>
      </c>
      <c r="L589">
        <v>12</v>
      </c>
      <c r="M589">
        <v>11</v>
      </c>
      <c r="N589">
        <v>1</v>
      </c>
      <c r="O589" s="3">
        <f t="shared" si="76"/>
        <v>1.0909090909090908</v>
      </c>
      <c r="P589" s="3">
        <f t="shared" si="77"/>
        <v>0.5714285714285714</v>
      </c>
      <c r="Q589" s="3">
        <f t="shared" si="78"/>
        <v>0.52380952380952384</v>
      </c>
      <c r="R589" s="3">
        <f t="shared" si="79"/>
        <v>4.7619047619047616E-2</v>
      </c>
      <c r="S589">
        <v>-4</v>
      </c>
      <c r="T589" s="4">
        <v>0.02</v>
      </c>
      <c r="U589">
        <v>136</v>
      </c>
      <c r="V589">
        <v>476</v>
      </c>
    </row>
    <row r="590" spans="1:22">
      <c r="A590">
        <v>586</v>
      </c>
      <c r="B590" s="2">
        <v>46214</v>
      </c>
      <c r="C590" t="s">
        <v>26</v>
      </c>
      <c r="D590" t="s">
        <v>32</v>
      </c>
      <c r="E590" t="s">
        <v>25</v>
      </c>
      <c r="F590">
        <v>2</v>
      </c>
      <c r="G590">
        <v>13</v>
      </c>
      <c r="H590" t="str">
        <f t="shared" si="72"/>
        <v>Loss</v>
      </c>
      <c r="I590">
        <f t="shared" si="73"/>
        <v>0</v>
      </c>
      <c r="J590">
        <f t="shared" si="74"/>
        <v>-11</v>
      </c>
      <c r="K590">
        <f t="shared" si="75"/>
        <v>15</v>
      </c>
      <c r="L590">
        <v>4</v>
      </c>
      <c r="M590">
        <v>15</v>
      </c>
      <c r="N590">
        <v>2</v>
      </c>
      <c r="O590" s="3">
        <f t="shared" si="76"/>
        <v>0.26666666666666666</v>
      </c>
      <c r="P590" s="3">
        <f t="shared" si="77"/>
        <v>0.26666666666666666</v>
      </c>
      <c r="Q590" s="3">
        <f t="shared" si="78"/>
        <v>1</v>
      </c>
      <c r="R590" s="3">
        <f t="shared" si="79"/>
        <v>0.13333333333333333</v>
      </c>
      <c r="S590">
        <v>-91</v>
      </c>
      <c r="T590" s="4">
        <v>0.05</v>
      </c>
      <c r="U590">
        <v>105</v>
      </c>
      <c r="V590">
        <v>100</v>
      </c>
    </row>
    <row r="591" spans="1:22">
      <c r="A591">
        <v>587</v>
      </c>
      <c r="B591" s="2">
        <v>46214</v>
      </c>
      <c r="C591" t="s">
        <v>41</v>
      </c>
      <c r="D591" t="s">
        <v>36</v>
      </c>
      <c r="E591" t="s">
        <v>51</v>
      </c>
      <c r="F591">
        <v>13</v>
      </c>
      <c r="G591">
        <v>11</v>
      </c>
      <c r="H591" t="str">
        <f t="shared" si="72"/>
        <v>Win</v>
      </c>
      <c r="I591">
        <f t="shared" si="73"/>
        <v>1</v>
      </c>
      <c r="J591">
        <f t="shared" si="74"/>
        <v>2</v>
      </c>
      <c r="K591">
        <f t="shared" si="75"/>
        <v>24</v>
      </c>
      <c r="L591">
        <v>17</v>
      </c>
      <c r="M591">
        <v>14</v>
      </c>
      <c r="N591">
        <v>5</v>
      </c>
      <c r="O591" s="3">
        <f t="shared" si="76"/>
        <v>1.2142857142857142</v>
      </c>
      <c r="P591" s="3">
        <f t="shared" si="77"/>
        <v>0.70833333333333337</v>
      </c>
      <c r="Q591" s="3">
        <f t="shared" si="78"/>
        <v>0.58333333333333337</v>
      </c>
      <c r="R591" s="3">
        <f t="shared" si="79"/>
        <v>0.20833333333333334</v>
      </c>
      <c r="S591">
        <v>47</v>
      </c>
      <c r="T591" s="4">
        <v>0.11</v>
      </c>
      <c r="U591">
        <v>204</v>
      </c>
      <c r="V591">
        <v>774</v>
      </c>
    </row>
    <row r="592" spans="1:22">
      <c r="A592">
        <v>588</v>
      </c>
      <c r="B592" s="2">
        <v>46213</v>
      </c>
      <c r="C592" t="s">
        <v>26</v>
      </c>
      <c r="D592" t="s">
        <v>32</v>
      </c>
      <c r="E592" t="s">
        <v>25</v>
      </c>
      <c r="F592">
        <v>13</v>
      </c>
      <c r="G592">
        <v>11</v>
      </c>
      <c r="H592" t="str">
        <f t="shared" si="72"/>
        <v>Win</v>
      </c>
      <c r="I592">
        <f t="shared" si="73"/>
        <v>1</v>
      </c>
      <c r="J592">
        <f t="shared" si="74"/>
        <v>2</v>
      </c>
      <c r="K592">
        <f t="shared" si="75"/>
        <v>24</v>
      </c>
      <c r="L592">
        <v>10</v>
      </c>
      <c r="M592">
        <v>17</v>
      </c>
      <c r="N592">
        <v>4</v>
      </c>
      <c r="O592" s="3">
        <f t="shared" si="76"/>
        <v>0.58823529411764708</v>
      </c>
      <c r="P592" s="3">
        <f t="shared" si="77"/>
        <v>0.41666666666666669</v>
      </c>
      <c r="Q592" s="3">
        <f t="shared" si="78"/>
        <v>0.70833333333333337</v>
      </c>
      <c r="R592" s="3">
        <f t="shared" si="79"/>
        <v>0.16666666666666666</v>
      </c>
      <c r="S592">
        <v>-32</v>
      </c>
      <c r="T592" s="4">
        <v>0.08</v>
      </c>
      <c r="U592">
        <v>130</v>
      </c>
      <c r="V592">
        <v>304</v>
      </c>
    </row>
    <row r="593" spans="1:22">
      <c r="A593">
        <v>589</v>
      </c>
      <c r="B593" s="2">
        <v>46213</v>
      </c>
      <c r="C593" t="s">
        <v>23</v>
      </c>
      <c r="D593" t="s">
        <v>31</v>
      </c>
      <c r="E593" t="s">
        <v>43</v>
      </c>
      <c r="F593">
        <v>6</v>
      </c>
      <c r="G593">
        <v>13</v>
      </c>
      <c r="H593" t="str">
        <f t="shared" si="72"/>
        <v>Loss</v>
      </c>
      <c r="I593">
        <f t="shared" si="73"/>
        <v>0</v>
      </c>
      <c r="J593">
        <f t="shared" si="74"/>
        <v>-7</v>
      </c>
      <c r="K593">
        <f t="shared" si="75"/>
        <v>19</v>
      </c>
      <c r="L593">
        <v>6</v>
      </c>
      <c r="M593">
        <v>19</v>
      </c>
      <c r="N593">
        <v>2</v>
      </c>
      <c r="O593" s="3">
        <f t="shared" si="76"/>
        <v>0.31578947368421051</v>
      </c>
      <c r="P593" s="3">
        <f t="shared" si="77"/>
        <v>0.31578947368421051</v>
      </c>
      <c r="Q593" s="3">
        <f t="shared" si="78"/>
        <v>1</v>
      </c>
      <c r="R593" s="3">
        <f t="shared" si="79"/>
        <v>0.10526315789473684</v>
      </c>
      <c r="S593">
        <v>-89</v>
      </c>
      <c r="T593" s="4">
        <v>0</v>
      </c>
      <c r="U593">
        <v>96</v>
      </c>
      <c r="V593">
        <v>100</v>
      </c>
    </row>
    <row r="594" spans="1:22">
      <c r="A594">
        <v>590</v>
      </c>
      <c r="B594" s="2">
        <v>46213</v>
      </c>
      <c r="C594" t="s">
        <v>23</v>
      </c>
      <c r="D594" t="s">
        <v>30</v>
      </c>
      <c r="E594" t="s">
        <v>51</v>
      </c>
      <c r="F594">
        <v>10</v>
      </c>
      <c r="G594">
        <v>13</v>
      </c>
      <c r="H594" t="str">
        <f t="shared" si="72"/>
        <v>Loss</v>
      </c>
      <c r="I594">
        <f t="shared" si="73"/>
        <v>0</v>
      </c>
      <c r="J594">
        <f t="shared" si="74"/>
        <v>-3</v>
      </c>
      <c r="K594">
        <f t="shared" si="75"/>
        <v>23</v>
      </c>
      <c r="L594">
        <v>13</v>
      </c>
      <c r="M594">
        <v>17</v>
      </c>
      <c r="N594">
        <v>2</v>
      </c>
      <c r="O594" s="3">
        <f t="shared" si="76"/>
        <v>0.76470588235294112</v>
      </c>
      <c r="P594" s="3">
        <f t="shared" si="77"/>
        <v>0.56521739130434778</v>
      </c>
      <c r="Q594" s="3">
        <f t="shared" si="78"/>
        <v>0.73913043478260865</v>
      </c>
      <c r="R594" s="3">
        <f t="shared" si="79"/>
        <v>8.6956521739130432E-2</v>
      </c>
      <c r="S594">
        <v>4</v>
      </c>
      <c r="T594" s="4">
        <v>0.11</v>
      </c>
      <c r="U594">
        <v>170</v>
      </c>
      <c r="V594">
        <v>338</v>
      </c>
    </row>
    <row r="595" spans="1:22">
      <c r="A595">
        <v>591</v>
      </c>
      <c r="B595" s="2">
        <v>46212</v>
      </c>
      <c r="C595" t="s">
        <v>41</v>
      </c>
      <c r="D595" t="s">
        <v>46</v>
      </c>
      <c r="E595" t="s">
        <v>50</v>
      </c>
      <c r="F595">
        <v>13</v>
      </c>
      <c r="G595">
        <v>8</v>
      </c>
      <c r="H595" t="str">
        <f t="shared" si="72"/>
        <v>Win</v>
      </c>
      <c r="I595">
        <f t="shared" si="73"/>
        <v>1</v>
      </c>
      <c r="J595">
        <f t="shared" si="74"/>
        <v>5</v>
      </c>
      <c r="K595">
        <f t="shared" si="75"/>
        <v>21</v>
      </c>
      <c r="L595">
        <v>18</v>
      </c>
      <c r="M595">
        <v>17</v>
      </c>
      <c r="N595">
        <v>2</v>
      </c>
      <c r="O595" s="3">
        <f t="shared" si="76"/>
        <v>1.0588235294117647</v>
      </c>
      <c r="P595" s="3">
        <f t="shared" si="77"/>
        <v>0.8571428571428571</v>
      </c>
      <c r="Q595" s="3">
        <f t="shared" si="78"/>
        <v>0.80952380952380953</v>
      </c>
      <c r="R595" s="3">
        <f t="shared" si="79"/>
        <v>9.5238095238095233E-2</v>
      </c>
      <c r="S595">
        <v>28</v>
      </c>
      <c r="T595" s="4">
        <v>7.0000000000000007E-2</v>
      </c>
      <c r="U595">
        <v>247</v>
      </c>
      <c r="V595">
        <v>665</v>
      </c>
    </row>
    <row r="596" spans="1:22">
      <c r="A596">
        <v>592</v>
      </c>
      <c r="B596" s="2">
        <v>46212</v>
      </c>
      <c r="C596" t="s">
        <v>40</v>
      </c>
      <c r="D596" t="s">
        <v>36</v>
      </c>
      <c r="E596" t="s">
        <v>50</v>
      </c>
      <c r="F596">
        <v>13</v>
      </c>
      <c r="G596">
        <v>8</v>
      </c>
      <c r="H596" t="str">
        <f t="shared" si="72"/>
        <v>Win</v>
      </c>
      <c r="I596">
        <f t="shared" si="73"/>
        <v>1</v>
      </c>
      <c r="J596">
        <f t="shared" si="74"/>
        <v>5</v>
      </c>
      <c r="K596">
        <f t="shared" si="75"/>
        <v>21</v>
      </c>
      <c r="L596">
        <v>13</v>
      </c>
      <c r="M596">
        <v>13</v>
      </c>
      <c r="N596">
        <v>5</v>
      </c>
      <c r="O596" s="3">
        <f t="shared" si="76"/>
        <v>1</v>
      </c>
      <c r="P596" s="3">
        <f t="shared" si="77"/>
        <v>0.61904761904761907</v>
      </c>
      <c r="Q596" s="3">
        <f t="shared" si="78"/>
        <v>0.61904761904761907</v>
      </c>
      <c r="R596" s="3">
        <f t="shared" si="79"/>
        <v>0.23809523809523808</v>
      </c>
      <c r="S596">
        <v>18</v>
      </c>
      <c r="T596" s="4">
        <v>0.1</v>
      </c>
      <c r="U596">
        <v>196</v>
      </c>
      <c r="V596">
        <v>612</v>
      </c>
    </row>
    <row r="597" spans="1:22">
      <c r="A597">
        <v>593</v>
      </c>
      <c r="B597" s="2">
        <v>46211</v>
      </c>
      <c r="C597" t="s">
        <v>41</v>
      </c>
      <c r="D597" t="s">
        <v>37</v>
      </c>
      <c r="E597" t="s">
        <v>25</v>
      </c>
      <c r="F597">
        <v>13</v>
      </c>
      <c r="G597">
        <v>10</v>
      </c>
      <c r="H597" t="str">
        <f t="shared" si="72"/>
        <v>Win</v>
      </c>
      <c r="I597">
        <f t="shared" si="73"/>
        <v>1</v>
      </c>
      <c r="J597">
        <f t="shared" si="74"/>
        <v>3</v>
      </c>
      <c r="K597">
        <f t="shared" si="75"/>
        <v>23</v>
      </c>
      <c r="L597">
        <v>14</v>
      </c>
      <c r="M597">
        <v>17</v>
      </c>
      <c r="N597">
        <v>4</v>
      </c>
      <c r="O597" s="3">
        <f t="shared" si="76"/>
        <v>0.82352941176470584</v>
      </c>
      <c r="P597" s="3">
        <f t="shared" si="77"/>
        <v>0.60869565217391308</v>
      </c>
      <c r="Q597" s="3">
        <f t="shared" si="78"/>
        <v>0.73913043478260865</v>
      </c>
      <c r="R597" s="3">
        <f t="shared" si="79"/>
        <v>0.17391304347826086</v>
      </c>
      <c r="S597">
        <v>10</v>
      </c>
      <c r="T597" s="4">
        <v>0.18</v>
      </c>
      <c r="U597">
        <v>195</v>
      </c>
      <c r="V597">
        <v>525</v>
      </c>
    </row>
    <row r="598" spans="1:22">
      <c r="A598">
        <v>594</v>
      </c>
      <c r="B598" s="2">
        <v>46211</v>
      </c>
      <c r="C598" t="s">
        <v>26</v>
      </c>
      <c r="D598" t="s">
        <v>24</v>
      </c>
      <c r="E598" t="s">
        <v>25</v>
      </c>
      <c r="F598">
        <v>15</v>
      </c>
      <c r="G598">
        <v>15</v>
      </c>
      <c r="H598" t="str">
        <f t="shared" si="72"/>
        <v>Draw</v>
      </c>
      <c r="I598">
        <f t="shared" si="73"/>
        <v>0</v>
      </c>
      <c r="J598">
        <f t="shared" si="74"/>
        <v>0</v>
      </c>
      <c r="K598">
        <f t="shared" si="75"/>
        <v>30</v>
      </c>
      <c r="L598">
        <v>23</v>
      </c>
      <c r="M598">
        <v>19</v>
      </c>
      <c r="N598">
        <v>5</v>
      </c>
      <c r="O598" s="3">
        <f t="shared" si="76"/>
        <v>1.2105263157894737</v>
      </c>
      <c r="P598" s="3">
        <f t="shared" si="77"/>
        <v>0.76666666666666672</v>
      </c>
      <c r="Q598" s="3">
        <f t="shared" si="78"/>
        <v>0.6333333333333333</v>
      </c>
      <c r="R598" s="3">
        <f t="shared" si="79"/>
        <v>0.16666666666666666</v>
      </c>
      <c r="S598">
        <v>-1</v>
      </c>
      <c r="T598" s="4">
        <v>0.02</v>
      </c>
      <c r="U598">
        <v>193</v>
      </c>
      <c r="V598">
        <v>554</v>
      </c>
    </row>
    <row r="599" spans="1:22">
      <c r="A599">
        <v>595</v>
      </c>
      <c r="B599" s="2">
        <v>46211</v>
      </c>
      <c r="C599" t="s">
        <v>29</v>
      </c>
      <c r="D599" t="s">
        <v>32</v>
      </c>
      <c r="E599" t="s">
        <v>25</v>
      </c>
      <c r="F599">
        <v>15</v>
      </c>
      <c r="G599">
        <v>13</v>
      </c>
      <c r="H599" t="str">
        <f t="shared" si="72"/>
        <v>Win</v>
      </c>
      <c r="I599">
        <f t="shared" si="73"/>
        <v>1</v>
      </c>
      <c r="J599">
        <f t="shared" si="74"/>
        <v>2</v>
      </c>
      <c r="K599">
        <f t="shared" si="75"/>
        <v>28</v>
      </c>
      <c r="L599">
        <v>10</v>
      </c>
      <c r="M599">
        <v>21</v>
      </c>
      <c r="N599">
        <v>8</v>
      </c>
      <c r="O599" s="3">
        <f t="shared" si="76"/>
        <v>0.47619047619047616</v>
      </c>
      <c r="P599" s="3">
        <f t="shared" si="77"/>
        <v>0.35714285714285715</v>
      </c>
      <c r="Q599" s="3">
        <f t="shared" si="78"/>
        <v>0.75</v>
      </c>
      <c r="R599" s="3">
        <f t="shared" si="79"/>
        <v>0.2857142857142857</v>
      </c>
      <c r="S599">
        <v>-24</v>
      </c>
      <c r="T599" s="4">
        <v>0.13</v>
      </c>
      <c r="U599">
        <v>128</v>
      </c>
      <c r="V599">
        <v>365</v>
      </c>
    </row>
    <row r="600" spans="1:22">
      <c r="A600">
        <v>596</v>
      </c>
      <c r="B600" s="2">
        <v>46210</v>
      </c>
      <c r="C600" t="s">
        <v>26</v>
      </c>
      <c r="D600" t="s">
        <v>37</v>
      </c>
      <c r="E600" t="s">
        <v>25</v>
      </c>
      <c r="F600">
        <v>13</v>
      </c>
      <c r="G600">
        <v>9</v>
      </c>
      <c r="H600" t="str">
        <f t="shared" si="72"/>
        <v>Win</v>
      </c>
      <c r="I600">
        <f t="shared" si="73"/>
        <v>1</v>
      </c>
      <c r="J600">
        <f t="shared" si="74"/>
        <v>4</v>
      </c>
      <c r="K600">
        <f t="shared" si="75"/>
        <v>22</v>
      </c>
      <c r="L600">
        <v>21</v>
      </c>
      <c r="M600">
        <v>16</v>
      </c>
      <c r="N600">
        <v>2</v>
      </c>
      <c r="O600" s="3">
        <f t="shared" si="76"/>
        <v>1.3125</v>
      </c>
      <c r="P600" s="3">
        <f t="shared" si="77"/>
        <v>0.95454545454545459</v>
      </c>
      <c r="Q600" s="3">
        <f t="shared" si="78"/>
        <v>0.72727272727272729</v>
      </c>
      <c r="R600" s="3">
        <f t="shared" si="79"/>
        <v>9.0909090909090912E-2</v>
      </c>
      <c r="S600">
        <v>42</v>
      </c>
      <c r="T600" s="4">
        <v>0.1</v>
      </c>
      <c r="U600">
        <v>251</v>
      </c>
      <c r="V600">
        <v>642</v>
      </c>
    </row>
    <row r="601" spans="1:22">
      <c r="A601">
        <v>597</v>
      </c>
      <c r="B601" s="2">
        <v>46209</v>
      </c>
      <c r="C601" t="s">
        <v>29</v>
      </c>
      <c r="D601" t="s">
        <v>24</v>
      </c>
      <c r="E601" t="s">
        <v>25</v>
      </c>
      <c r="F601">
        <v>3</v>
      </c>
      <c r="G601">
        <v>13</v>
      </c>
      <c r="H601" t="str">
        <f t="shared" si="72"/>
        <v>Loss</v>
      </c>
      <c r="I601">
        <f t="shared" si="73"/>
        <v>0</v>
      </c>
      <c r="J601">
        <f t="shared" si="74"/>
        <v>-10</v>
      </c>
      <c r="K601">
        <f t="shared" si="75"/>
        <v>16</v>
      </c>
      <c r="L601">
        <v>6</v>
      </c>
      <c r="M601">
        <v>15</v>
      </c>
      <c r="N601">
        <v>7</v>
      </c>
      <c r="O601" s="3">
        <f t="shared" si="76"/>
        <v>0.4</v>
      </c>
      <c r="P601" s="3">
        <f t="shared" si="77"/>
        <v>0.375</v>
      </c>
      <c r="Q601" s="3">
        <f t="shared" si="78"/>
        <v>0.9375</v>
      </c>
      <c r="R601" s="3">
        <f t="shared" si="79"/>
        <v>0.4375</v>
      </c>
      <c r="S601">
        <v>-21</v>
      </c>
      <c r="T601" s="4">
        <v>0.06</v>
      </c>
      <c r="U601">
        <v>154</v>
      </c>
      <c r="V601">
        <v>219</v>
      </c>
    </row>
    <row r="602" spans="1:22">
      <c r="A602">
        <v>598</v>
      </c>
      <c r="B602" s="2">
        <v>46209</v>
      </c>
      <c r="C602" t="s">
        <v>23</v>
      </c>
      <c r="D602" t="s">
        <v>36</v>
      </c>
      <c r="E602" t="s">
        <v>39</v>
      </c>
      <c r="F602">
        <v>13</v>
      </c>
      <c r="G602">
        <v>8</v>
      </c>
      <c r="H602" t="str">
        <f t="shared" si="72"/>
        <v>Win</v>
      </c>
      <c r="I602">
        <f t="shared" si="73"/>
        <v>1</v>
      </c>
      <c r="J602">
        <f t="shared" si="74"/>
        <v>5</v>
      </c>
      <c r="K602">
        <f t="shared" si="75"/>
        <v>21</v>
      </c>
      <c r="L602">
        <v>16</v>
      </c>
      <c r="M602">
        <v>20</v>
      </c>
      <c r="N602">
        <v>7</v>
      </c>
      <c r="O602" s="3">
        <f t="shared" si="76"/>
        <v>0.8</v>
      </c>
      <c r="P602" s="3">
        <f t="shared" si="77"/>
        <v>0.76190476190476186</v>
      </c>
      <c r="Q602" s="3">
        <f t="shared" si="78"/>
        <v>0.95238095238095233</v>
      </c>
      <c r="R602" s="3">
        <f t="shared" si="79"/>
        <v>0.33333333333333331</v>
      </c>
      <c r="S602">
        <v>-14</v>
      </c>
      <c r="T602" s="4">
        <v>0.06</v>
      </c>
      <c r="U602">
        <v>230</v>
      </c>
      <c r="V602">
        <v>699</v>
      </c>
    </row>
    <row r="603" spans="1:22">
      <c r="A603">
        <v>599</v>
      </c>
      <c r="B603" s="2">
        <v>46209</v>
      </c>
      <c r="C603" t="s">
        <v>23</v>
      </c>
      <c r="D603" t="s">
        <v>24</v>
      </c>
      <c r="E603" t="s">
        <v>50</v>
      </c>
      <c r="F603">
        <v>1</v>
      </c>
      <c r="G603">
        <v>13</v>
      </c>
      <c r="H603" t="str">
        <f t="shared" si="72"/>
        <v>Loss</v>
      </c>
      <c r="I603">
        <f t="shared" si="73"/>
        <v>0</v>
      </c>
      <c r="J603">
        <f t="shared" si="74"/>
        <v>-12</v>
      </c>
      <c r="K603">
        <f t="shared" si="75"/>
        <v>14</v>
      </c>
      <c r="L603">
        <v>7</v>
      </c>
      <c r="M603">
        <v>13</v>
      </c>
      <c r="N603">
        <v>2</v>
      </c>
      <c r="O603" s="3">
        <f t="shared" si="76"/>
        <v>0.53846153846153844</v>
      </c>
      <c r="P603" s="3">
        <f t="shared" si="77"/>
        <v>0.5</v>
      </c>
      <c r="Q603" s="3">
        <f t="shared" si="78"/>
        <v>0.9285714285714286</v>
      </c>
      <c r="R603" s="3">
        <f t="shared" si="79"/>
        <v>0.14285714285714285</v>
      </c>
      <c r="S603">
        <v>-37</v>
      </c>
      <c r="T603" s="4">
        <v>0.13</v>
      </c>
      <c r="U603">
        <v>150</v>
      </c>
      <c r="V603">
        <v>175</v>
      </c>
    </row>
    <row r="604" spans="1:22">
      <c r="A604">
        <v>600</v>
      </c>
      <c r="B604" s="2">
        <v>46209</v>
      </c>
      <c r="C604" t="s">
        <v>29</v>
      </c>
      <c r="D604" t="s">
        <v>46</v>
      </c>
      <c r="E604" t="s">
        <v>25</v>
      </c>
      <c r="F604">
        <v>12</v>
      </c>
      <c r="G604">
        <v>14</v>
      </c>
      <c r="H604" t="str">
        <f t="shared" si="72"/>
        <v>Loss</v>
      </c>
      <c r="I604">
        <f t="shared" si="73"/>
        <v>0</v>
      </c>
      <c r="J604">
        <f t="shared" si="74"/>
        <v>-2</v>
      </c>
      <c r="K604">
        <f t="shared" si="75"/>
        <v>26</v>
      </c>
      <c r="L604">
        <v>26</v>
      </c>
      <c r="M604">
        <v>19</v>
      </c>
      <c r="N604">
        <v>12</v>
      </c>
      <c r="O604" s="3">
        <f t="shared" si="76"/>
        <v>1.368421052631579</v>
      </c>
      <c r="P604" s="3">
        <f t="shared" si="77"/>
        <v>1</v>
      </c>
      <c r="Q604" s="3">
        <f t="shared" si="78"/>
        <v>0.73076923076923073</v>
      </c>
      <c r="R604" s="3">
        <f t="shared" si="79"/>
        <v>0.46153846153846156</v>
      </c>
      <c r="S604">
        <v>68</v>
      </c>
      <c r="T604" s="4">
        <v>0.14000000000000001</v>
      </c>
      <c r="U604">
        <v>283</v>
      </c>
      <c r="V604">
        <v>875</v>
      </c>
    </row>
    <row r="605" spans="1:22">
      <c r="A605">
        <v>601</v>
      </c>
      <c r="B605" s="2">
        <v>46209</v>
      </c>
      <c r="C605" t="s">
        <v>26</v>
      </c>
      <c r="D605" t="s">
        <v>24</v>
      </c>
      <c r="E605" t="s">
        <v>25</v>
      </c>
      <c r="F605">
        <v>7</v>
      </c>
      <c r="G605">
        <v>13</v>
      </c>
      <c r="H605" t="str">
        <f t="shared" si="72"/>
        <v>Loss</v>
      </c>
      <c r="I605">
        <f t="shared" si="73"/>
        <v>0</v>
      </c>
      <c r="J605">
        <f t="shared" si="74"/>
        <v>-6</v>
      </c>
      <c r="K605">
        <f t="shared" si="75"/>
        <v>20</v>
      </c>
      <c r="L605">
        <v>12</v>
      </c>
      <c r="M605">
        <v>17</v>
      </c>
      <c r="N605">
        <v>2</v>
      </c>
      <c r="O605" s="3">
        <f t="shared" si="76"/>
        <v>0.70588235294117652</v>
      </c>
      <c r="P605" s="3">
        <f t="shared" si="77"/>
        <v>0.6</v>
      </c>
      <c r="Q605" s="3">
        <f t="shared" si="78"/>
        <v>0.85</v>
      </c>
      <c r="R605" s="3">
        <f t="shared" si="79"/>
        <v>0.1</v>
      </c>
      <c r="S605">
        <v>-22</v>
      </c>
      <c r="T605" s="4">
        <v>0.02</v>
      </c>
      <c r="U605">
        <v>175</v>
      </c>
      <c r="V605">
        <v>258</v>
      </c>
    </row>
    <row r="606" spans="1:22">
      <c r="A606">
        <v>602</v>
      </c>
      <c r="B606" s="2">
        <v>46209</v>
      </c>
      <c r="C606" t="s">
        <v>40</v>
      </c>
      <c r="D606" t="s">
        <v>37</v>
      </c>
      <c r="E606" t="s">
        <v>25</v>
      </c>
      <c r="F606">
        <v>11</v>
      </c>
      <c r="G606">
        <v>2</v>
      </c>
      <c r="H606" t="str">
        <f t="shared" si="72"/>
        <v>Win</v>
      </c>
      <c r="I606">
        <f t="shared" si="73"/>
        <v>1</v>
      </c>
      <c r="J606">
        <f t="shared" si="74"/>
        <v>9</v>
      </c>
      <c r="K606">
        <f t="shared" si="75"/>
        <v>13</v>
      </c>
      <c r="L606">
        <v>9</v>
      </c>
      <c r="M606">
        <v>9</v>
      </c>
      <c r="N606">
        <v>2</v>
      </c>
      <c r="O606" s="3">
        <f t="shared" si="76"/>
        <v>1</v>
      </c>
      <c r="P606" s="3">
        <f t="shared" si="77"/>
        <v>0.69230769230769229</v>
      </c>
      <c r="Q606" s="3">
        <f t="shared" si="78"/>
        <v>0.69230769230769229</v>
      </c>
      <c r="R606" s="3">
        <f t="shared" si="79"/>
        <v>0.15384615384615385</v>
      </c>
      <c r="S606">
        <v>15</v>
      </c>
      <c r="T606" s="4">
        <v>7.0000000000000007E-2</v>
      </c>
      <c r="U606">
        <v>204</v>
      </c>
      <c r="V606">
        <v>682</v>
      </c>
    </row>
    <row r="607" spans="1:22">
      <c r="A607">
        <v>603</v>
      </c>
      <c r="B607" s="2">
        <v>46207</v>
      </c>
      <c r="C607" t="s">
        <v>26</v>
      </c>
      <c r="D607" t="s">
        <v>27</v>
      </c>
      <c r="E607" t="s">
        <v>25</v>
      </c>
      <c r="F607">
        <v>11</v>
      </c>
      <c r="G607">
        <v>13</v>
      </c>
      <c r="H607" t="str">
        <f t="shared" si="72"/>
        <v>Loss</v>
      </c>
      <c r="I607">
        <f t="shared" si="73"/>
        <v>0</v>
      </c>
      <c r="J607">
        <f t="shared" si="74"/>
        <v>-2</v>
      </c>
      <c r="K607">
        <f t="shared" si="75"/>
        <v>24</v>
      </c>
      <c r="L607">
        <v>19</v>
      </c>
      <c r="M607">
        <v>17</v>
      </c>
      <c r="N607">
        <v>4</v>
      </c>
      <c r="O607" s="3">
        <f t="shared" si="76"/>
        <v>1.1176470588235294</v>
      </c>
      <c r="P607" s="3">
        <f t="shared" si="77"/>
        <v>0.79166666666666663</v>
      </c>
      <c r="Q607" s="3">
        <f t="shared" si="78"/>
        <v>0.70833333333333337</v>
      </c>
      <c r="R607" s="3">
        <f t="shared" si="79"/>
        <v>0.16666666666666666</v>
      </c>
      <c r="S607">
        <v>6</v>
      </c>
      <c r="T607" s="4">
        <v>0.13</v>
      </c>
      <c r="U607">
        <v>201</v>
      </c>
      <c r="V607">
        <v>576</v>
      </c>
    </row>
    <row r="608" spans="1:22">
      <c r="A608">
        <v>604</v>
      </c>
      <c r="B608" s="2">
        <v>46207</v>
      </c>
      <c r="C608" t="s">
        <v>41</v>
      </c>
      <c r="D608" t="s">
        <v>42</v>
      </c>
      <c r="E608" t="s">
        <v>25</v>
      </c>
      <c r="F608">
        <v>5</v>
      </c>
      <c r="G608">
        <v>13</v>
      </c>
      <c r="H608" t="str">
        <f t="shared" si="72"/>
        <v>Loss</v>
      </c>
      <c r="I608">
        <f t="shared" si="73"/>
        <v>0</v>
      </c>
      <c r="J608">
        <f t="shared" si="74"/>
        <v>-8</v>
      </c>
      <c r="K608">
        <f t="shared" si="75"/>
        <v>18</v>
      </c>
      <c r="L608">
        <v>16</v>
      </c>
      <c r="M608">
        <v>14</v>
      </c>
      <c r="N608">
        <v>3</v>
      </c>
      <c r="O608" s="3">
        <f t="shared" si="76"/>
        <v>1.1428571428571428</v>
      </c>
      <c r="P608" s="3">
        <f t="shared" si="77"/>
        <v>0.88888888888888884</v>
      </c>
      <c r="Q608" s="3">
        <f t="shared" si="78"/>
        <v>0.77777777777777779</v>
      </c>
      <c r="R608" s="3">
        <f t="shared" si="79"/>
        <v>0.16666666666666666</v>
      </c>
      <c r="S608">
        <v>22</v>
      </c>
      <c r="T608" s="4">
        <v>0.11</v>
      </c>
      <c r="U608">
        <v>261</v>
      </c>
      <c r="V608">
        <v>548</v>
      </c>
    </row>
    <row r="609" spans="1:22">
      <c r="A609">
        <v>605</v>
      </c>
      <c r="B609" s="2">
        <v>46207</v>
      </c>
      <c r="C609" t="s">
        <v>41</v>
      </c>
      <c r="D609" t="s">
        <v>27</v>
      </c>
      <c r="E609" t="s">
        <v>25</v>
      </c>
      <c r="F609">
        <v>13</v>
      </c>
      <c r="G609">
        <v>6</v>
      </c>
      <c r="H609" t="str">
        <f t="shared" si="72"/>
        <v>Win</v>
      </c>
      <c r="I609">
        <f t="shared" si="73"/>
        <v>1</v>
      </c>
      <c r="J609">
        <f t="shared" si="74"/>
        <v>7</v>
      </c>
      <c r="K609">
        <f t="shared" si="75"/>
        <v>19</v>
      </c>
      <c r="L609">
        <v>18</v>
      </c>
      <c r="M609">
        <v>11</v>
      </c>
      <c r="N609">
        <v>0</v>
      </c>
      <c r="O609" s="3">
        <f t="shared" si="76"/>
        <v>1.6363636363636365</v>
      </c>
      <c r="P609" s="3">
        <f t="shared" si="77"/>
        <v>0.94736842105263153</v>
      </c>
      <c r="Q609" s="3">
        <f t="shared" si="78"/>
        <v>0.57894736842105265</v>
      </c>
      <c r="R609" s="3">
        <f t="shared" si="79"/>
        <v>0</v>
      </c>
      <c r="S609">
        <v>49</v>
      </c>
      <c r="T609" s="4">
        <v>0.15</v>
      </c>
      <c r="U609">
        <v>236</v>
      </c>
      <c r="V609">
        <v>750</v>
      </c>
    </row>
    <row r="610" spans="1:22">
      <c r="A610">
        <v>606</v>
      </c>
      <c r="B610" s="2">
        <v>46207</v>
      </c>
      <c r="C610" t="s">
        <v>23</v>
      </c>
      <c r="D610" t="s">
        <v>27</v>
      </c>
      <c r="E610" t="s">
        <v>39</v>
      </c>
      <c r="F610">
        <v>13</v>
      </c>
      <c r="G610">
        <v>11</v>
      </c>
      <c r="H610" t="str">
        <f t="shared" si="72"/>
        <v>Win</v>
      </c>
      <c r="I610">
        <f t="shared" si="73"/>
        <v>1</v>
      </c>
      <c r="J610">
        <f t="shared" si="74"/>
        <v>2</v>
      </c>
      <c r="K610">
        <f t="shared" si="75"/>
        <v>24</v>
      </c>
      <c r="L610">
        <v>18</v>
      </c>
      <c r="M610">
        <v>17</v>
      </c>
      <c r="N610">
        <v>5</v>
      </c>
      <c r="O610" s="3">
        <f t="shared" si="76"/>
        <v>1.0588235294117647</v>
      </c>
      <c r="P610" s="3">
        <f t="shared" si="77"/>
        <v>0.75</v>
      </c>
      <c r="Q610" s="3">
        <f t="shared" si="78"/>
        <v>0.70833333333333337</v>
      </c>
      <c r="R610" s="3">
        <f t="shared" si="79"/>
        <v>0.20833333333333334</v>
      </c>
      <c r="S610">
        <v>10</v>
      </c>
      <c r="T610" s="4">
        <v>0.03</v>
      </c>
      <c r="U610">
        <v>220</v>
      </c>
      <c r="V610">
        <v>650</v>
      </c>
    </row>
    <row r="611" spans="1:22">
      <c r="A611">
        <v>607</v>
      </c>
      <c r="B611" s="2">
        <v>46207</v>
      </c>
      <c r="C611" t="s">
        <v>26</v>
      </c>
      <c r="D611" t="s">
        <v>27</v>
      </c>
      <c r="E611" t="s">
        <v>25</v>
      </c>
      <c r="F611">
        <v>9</v>
      </c>
      <c r="G611">
        <v>13</v>
      </c>
      <c r="H611" t="str">
        <f t="shared" si="72"/>
        <v>Loss</v>
      </c>
      <c r="I611">
        <f t="shared" si="73"/>
        <v>0</v>
      </c>
      <c r="J611">
        <f t="shared" si="74"/>
        <v>-4</v>
      </c>
      <c r="K611">
        <f t="shared" si="75"/>
        <v>22</v>
      </c>
      <c r="L611">
        <v>15</v>
      </c>
      <c r="M611">
        <v>18</v>
      </c>
      <c r="N611">
        <v>2</v>
      </c>
      <c r="O611" s="3">
        <f t="shared" si="76"/>
        <v>0.83333333333333337</v>
      </c>
      <c r="P611" s="3">
        <f t="shared" si="77"/>
        <v>0.68181818181818177</v>
      </c>
      <c r="Q611" s="3">
        <f t="shared" si="78"/>
        <v>0.81818181818181823</v>
      </c>
      <c r="R611" s="3">
        <f t="shared" si="79"/>
        <v>9.0909090909090912E-2</v>
      </c>
      <c r="S611">
        <v>-6</v>
      </c>
      <c r="T611" s="4">
        <v>0.17</v>
      </c>
      <c r="U611">
        <v>180</v>
      </c>
      <c r="V611">
        <v>424</v>
      </c>
    </row>
    <row r="612" spans="1:22">
      <c r="A612">
        <v>608</v>
      </c>
      <c r="B612" s="2">
        <v>46207</v>
      </c>
      <c r="C612" t="s">
        <v>23</v>
      </c>
      <c r="D612" t="s">
        <v>36</v>
      </c>
      <c r="E612" t="s">
        <v>51</v>
      </c>
      <c r="F612">
        <v>11</v>
      </c>
      <c r="G612">
        <v>13</v>
      </c>
      <c r="H612" t="str">
        <f t="shared" si="72"/>
        <v>Loss</v>
      </c>
      <c r="I612">
        <f t="shared" si="73"/>
        <v>0</v>
      </c>
      <c r="J612">
        <f t="shared" si="74"/>
        <v>-2</v>
      </c>
      <c r="K612">
        <f t="shared" si="75"/>
        <v>24</v>
      </c>
      <c r="L612">
        <v>16</v>
      </c>
      <c r="M612">
        <v>18</v>
      </c>
      <c r="N612">
        <v>4</v>
      </c>
      <c r="O612" s="3">
        <f t="shared" si="76"/>
        <v>0.88888888888888884</v>
      </c>
      <c r="P612" s="3">
        <f t="shared" si="77"/>
        <v>0.66666666666666663</v>
      </c>
      <c r="Q612" s="3">
        <f t="shared" si="78"/>
        <v>0.75</v>
      </c>
      <c r="R612" s="3">
        <f t="shared" si="79"/>
        <v>0.16666666666666666</v>
      </c>
      <c r="S612">
        <v>8</v>
      </c>
      <c r="T612" s="4">
        <v>0.13</v>
      </c>
      <c r="U612">
        <v>199</v>
      </c>
      <c r="V612">
        <v>576</v>
      </c>
    </row>
    <row r="613" spans="1:22">
      <c r="A613">
        <v>609</v>
      </c>
      <c r="B613" s="2">
        <v>46207</v>
      </c>
      <c r="C613" t="s">
        <v>26</v>
      </c>
      <c r="D613" t="s">
        <v>36</v>
      </c>
      <c r="E613" t="s">
        <v>25</v>
      </c>
      <c r="F613">
        <v>13</v>
      </c>
      <c r="G613">
        <v>3</v>
      </c>
      <c r="H613" t="str">
        <f t="shared" si="72"/>
        <v>Win</v>
      </c>
      <c r="I613">
        <f t="shared" si="73"/>
        <v>1</v>
      </c>
      <c r="J613">
        <f t="shared" si="74"/>
        <v>10</v>
      </c>
      <c r="K613">
        <f t="shared" si="75"/>
        <v>16</v>
      </c>
      <c r="L613">
        <v>8</v>
      </c>
      <c r="M613">
        <v>9</v>
      </c>
      <c r="N613">
        <v>5</v>
      </c>
      <c r="O613" s="3">
        <f t="shared" si="76"/>
        <v>0.88888888888888884</v>
      </c>
      <c r="P613" s="3">
        <f t="shared" si="77"/>
        <v>0.5</v>
      </c>
      <c r="Q613" s="3">
        <f t="shared" si="78"/>
        <v>0.5625</v>
      </c>
      <c r="R613" s="3">
        <f t="shared" si="79"/>
        <v>0.3125</v>
      </c>
      <c r="S613">
        <v>11</v>
      </c>
      <c r="T613" s="4">
        <v>7.0000000000000007E-2</v>
      </c>
      <c r="U613">
        <v>169</v>
      </c>
      <c r="V613">
        <v>539</v>
      </c>
    </row>
    <row r="614" spans="1:22">
      <c r="A614">
        <v>610</v>
      </c>
      <c r="B614" s="2">
        <v>46207</v>
      </c>
      <c r="C614" t="s">
        <v>54</v>
      </c>
      <c r="D614" t="s">
        <v>24</v>
      </c>
      <c r="E614" t="s">
        <v>45</v>
      </c>
      <c r="F614">
        <v>10</v>
      </c>
      <c r="G614">
        <v>13</v>
      </c>
      <c r="H614" t="str">
        <f t="shared" si="72"/>
        <v>Loss</v>
      </c>
      <c r="I614">
        <f t="shared" si="73"/>
        <v>0</v>
      </c>
      <c r="J614">
        <f t="shared" si="74"/>
        <v>-3</v>
      </c>
      <c r="K614">
        <f t="shared" si="75"/>
        <v>23</v>
      </c>
      <c r="L614">
        <v>13</v>
      </c>
      <c r="M614">
        <v>20</v>
      </c>
      <c r="N614">
        <v>0</v>
      </c>
      <c r="O614" s="3">
        <f t="shared" si="76"/>
        <v>0.65</v>
      </c>
      <c r="P614" s="3">
        <f t="shared" si="77"/>
        <v>0.56521739130434778</v>
      </c>
      <c r="Q614" s="3">
        <f t="shared" si="78"/>
        <v>0.86956521739130432</v>
      </c>
      <c r="R614" s="3">
        <f t="shared" si="79"/>
        <v>0</v>
      </c>
      <c r="S614">
        <v>-37</v>
      </c>
      <c r="T614" s="4">
        <v>0.13</v>
      </c>
      <c r="U614">
        <v>178</v>
      </c>
      <c r="V614">
        <v>294</v>
      </c>
    </row>
    <row r="615" spans="1:22">
      <c r="A615">
        <v>611</v>
      </c>
      <c r="B615" s="2">
        <v>46207</v>
      </c>
      <c r="C615" t="s">
        <v>41</v>
      </c>
      <c r="D615" t="s">
        <v>24</v>
      </c>
      <c r="E615" t="s">
        <v>38</v>
      </c>
      <c r="F615">
        <v>8</v>
      </c>
      <c r="G615">
        <v>13</v>
      </c>
      <c r="H615" t="str">
        <f t="shared" si="72"/>
        <v>Loss</v>
      </c>
      <c r="I615">
        <f t="shared" si="73"/>
        <v>0</v>
      </c>
      <c r="J615">
        <f t="shared" si="74"/>
        <v>-5</v>
      </c>
      <c r="K615">
        <f t="shared" si="75"/>
        <v>21</v>
      </c>
      <c r="L615">
        <v>11</v>
      </c>
      <c r="M615">
        <v>16</v>
      </c>
      <c r="N615">
        <v>3</v>
      </c>
      <c r="O615" s="3">
        <f t="shared" si="76"/>
        <v>0.6875</v>
      </c>
      <c r="P615" s="3">
        <f t="shared" si="77"/>
        <v>0.52380952380952384</v>
      </c>
      <c r="Q615" s="3">
        <f t="shared" si="78"/>
        <v>0.76190476190476186</v>
      </c>
      <c r="R615" s="3">
        <f t="shared" si="79"/>
        <v>0.14285714285714285</v>
      </c>
      <c r="S615">
        <v>-27</v>
      </c>
      <c r="T615" s="4">
        <v>0.02</v>
      </c>
      <c r="U615">
        <v>158</v>
      </c>
      <c r="V615">
        <v>231</v>
      </c>
    </row>
    <row r="616" spans="1:22">
      <c r="A616">
        <v>612</v>
      </c>
      <c r="B616" s="2">
        <v>46206</v>
      </c>
      <c r="C616" t="s">
        <v>34</v>
      </c>
      <c r="D616" t="s">
        <v>31</v>
      </c>
      <c r="E616" t="s">
        <v>25</v>
      </c>
      <c r="F616">
        <v>13</v>
      </c>
      <c r="G616">
        <v>7</v>
      </c>
      <c r="H616" t="str">
        <f t="shared" si="72"/>
        <v>Win</v>
      </c>
      <c r="I616">
        <f t="shared" si="73"/>
        <v>1</v>
      </c>
      <c r="J616">
        <f t="shared" si="74"/>
        <v>6</v>
      </c>
      <c r="K616">
        <f t="shared" si="75"/>
        <v>20</v>
      </c>
      <c r="L616">
        <v>8</v>
      </c>
      <c r="M616">
        <v>14</v>
      </c>
      <c r="N616">
        <v>3</v>
      </c>
      <c r="O616" s="3">
        <f t="shared" si="76"/>
        <v>0.5714285714285714</v>
      </c>
      <c r="P616" s="3">
        <f t="shared" si="77"/>
        <v>0.4</v>
      </c>
      <c r="Q616" s="3">
        <f t="shared" si="78"/>
        <v>0.7</v>
      </c>
      <c r="R616" s="3">
        <f t="shared" si="79"/>
        <v>0.15</v>
      </c>
      <c r="S616">
        <v>-32</v>
      </c>
      <c r="T616" s="4">
        <v>7.0000000000000007E-2</v>
      </c>
      <c r="U616">
        <v>123</v>
      </c>
      <c r="V616">
        <v>353</v>
      </c>
    </row>
    <row r="617" spans="1:22">
      <c r="A617">
        <v>613</v>
      </c>
      <c r="B617" s="2">
        <v>46206</v>
      </c>
      <c r="C617" t="s">
        <v>29</v>
      </c>
      <c r="D617" t="s">
        <v>31</v>
      </c>
      <c r="E617" t="s">
        <v>25</v>
      </c>
      <c r="F617">
        <v>10</v>
      </c>
      <c r="G617">
        <v>13</v>
      </c>
      <c r="H617" t="str">
        <f t="shared" si="72"/>
        <v>Loss</v>
      </c>
      <c r="I617">
        <f t="shared" si="73"/>
        <v>0</v>
      </c>
      <c r="J617">
        <f t="shared" si="74"/>
        <v>-3</v>
      </c>
      <c r="K617">
        <f t="shared" si="75"/>
        <v>23</v>
      </c>
      <c r="L617">
        <v>14</v>
      </c>
      <c r="M617">
        <v>18</v>
      </c>
      <c r="N617">
        <v>6</v>
      </c>
      <c r="O617" s="3">
        <f t="shared" si="76"/>
        <v>0.77777777777777779</v>
      </c>
      <c r="P617" s="3">
        <f t="shared" si="77"/>
        <v>0.60869565217391308</v>
      </c>
      <c r="Q617" s="3">
        <f t="shared" si="78"/>
        <v>0.78260869565217395</v>
      </c>
      <c r="R617" s="3">
        <f t="shared" si="79"/>
        <v>0.2608695652173913</v>
      </c>
      <c r="S617">
        <v>-7</v>
      </c>
      <c r="T617" s="4">
        <v>0.04</v>
      </c>
      <c r="U617">
        <v>187</v>
      </c>
      <c r="V617">
        <v>548</v>
      </c>
    </row>
    <row r="618" spans="1:22">
      <c r="A618">
        <v>614</v>
      </c>
      <c r="B618" s="2">
        <v>46206</v>
      </c>
      <c r="C618" t="s">
        <v>23</v>
      </c>
      <c r="D618" t="s">
        <v>27</v>
      </c>
      <c r="E618" t="s">
        <v>50</v>
      </c>
      <c r="F618">
        <v>13</v>
      </c>
      <c r="G618">
        <v>11</v>
      </c>
      <c r="H618" t="str">
        <f t="shared" si="72"/>
        <v>Win</v>
      </c>
      <c r="I618">
        <f t="shared" si="73"/>
        <v>1</v>
      </c>
      <c r="J618">
        <f t="shared" si="74"/>
        <v>2</v>
      </c>
      <c r="K618">
        <f t="shared" si="75"/>
        <v>24</v>
      </c>
      <c r="L618">
        <v>16</v>
      </c>
      <c r="M618">
        <v>23</v>
      </c>
      <c r="N618">
        <v>6</v>
      </c>
      <c r="O618" s="3">
        <f t="shared" si="76"/>
        <v>0.69565217391304346</v>
      </c>
      <c r="P618" s="3">
        <f t="shared" si="77"/>
        <v>0.66666666666666663</v>
      </c>
      <c r="Q618" s="3">
        <f t="shared" si="78"/>
        <v>0.95833333333333337</v>
      </c>
      <c r="R618" s="3">
        <f t="shared" si="79"/>
        <v>0.25</v>
      </c>
      <c r="S618">
        <v>-44</v>
      </c>
      <c r="T618" s="4">
        <v>0.01</v>
      </c>
      <c r="U618">
        <v>202</v>
      </c>
      <c r="V618">
        <v>399</v>
      </c>
    </row>
    <row r="619" spans="1:22">
      <c r="A619">
        <v>615</v>
      </c>
      <c r="B619" s="2">
        <v>46206</v>
      </c>
      <c r="C619" t="s">
        <v>54</v>
      </c>
      <c r="D619" t="s">
        <v>46</v>
      </c>
      <c r="E619" t="s">
        <v>51</v>
      </c>
      <c r="F619">
        <v>8</v>
      </c>
      <c r="G619">
        <v>13</v>
      </c>
      <c r="H619" t="str">
        <f t="shared" si="72"/>
        <v>Loss</v>
      </c>
      <c r="I619">
        <f t="shared" si="73"/>
        <v>0</v>
      </c>
      <c r="J619">
        <f t="shared" si="74"/>
        <v>-5</v>
      </c>
      <c r="K619">
        <f t="shared" si="75"/>
        <v>21</v>
      </c>
      <c r="L619">
        <v>20</v>
      </c>
      <c r="M619">
        <v>17</v>
      </c>
      <c r="N619">
        <v>4</v>
      </c>
      <c r="O619" s="3">
        <f t="shared" si="76"/>
        <v>1.1764705882352942</v>
      </c>
      <c r="P619" s="3">
        <f t="shared" si="77"/>
        <v>0.95238095238095233</v>
      </c>
      <c r="Q619" s="3">
        <f t="shared" si="78"/>
        <v>0.80952380952380953</v>
      </c>
      <c r="R619" s="3">
        <f t="shared" si="79"/>
        <v>0.19047619047619047</v>
      </c>
      <c r="S619">
        <v>49</v>
      </c>
      <c r="T619" s="4">
        <v>0.1</v>
      </c>
      <c r="U619">
        <v>291</v>
      </c>
      <c r="V619">
        <v>686</v>
      </c>
    </row>
    <row r="620" spans="1:22">
      <c r="A620">
        <v>616</v>
      </c>
      <c r="B620" s="2">
        <v>46206</v>
      </c>
      <c r="C620" t="s">
        <v>26</v>
      </c>
      <c r="D620" t="s">
        <v>27</v>
      </c>
      <c r="E620" t="s">
        <v>25</v>
      </c>
      <c r="F620">
        <v>9</v>
      </c>
      <c r="G620">
        <v>13</v>
      </c>
      <c r="H620" t="str">
        <f t="shared" si="72"/>
        <v>Loss</v>
      </c>
      <c r="I620">
        <f t="shared" si="73"/>
        <v>0</v>
      </c>
      <c r="J620">
        <f t="shared" si="74"/>
        <v>-4</v>
      </c>
      <c r="K620">
        <f t="shared" si="75"/>
        <v>22</v>
      </c>
      <c r="L620">
        <v>16</v>
      </c>
      <c r="M620">
        <v>18</v>
      </c>
      <c r="N620">
        <v>3</v>
      </c>
      <c r="O620" s="3">
        <f t="shared" si="76"/>
        <v>0.88888888888888884</v>
      </c>
      <c r="P620" s="3">
        <f t="shared" si="77"/>
        <v>0.72727272727272729</v>
      </c>
      <c r="Q620" s="3">
        <f t="shared" si="78"/>
        <v>0.81818181818181823</v>
      </c>
      <c r="R620" s="3">
        <f t="shared" si="79"/>
        <v>0.13636363636363635</v>
      </c>
      <c r="S620">
        <v>5</v>
      </c>
      <c r="T620" s="4">
        <v>0.05</v>
      </c>
      <c r="U620">
        <v>205</v>
      </c>
      <c r="V620">
        <v>452</v>
      </c>
    </row>
    <row r="621" spans="1:22">
      <c r="A621">
        <v>617</v>
      </c>
      <c r="B621" s="2">
        <v>46206</v>
      </c>
      <c r="C621" t="s">
        <v>41</v>
      </c>
      <c r="D621" t="s">
        <v>46</v>
      </c>
      <c r="E621" t="s">
        <v>38</v>
      </c>
      <c r="F621">
        <v>13</v>
      </c>
      <c r="G621">
        <v>10</v>
      </c>
      <c r="H621" t="str">
        <f t="shared" si="72"/>
        <v>Win</v>
      </c>
      <c r="I621">
        <f t="shared" si="73"/>
        <v>1</v>
      </c>
      <c r="J621">
        <f t="shared" si="74"/>
        <v>3</v>
      </c>
      <c r="K621">
        <f t="shared" si="75"/>
        <v>23</v>
      </c>
      <c r="L621">
        <v>23</v>
      </c>
      <c r="M621">
        <v>17</v>
      </c>
      <c r="N621">
        <v>8</v>
      </c>
      <c r="O621" s="3">
        <f t="shared" si="76"/>
        <v>1.3529411764705883</v>
      </c>
      <c r="P621" s="3">
        <f t="shared" si="77"/>
        <v>1</v>
      </c>
      <c r="Q621" s="3">
        <f t="shared" si="78"/>
        <v>0.73913043478260865</v>
      </c>
      <c r="R621" s="3">
        <f t="shared" si="79"/>
        <v>0.34782608695652173</v>
      </c>
      <c r="S621">
        <v>58</v>
      </c>
      <c r="T621" s="4">
        <v>0.15</v>
      </c>
      <c r="U621">
        <v>298</v>
      </c>
      <c r="V621">
        <v>899</v>
      </c>
    </row>
    <row r="622" spans="1:22">
      <c r="A622">
        <v>618</v>
      </c>
      <c r="B622" s="2">
        <v>46206</v>
      </c>
      <c r="C622" t="s">
        <v>41</v>
      </c>
      <c r="D622" t="s">
        <v>27</v>
      </c>
      <c r="E622" t="s">
        <v>25</v>
      </c>
      <c r="F622">
        <v>14</v>
      </c>
      <c r="G622">
        <v>16</v>
      </c>
      <c r="H622" t="str">
        <f t="shared" si="72"/>
        <v>Loss</v>
      </c>
      <c r="I622">
        <f t="shared" si="73"/>
        <v>0</v>
      </c>
      <c r="J622">
        <f t="shared" si="74"/>
        <v>-2</v>
      </c>
      <c r="K622">
        <f t="shared" si="75"/>
        <v>30</v>
      </c>
      <c r="L622">
        <v>24</v>
      </c>
      <c r="M622">
        <v>21</v>
      </c>
      <c r="N622">
        <v>5</v>
      </c>
      <c r="O622" s="3">
        <f t="shared" si="76"/>
        <v>1.1428571428571428</v>
      </c>
      <c r="P622" s="3">
        <f t="shared" si="77"/>
        <v>0.8</v>
      </c>
      <c r="Q622" s="3">
        <f t="shared" si="78"/>
        <v>0.7</v>
      </c>
      <c r="R622" s="3">
        <f t="shared" si="79"/>
        <v>0.16666666666666666</v>
      </c>
      <c r="S622">
        <v>20</v>
      </c>
      <c r="T622" s="4">
        <v>7.0000000000000007E-2</v>
      </c>
      <c r="U622">
        <v>247</v>
      </c>
      <c r="V622">
        <v>595</v>
      </c>
    </row>
    <row r="623" spans="1:22">
      <c r="A623">
        <v>619</v>
      </c>
      <c r="B623" s="2">
        <v>46206</v>
      </c>
      <c r="C623" t="s">
        <v>29</v>
      </c>
      <c r="D623" t="s">
        <v>24</v>
      </c>
      <c r="E623" t="s">
        <v>25</v>
      </c>
      <c r="F623">
        <v>12</v>
      </c>
      <c r="G623">
        <v>14</v>
      </c>
      <c r="H623" t="str">
        <f t="shared" si="72"/>
        <v>Loss</v>
      </c>
      <c r="I623">
        <f t="shared" si="73"/>
        <v>0</v>
      </c>
      <c r="J623">
        <f t="shared" si="74"/>
        <v>-2</v>
      </c>
      <c r="K623">
        <f t="shared" si="75"/>
        <v>26</v>
      </c>
      <c r="L623">
        <v>16</v>
      </c>
      <c r="M623">
        <v>20</v>
      </c>
      <c r="N623">
        <v>5</v>
      </c>
      <c r="O623" s="3">
        <f t="shared" si="76"/>
        <v>0.8</v>
      </c>
      <c r="P623" s="3">
        <f t="shared" si="77"/>
        <v>0.61538461538461542</v>
      </c>
      <c r="Q623" s="3">
        <f t="shared" si="78"/>
        <v>0.76923076923076927</v>
      </c>
      <c r="R623" s="3">
        <f t="shared" si="79"/>
        <v>0.19230769230769232</v>
      </c>
      <c r="S623">
        <v>-12</v>
      </c>
      <c r="T623" s="4">
        <v>0.08</v>
      </c>
      <c r="U623">
        <v>210</v>
      </c>
      <c r="V623">
        <v>505</v>
      </c>
    </row>
    <row r="624" spans="1:22">
      <c r="A624">
        <v>620</v>
      </c>
      <c r="B624" s="2">
        <v>46206</v>
      </c>
      <c r="C624" t="s">
        <v>34</v>
      </c>
      <c r="D624" t="s">
        <v>24</v>
      </c>
      <c r="E624" t="s">
        <v>25</v>
      </c>
      <c r="F624">
        <v>13</v>
      </c>
      <c r="G624">
        <v>8</v>
      </c>
      <c r="H624" t="str">
        <f t="shared" si="72"/>
        <v>Win</v>
      </c>
      <c r="I624">
        <f t="shared" si="73"/>
        <v>1</v>
      </c>
      <c r="J624">
        <f t="shared" si="74"/>
        <v>5</v>
      </c>
      <c r="K624">
        <f t="shared" si="75"/>
        <v>21</v>
      </c>
      <c r="L624">
        <v>10</v>
      </c>
      <c r="M624">
        <v>17</v>
      </c>
      <c r="N624">
        <v>11</v>
      </c>
      <c r="O624" s="3">
        <f t="shared" si="76"/>
        <v>0.58823529411764708</v>
      </c>
      <c r="P624" s="3">
        <f t="shared" si="77"/>
        <v>0.47619047619047616</v>
      </c>
      <c r="Q624" s="3">
        <f t="shared" si="78"/>
        <v>0.80952380952380953</v>
      </c>
      <c r="R624" s="3">
        <f t="shared" si="79"/>
        <v>0.52380952380952384</v>
      </c>
      <c r="S624">
        <v>-5</v>
      </c>
      <c r="T624" s="4">
        <v>0.06</v>
      </c>
      <c r="U624">
        <v>170</v>
      </c>
      <c r="V624">
        <v>577</v>
      </c>
    </row>
    <row r="625" spans="1:22">
      <c r="A625">
        <v>621</v>
      </c>
      <c r="B625" s="2">
        <v>46206</v>
      </c>
      <c r="C625" t="s">
        <v>26</v>
      </c>
      <c r="D625" t="s">
        <v>30</v>
      </c>
      <c r="E625" t="s">
        <v>25</v>
      </c>
      <c r="F625">
        <v>10</v>
      </c>
      <c r="G625">
        <v>13</v>
      </c>
      <c r="H625" t="str">
        <f t="shared" si="72"/>
        <v>Loss</v>
      </c>
      <c r="I625">
        <f t="shared" si="73"/>
        <v>0</v>
      </c>
      <c r="J625">
        <f t="shared" si="74"/>
        <v>-3</v>
      </c>
      <c r="K625">
        <f t="shared" si="75"/>
        <v>23</v>
      </c>
      <c r="L625">
        <v>10</v>
      </c>
      <c r="M625">
        <v>16</v>
      </c>
      <c r="N625">
        <v>3</v>
      </c>
      <c r="O625" s="3">
        <f t="shared" si="76"/>
        <v>0.625</v>
      </c>
      <c r="P625" s="3">
        <f t="shared" si="77"/>
        <v>0.43478260869565216</v>
      </c>
      <c r="Q625" s="3">
        <f t="shared" si="78"/>
        <v>0.69565217391304346</v>
      </c>
      <c r="R625" s="3">
        <f t="shared" si="79"/>
        <v>0.13043478260869565</v>
      </c>
      <c r="S625">
        <v>-22</v>
      </c>
      <c r="T625" s="4">
        <v>0.06</v>
      </c>
      <c r="U625">
        <v>127</v>
      </c>
      <c r="V625">
        <v>254</v>
      </c>
    </row>
    <row r="626" spans="1:22">
      <c r="A626">
        <v>622</v>
      </c>
      <c r="B626" s="2">
        <v>46205</v>
      </c>
      <c r="C626" t="s">
        <v>23</v>
      </c>
      <c r="D626" t="s">
        <v>37</v>
      </c>
      <c r="E626" t="s">
        <v>50</v>
      </c>
      <c r="F626">
        <v>13</v>
      </c>
      <c r="G626">
        <v>4</v>
      </c>
      <c r="H626" t="str">
        <f t="shared" si="72"/>
        <v>Win</v>
      </c>
      <c r="I626">
        <f t="shared" si="73"/>
        <v>1</v>
      </c>
      <c r="J626">
        <f t="shared" si="74"/>
        <v>9</v>
      </c>
      <c r="K626">
        <f t="shared" si="75"/>
        <v>17</v>
      </c>
      <c r="L626">
        <v>12</v>
      </c>
      <c r="M626">
        <v>10</v>
      </c>
      <c r="N626">
        <v>5</v>
      </c>
      <c r="O626" s="3">
        <f t="shared" si="76"/>
        <v>1.2</v>
      </c>
      <c r="P626" s="3">
        <f t="shared" si="77"/>
        <v>0.70588235294117652</v>
      </c>
      <c r="Q626" s="3">
        <f t="shared" si="78"/>
        <v>0.58823529411764708</v>
      </c>
      <c r="R626" s="3">
        <f t="shared" si="79"/>
        <v>0.29411764705882354</v>
      </c>
      <c r="S626">
        <v>25</v>
      </c>
      <c r="T626" s="4">
        <v>0.1</v>
      </c>
      <c r="U626">
        <v>204</v>
      </c>
      <c r="V626">
        <v>691</v>
      </c>
    </row>
    <row r="627" spans="1:22">
      <c r="A627">
        <v>623</v>
      </c>
      <c r="B627" s="2">
        <v>46205</v>
      </c>
      <c r="C627" t="s">
        <v>54</v>
      </c>
      <c r="D627" t="s">
        <v>46</v>
      </c>
      <c r="E627" t="s">
        <v>51</v>
      </c>
      <c r="F627">
        <v>11</v>
      </c>
      <c r="G627">
        <v>13</v>
      </c>
      <c r="H627" t="str">
        <f t="shared" si="72"/>
        <v>Loss</v>
      </c>
      <c r="I627">
        <f t="shared" si="73"/>
        <v>0</v>
      </c>
      <c r="J627">
        <f t="shared" si="74"/>
        <v>-2</v>
      </c>
      <c r="K627">
        <f t="shared" si="75"/>
        <v>24</v>
      </c>
      <c r="L627">
        <v>23</v>
      </c>
      <c r="M627">
        <v>15</v>
      </c>
      <c r="N627">
        <v>5</v>
      </c>
      <c r="O627" s="3">
        <f t="shared" si="76"/>
        <v>1.5333333333333334</v>
      </c>
      <c r="P627" s="3">
        <f t="shared" si="77"/>
        <v>0.95833333333333337</v>
      </c>
      <c r="Q627" s="3">
        <f t="shared" si="78"/>
        <v>0.625</v>
      </c>
      <c r="R627" s="3">
        <f t="shared" si="79"/>
        <v>0.20833333333333334</v>
      </c>
      <c r="S627">
        <v>55</v>
      </c>
      <c r="T627" s="4">
        <v>0.08</v>
      </c>
      <c r="U627">
        <v>271</v>
      </c>
      <c r="V627">
        <v>793</v>
      </c>
    </row>
    <row r="628" spans="1:22">
      <c r="A628">
        <v>624</v>
      </c>
      <c r="B628" s="2">
        <v>46205</v>
      </c>
      <c r="C628" t="s">
        <v>23</v>
      </c>
      <c r="D628" t="s">
        <v>36</v>
      </c>
      <c r="E628" t="s">
        <v>51</v>
      </c>
      <c r="F628">
        <v>9</v>
      </c>
      <c r="G628">
        <v>13</v>
      </c>
      <c r="H628" t="str">
        <f t="shared" si="72"/>
        <v>Loss</v>
      </c>
      <c r="I628">
        <f t="shared" si="73"/>
        <v>0</v>
      </c>
      <c r="J628">
        <f t="shared" si="74"/>
        <v>-4</v>
      </c>
      <c r="K628">
        <f t="shared" si="75"/>
        <v>22</v>
      </c>
      <c r="L628">
        <v>13</v>
      </c>
      <c r="M628">
        <v>17</v>
      </c>
      <c r="N628">
        <v>1</v>
      </c>
      <c r="O628" s="3">
        <f t="shared" si="76"/>
        <v>0.76470588235294112</v>
      </c>
      <c r="P628" s="3">
        <f t="shared" si="77"/>
        <v>0.59090909090909094</v>
      </c>
      <c r="Q628" s="3">
        <f t="shared" si="78"/>
        <v>0.77272727272727271</v>
      </c>
      <c r="R628" s="3">
        <f t="shared" si="79"/>
        <v>4.5454545454545456E-2</v>
      </c>
      <c r="S628">
        <v>-50</v>
      </c>
      <c r="T628" s="4">
        <v>0.04</v>
      </c>
      <c r="U628">
        <v>167</v>
      </c>
      <c r="V628">
        <v>204</v>
      </c>
    </row>
    <row r="629" spans="1:22">
      <c r="A629">
        <v>625</v>
      </c>
      <c r="B629" s="2">
        <v>46205</v>
      </c>
      <c r="C629" t="s">
        <v>41</v>
      </c>
      <c r="D629" t="s">
        <v>32</v>
      </c>
      <c r="E629" t="s">
        <v>51</v>
      </c>
      <c r="F629">
        <v>12</v>
      </c>
      <c r="G629">
        <v>14</v>
      </c>
      <c r="H629" t="str">
        <f t="shared" si="72"/>
        <v>Loss</v>
      </c>
      <c r="I629">
        <f t="shared" si="73"/>
        <v>0</v>
      </c>
      <c r="J629">
        <f t="shared" si="74"/>
        <v>-2</v>
      </c>
      <c r="K629">
        <f t="shared" si="75"/>
        <v>26</v>
      </c>
      <c r="L629">
        <v>12</v>
      </c>
      <c r="M629">
        <v>24</v>
      </c>
      <c r="N629">
        <v>13</v>
      </c>
      <c r="O629" s="3">
        <f t="shared" si="76"/>
        <v>0.5</v>
      </c>
      <c r="P629" s="3">
        <f t="shared" si="77"/>
        <v>0.46153846153846156</v>
      </c>
      <c r="Q629" s="3">
        <f t="shared" si="78"/>
        <v>0.92307692307692313</v>
      </c>
      <c r="R629" s="3">
        <f t="shared" si="79"/>
        <v>0.5</v>
      </c>
      <c r="S629">
        <v>-46</v>
      </c>
      <c r="T629" s="4">
        <v>0.16</v>
      </c>
      <c r="U629">
        <v>159</v>
      </c>
      <c r="V629">
        <v>309</v>
      </c>
    </row>
    <row r="630" spans="1:22">
      <c r="A630">
        <v>626</v>
      </c>
      <c r="B630" s="2">
        <v>46205</v>
      </c>
      <c r="C630" t="s">
        <v>29</v>
      </c>
      <c r="D630" t="s">
        <v>32</v>
      </c>
      <c r="E630" t="s">
        <v>25</v>
      </c>
      <c r="F630">
        <v>6</v>
      </c>
      <c r="G630">
        <v>13</v>
      </c>
      <c r="H630" t="str">
        <f t="shared" si="72"/>
        <v>Loss</v>
      </c>
      <c r="I630">
        <f t="shared" si="73"/>
        <v>0</v>
      </c>
      <c r="J630">
        <f t="shared" si="74"/>
        <v>-7</v>
      </c>
      <c r="K630">
        <f t="shared" si="75"/>
        <v>19</v>
      </c>
      <c r="L630">
        <v>8</v>
      </c>
      <c r="M630">
        <v>16</v>
      </c>
      <c r="N630">
        <v>4</v>
      </c>
      <c r="O630" s="3">
        <f t="shared" si="76"/>
        <v>0.5</v>
      </c>
      <c r="P630" s="3">
        <f t="shared" si="77"/>
        <v>0.42105263157894735</v>
      </c>
      <c r="Q630" s="3">
        <f t="shared" si="78"/>
        <v>0.84210526315789469</v>
      </c>
      <c r="R630" s="3">
        <f t="shared" si="79"/>
        <v>0.21052631578947367</v>
      </c>
      <c r="S630">
        <v>-32</v>
      </c>
      <c r="T630" s="4">
        <v>0.09</v>
      </c>
      <c r="U630">
        <v>128</v>
      </c>
      <c r="V630">
        <v>150</v>
      </c>
    </row>
    <row r="631" spans="1:22">
      <c r="A631">
        <v>627</v>
      </c>
      <c r="B631" s="2">
        <v>46204</v>
      </c>
      <c r="C631" t="s">
        <v>34</v>
      </c>
      <c r="D631" t="s">
        <v>32</v>
      </c>
      <c r="E631" t="s">
        <v>25</v>
      </c>
      <c r="F631">
        <v>8</v>
      </c>
      <c r="G631">
        <v>13</v>
      </c>
      <c r="H631" t="str">
        <f t="shared" si="72"/>
        <v>Loss</v>
      </c>
      <c r="I631">
        <f t="shared" si="73"/>
        <v>0</v>
      </c>
      <c r="J631">
        <f t="shared" si="74"/>
        <v>-5</v>
      </c>
      <c r="K631">
        <f t="shared" si="75"/>
        <v>21</v>
      </c>
      <c r="L631">
        <v>13</v>
      </c>
      <c r="M631">
        <v>16</v>
      </c>
      <c r="N631">
        <v>3</v>
      </c>
      <c r="O631" s="3">
        <f t="shared" si="76"/>
        <v>0.8125</v>
      </c>
      <c r="P631" s="3">
        <f t="shared" si="77"/>
        <v>0.61904761904761907</v>
      </c>
      <c r="Q631" s="3">
        <f t="shared" si="78"/>
        <v>0.76190476190476186</v>
      </c>
      <c r="R631" s="3">
        <f t="shared" si="79"/>
        <v>0.14285714285714285</v>
      </c>
      <c r="S631">
        <v>-42</v>
      </c>
      <c r="T631" s="4">
        <v>0.1</v>
      </c>
      <c r="U631">
        <v>159</v>
      </c>
      <c r="V631">
        <v>255</v>
      </c>
    </row>
    <row r="632" spans="1:22">
      <c r="A632">
        <v>628</v>
      </c>
      <c r="B632" s="2">
        <v>46204</v>
      </c>
      <c r="C632" t="s">
        <v>41</v>
      </c>
      <c r="D632" t="s">
        <v>36</v>
      </c>
      <c r="E632" t="s">
        <v>25</v>
      </c>
      <c r="F632">
        <v>13</v>
      </c>
      <c r="G632">
        <v>8</v>
      </c>
      <c r="H632" t="str">
        <f t="shared" si="72"/>
        <v>Win</v>
      </c>
      <c r="I632">
        <f t="shared" si="73"/>
        <v>1</v>
      </c>
      <c r="J632">
        <f t="shared" si="74"/>
        <v>5</v>
      </c>
      <c r="K632">
        <f t="shared" si="75"/>
        <v>21</v>
      </c>
      <c r="L632">
        <v>12</v>
      </c>
      <c r="M632">
        <v>17</v>
      </c>
      <c r="N632">
        <v>6</v>
      </c>
      <c r="O632" s="3">
        <f t="shared" si="76"/>
        <v>0.70588235294117652</v>
      </c>
      <c r="P632" s="3">
        <f t="shared" si="77"/>
        <v>0.5714285714285714</v>
      </c>
      <c r="Q632" s="3">
        <f t="shared" si="78"/>
        <v>0.80952380952380953</v>
      </c>
      <c r="R632" s="3">
        <f t="shared" si="79"/>
        <v>0.2857142857142857</v>
      </c>
      <c r="S632">
        <v>-29</v>
      </c>
      <c r="T632" s="4">
        <v>0.03</v>
      </c>
      <c r="U632">
        <v>171</v>
      </c>
      <c r="V632">
        <v>477</v>
      </c>
    </row>
    <row r="633" spans="1:22">
      <c r="A633">
        <v>629</v>
      </c>
      <c r="B633" s="2">
        <v>46204</v>
      </c>
      <c r="C633" t="s">
        <v>54</v>
      </c>
      <c r="D633" t="s">
        <v>24</v>
      </c>
      <c r="E633" t="s">
        <v>51</v>
      </c>
      <c r="F633">
        <v>14</v>
      </c>
      <c r="G633">
        <v>12</v>
      </c>
      <c r="H633" t="str">
        <f t="shared" si="72"/>
        <v>Win</v>
      </c>
      <c r="I633">
        <f t="shared" si="73"/>
        <v>1</v>
      </c>
      <c r="J633">
        <f t="shared" si="74"/>
        <v>2</v>
      </c>
      <c r="K633">
        <f t="shared" si="75"/>
        <v>26</v>
      </c>
      <c r="L633">
        <v>16</v>
      </c>
      <c r="M633">
        <v>18</v>
      </c>
      <c r="N633">
        <v>4</v>
      </c>
      <c r="O633" s="3">
        <f t="shared" si="76"/>
        <v>0.88888888888888884</v>
      </c>
      <c r="P633" s="3">
        <f t="shared" si="77"/>
        <v>0.61538461538461542</v>
      </c>
      <c r="Q633" s="3">
        <f t="shared" si="78"/>
        <v>0.69230769230769229</v>
      </c>
      <c r="R633" s="3">
        <f t="shared" si="79"/>
        <v>0.15384615384615385</v>
      </c>
      <c r="S633">
        <v>16</v>
      </c>
      <c r="T633" s="4">
        <v>7.0000000000000007E-2</v>
      </c>
      <c r="U633">
        <v>183</v>
      </c>
      <c r="V633">
        <v>539</v>
      </c>
    </row>
    <row r="634" spans="1:22">
      <c r="A634">
        <v>630</v>
      </c>
      <c r="B634" s="2">
        <v>46204</v>
      </c>
      <c r="C634" t="s">
        <v>54</v>
      </c>
      <c r="D634" t="s">
        <v>36</v>
      </c>
      <c r="E634" t="s">
        <v>51</v>
      </c>
      <c r="F634">
        <v>13</v>
      </c>
      <c r="G634">
        <v>6</v>
      </c>
      <c r="H634" t="str">
        <f t="shared" si="72"/>
        <v>Win</v>
      </c>
      <c r="I634">
        <f t="shared" si="73"/>
        <v>1</v>
      </c>
      <c r="J634">
        <f t="shared" si="74"/>
        <v>7</v>
      </c>
      <c r="K634">
        <f t="shared" si="75"/>
        <v>19</v>
      </c>
      <c r="L634">
        <v>12</v>
      </c>
      <c r="M634">
        <v>16</v>
      </c>
      <c r="N634">
        <v>5</v>
      </c>
      <c r="O634" s="3">
        <f t="shared" si="76"/>
        <v>0.75</v>
      </c>
      <c r="P634" s="3">
        <f t="shared" si="77"/>
        <v>0.63157894736842102</v>
      </c>
      <c r="Q634" s="3">
        <f t="shared" si="78"/>
        <v>0.84210526315789469</v>
      </c>
      <c r="R634" s="3">
        <f t="shared" si="79"/>
        <v>0.26315789473684209</v>
      </c>
      <c r="S634">
        <v>-25</v>
      </c>
      <c r="T634" s="4">
        <v>0.12</v>
      </c>
      <c r="U634">
        <v>179</v>
      </c>
      <c r="V634">
        <v>528</v>
      </c>
    </row>
    <row r="635" spans="1:22">
      <c r="A635">
        <v>631</v>
      </c>
      <c r="B635" s="2">
        <v>46204</v>
      </c>
      <c r="C635" t="s">
        <v>40</v>
      </c>
      <c r="D635" t="s">
        <v>30</v>
      </c>
      <c r="E635" t="s">
        <v>25</v>
      </c>
      <c r="F635">
        <v>11</v>
      </c>
      <c r="G635">
        <v>13</v>
      </c>
      <c r="H635" t="str">
        <f t="shared" si="72"/>
        <v>Loss</v>
      </c>
      <c r="I635">
        <f t="shared" si="73"/>
        <v>0</v>
      </c>
      <c r="J635">
        <f t="shared" si="74"/>
        <v>-2</v>
      </c>
      <c r="K635">
        <f t="shared" si="75"/>
        <v>24</v>
      </c>
      <c r="L635">
        <v>18</v>
      </c>
      <c r="M635">
        <v>17</v>
      </c>
      <c r="N635">
        <v>7</v>
      </c>
      <c r="O635" s="3">
        <f t="shared" si="76"/>
        <v>1.0588235294117647</v>
      </c>
      <c r="P635" s="3">
        <f t="shared" si="77"/>
        <v>0.75</v>
      </c>
      <c r="Q635" s="3">
        <f t="shared" si="78"/>
        <v>0.70833333333333337</v>
      </c>
      <c r="R635" s="3">
        <f t="shared" si="79"/>
        <v>0.29166666666666669</v>
      </c>
      <c r="S635">
        <v>8</v>
      </c>
      <c r="T635" s="4">
        <v>0.11</v>
      </c>
      <c r="U635">
        <v>194</v>
      </c>
      <c r="V635">
        <v>604</v>
      </c>
    </row>
    <row r="636" spans="1:22">
      <c r="A636">
        <v>632</v>
      </c>
      <c r="B636" s="2">
        <v>46204</v>
      </c>
      <c r="C636" t="s">
        <v>29</v>
      </c>
      <c r="D636" t="s">
        <v>30</v>
      </c>
      <c r="E636" t="s">
        <v>25</v>
      </c>
      <c r="F636">
        <v>4</v>
      </c>
      <c r="G636">
        <v>13</v>
      </c>
      <c r="H636" t="str">
        <f t="shared" si="72"/>
        <v>Loss</v>
      </c>
      <c r="I636">
        <f t="shared" si="73"/>
        <v>0</v>
      </c>
      <c r="J636">
        <f t="shared" si="74"/>
        <v>-9</v>
      </c>
      <c r="K636">
        <f t="shared" si="75"/>
        <v>17</v>
      </c>
      <c r="L636">
        <v>6</v>
      </c>
      <c r="M636">
        <v>15</v>
      </c>
      <c r="N636">
        <v>2</v>
      </c>
      <c r="O636" s="3">
        <f t="shared" si="76"/>
        <v>0.4</v>
      </c>
      <c r="P636" s="3">
        <f t="shared" si="77"/>
        <v>0.35294117647058826</v>
      </c>
      <c r="Q636" s="3">
        <f t="shared" si="78"/>
        <v>0.88235294117647056</v>
      </c>
      <c r="R636" s="3">
        <f t="shared" si="79"/>
        <v>0.11764705882352941</v>
      </c>
      <c r="S636">
        <v>-47</v>
      </c>
      <c r="T636" s="4">
        <v>7.0000000000000007E-2</v>
      </c>
      <c r="U636">
        <v>118</v>
      </c>
      <c r="V636">
        <v>101</v>
      </c>
    </row>
    <row r="637" spans="1:22">
      <c r="A637">
        <v>633</v>
      </c>
      <c r="B637" s="2">
        <v>46204</v>
      </c>
      <c r="C637" t="s">
        <v>41</v>
      </c>
      <c r="D637" t="s">
        <v>31</v>
      </c>
      <c r="E637" t="s">
        <v>25</v>
      </c>
      <c r="F637">
        <v>13</v>
      </c>
      <c r="G637">
        <v>10</v>
      </c>
      <c r="H637" t="str">
        <f t="shared" si="72"/>
        <v>Win</v>
      </c>
      <c r="I637">
        <f t="shared" si="73"/>
        <v>1</v>
      </c>
      <c r="J637">
        <f t="shared" si="74"/>
        <v>3</v>
      </c>
      <c r="K637">
        <f t="shared" si="75"/>
        <v>23</v>
      </c>
      <c r="L637">
        <v>12</v>
      </c>
      <c r="M637">
        <v>17</v>
      </c>
      <c r="N637">
        <v>9</v>
      </c>
      <c r="O637" s="3">
        <f t="shared" si="76"/>
        <v>0.70588235294117652</v>
      </c>
      <c r="P637" s="3">
        <f t="shared" si="77"/>
        <v>0.52173913043478259</v>
      </c>
      <c r="Q637" s="3">
        <f t="shared" si="78"/>
        <v>0.73913043478260865</v>
      </c>
      <c r="R637" s="3">
        <f t="shared" si="79"/>
        <v>0.39130434782608697</v>
      </c>
      <c r="S637">
        <v>-19</v>
      </c>
      <c r="T637" s="4">
        <v>0.03</v>
      </c>
      <c r="U637">
        <v>172</v>
      </c>
      <c r="V637">
        <v>514</v>
      </c>
    </row>
    <row r="638" spans="1:22">
      <c r="A638">
        <v>634</v>
      </c>
      <c r="B638" s="2">
        <v>46171</v>
      </c>
      <c r="C638" t="s">
        <v>23</v>
      </c>
      <c r="D638" t="s">
        <v>32</v>
      </c>
      <c r="E638" t="s">
        <v>57</v>
      </c>
      <c r="F638">
        <v>7</v>
      </c>
      <c r="G638">
        <v>13</v>
      </c>
      <c r="H638" t="str">
        <f t="shared" si="72"/>
        <v>Loss</v>
      </c>
      <c r="I638">
        <f t="shared" si="73"/>
        <v>0</v>
      </c>
      <c r="J638">
        <f t="shared" si="74"/>
        <v>-6</v>
      </c>
      <c r="K638">
        <f t="shared" si="75"/>
        <v>20</v>
      </c>
      <c r="L638">
        <v>9</v>
      </c>
      <c r="M638">
        <v>7</v>
      </c>
      <c r="N638">
        <v>1</v>
      </c>
      <c r="O638" s="3">
        <f t="shared" si="76"/>
        <v>1.2857142857142858</v>
      </c>
      <c r="P638" s="3">
        <f t="shared" si="77"/>
        <v>0.45</v>
      </c>
      <c r="Q638" s="3">
        <f t="shared" si="78"/>
        <v>0.35</v>
      </c>
      <c r="R638" s="3">
        <f t="shared" si="79"/>
        <v>0.05</v>
      </c>
      <c r="S638">
        <v>3</v>
      </c>
      <c r="T638" s="4">
        <v>7.0000000000000007E-2</v>
      </c>
      <c r="U638">
        <v>116</v>
      </c>
      <c r="V638">
        <v>226</v>
      </c>
    </row>
    <row r="639" spans="1:22">
      <c r="A639">
        <v>635</v>
      </c>
      <c r="B639" s="2">
        <v>46171</v>
      </c>
      <c r="C639" t="s">
        <v>34</v>
      </c>
      <c r="D639" t="s">
        <v>27</v>
      </c>
      <c r="E639" t="s">
        <v>28</v>
      </c>
      <c r="F639">
        <v>13</v>
      </c>
      <c r="G639">
        <v>8</v>
      </c>
      <c r="H639" t="str">
        <f t="shared" si="72"/>
        <v>Win</v>
      </c>
      <c r="I639">
        <f t="shared" si="73"/>
        <v>1</v>
      </c>
      <c r="J639">
        <f t="shared" si="74"/>
        <v>5</v>
      </c>
      <c r="K639">
        <f t="shared" si="75"/>
        <v>21</v>
      </c>
      <c r="L639">
        <v>16</v>
      </c>
      <c r="M639">
        <v>18</v>
      </c>
      <c r="N639">
        <v>9</v>
      </c>
      <c r="O639" s="3">
        <f t="shared" si="76"/>
        <v>0.88888888888888884</v>
      </c>
      <c r="P639" s="3">
        <f t="shared" si="77"/>
        <v>0.76190476190476186</v>
      </c>
      <c r="Q639" s="3">
        <f t="shared" si="78"/>
        <v>0.8571428571428571</v>
      </c>
      <c r="R639" s="3">
        <f t="shared" si="79"/>
        <v>0.42857142857142855</v>
      </c>
      <c r="S639">
        <v>20</v>
      </c>
      <c r="T639" s="4">
        <v>0.09</v>
      </c>
      <c r="U639">
        <v>227</v>
      </c>
      <c r="V639">
        <v>723</v>
      </c>
    </row>
    <row r="640" spans="1:22">
      <c r="A640">
        <v>636</v>
      </c>
      <c r="B640" s="2">
        <v>46171</v>
      </c>
      <c r="C640" t="s">
        <v>34</v>
      </c>
      <c r="D640" t="s">
        <v>31</v>
      </c>
      <c r="E640" t="s">
        <v>45</v>
      </c>
      <c r="F640">
        <v>7</v>
      </c>
      <c r="G640">
        <v>13</v>
      </c>
      <c r="H640" t="str">
        <f t="shared" si="72"/>
        <v>Loss</v>
      </c>
      <c r="I640">
        <f t="shared" si="73"/>
        <v>0</v>
      </c>
      <c r="J640">
        <f t="shared" si="74"/>
        <v>-6</v>
      </c>
      <c r="K640">
        <f t="shared" si="75"/>
        <v>20</v>
      </c>
      <c r="L640">
        <v>4</v>
      </c>
      <c r="M640">
        <v>17</v>
      </c>
      <c r="N640">
        <v>11</v>
      </c>
      <c r="O640" s="3">
        <f t="shared" si="76"/>
        <v>0.23529411764705882</v>
      </c>
      <c r="P640" s="3">
        <f t="shared" si="77"/>
        <v>0.2</v>
      </c>
      <c r="Q640" s="3">
        <f t="shared" si="78"/>
        <v>0.85</v>
      </c>
      <c r="R640" s="3">
        <f t="shared" si="79"/>
        <v>0.55000000000000004</v>
      </c>
      <c r="S640">
        <v>-71</v>
      </c>
      <c r="T640" s="4">
        <v>7.0000000000000007E-2</v>
      </c>
      <c r="U640">
        <v>74</v>
      </c>
      <c r="V640">
        <v>160</v>
      </c>
    </row>
    <row r="641" spans="1:22">
      <c r="A641">
        <v>637</v>
      </c>
      <c r="B641" s="2">
        <v>46171</v>
      </c>
      <c r="C641" t="s">
        <v>29</v>
      </c>
      <c r="D641" t="s">
        <v>32</v>
      </c>
      <c r="E641" t="s">
        <v>45</v>
      </c>
      <c r="F641">
        <v>13</v>
      </c>
      <c r="G641">
        <v>11</v>
      </c>
      <c r="H641" t="str">
        <f t="shared" si="72"/>
        <v>Win</v>
      </c>
      <c r="I641">
        <f t="shared" si="73"/>
        <v>1</v>
      </c>
      <c r="J641">
        <f t="shared" si="74"/>
        <v>2</v>
      </c>
      <c r="K641">
        <f t="shared" si="75"/>
        <v>24</v>
      </c>
      <c r="L641">
        <v>11</v>
      </c>
      <c r="M641">
        <v>17</v>
      </c>
      <c r="N641">
        <v>10</v>
      </c>
      <c r="O641" s="3">
        <f t="shared" si="76"/>
        <v>0.6470588235294118</v>
      </c>
      <c r="P641" s="3">
        <f t="shared" si="77"/>
        <v>0.45833333333333331</v>
      </c>
      <c r="Q641" s="3">
        <f t="shared" si="78"/>
        <v>0.70833333333333337</v>
      </c>
      <c r="R641" s="3">
        <f t="shared" si="79"/>
        <v>0.41666666666666669</v>
      </c>
      <c r="S641">
        <v>-26</v>
      </c>
      <c r="T641" s="4">
        <v>0.09</v>
      </c>
      <c r="U641">
        <v>147</v>
      </c>
      <c r="V641">
        <v>371</v>
      </c>
    </row>
    <row r="642" spans="1:22">
      <c r="A642">
        <v>638</v>
      </c>
      <c r="B642" s="2">
        <v>46171</v>
      </c>
      <c r="C642" t="s">
        <v>54</v>
      </c>
      <c r="D642" t="s">
        <v>46</v>
      </c>
      <c r="E642" t="s">
        <v>43</v>
      </c>
      <c r="F642">
        <v>10</v>
      </c>
      <c r="G642">
        <v>13</v>
      </c>
      <c r="H642" t="str">
        <f t="shared" si="72"/>
        <v>Loss</v>
      </c>
      <c r="I642">
        <f t="shared" si="73"/>
        <v>0</v>
      </c>
      <c r="J642">
        <f t="shared" si="74"/>
        <v>-3</v>
      </c>
      <c r="K642">
        <f t="shared" si="75"/>
        <v>23</v>
      </c>
      <c r="L642">
        <v>21</v>
      </c>
      <c r="M642">
        <v>20</v>
      </c>
      <c r="N642">
        <v>2</v>
      </c>
      <c r="O642" s="3">
        <f t="shared" si="76"/>
        <v>1.05</v>
      </c>
      <c r="P642" s="3">
        <f t="shared" si="77"/>
        <v>0.91304347826086951</v>
      </c>
      <c r="Q642" s="3">
        <f t="shared" si="78"/>
        <v>0.86956521739130432</v>
      </c>
      <c r="R642" s="3">
        <f t="shared" si="79"/>
        <v>8.6956521739130432E-2</v>
      </c>
      <c r="S642">
        <v>11</v>
      </c>
      <c r="T642" s="4">
        <v>0.05</v>
      </c>
      <c r="U642">
        <v>257</v>
      </c>
      <c r="V642">
        <v>653</v>
      </c>
    </row>
    <row r="643" spans="1:22">
      <c r="A643">
        <v>639</v>
      </c>
      <c r="B643" s="2">
        <v>46171</v>
      </c>
      <c r="C643" t="s">
        <v>40</v>
      </c>
      <c r="D643" t="s">
        <v>37</v>
      </c>
      <c r="E643" t="s">
        <v>28</v>
      </c>
      <c r="F643">
        <v>13</v>
      </c>
      <c r="G643">
        <v>11</v>
      </c>
      <c r="H643" t="str">
        <f t="shared" si="72"/>
        <v>Win</v>
      </c>
      <c r="I643">
        <f t="shared" si="73"/>
        <v>1</v>
      </c>
      <c r="J643">
        <f t="shared" si="74"/>
        <v>2</v>
      </c>
      <c r="K643">
        <f t="shared" si="75"/>
        <v>24</v>
      </c>
      <c r="L643">
        <v>16</v>
      </c>
      <c r="M643">
        <v>14</v>
      </c>
      <c r="N643">
        <v>10</v>
      </c>
      <c r="O643" s="3">
        <f t="shared" si="76"/>
        <v>1.1428571428571428</v>
      </c>
      <c r="P643" s="3">
        <f t="shared" si="77"/>
        <v>0.66666666666666663</v>
      </c>
      <c r="Q643" s="3">
        <f t="shared" si="78"/>
        <v>0.58333333333333337</v>
      </c>
      <c r="R643" s="3">
        <f t="shared" si="79"/>
        <v>0.41666666666666669</v>
      </c>
      <c r="S643">
        <v>58</v>
      </c>
      <c r="T643" s="4">
        <v>0.14000000000000001</v>
      </c>
      <c r="U643">
        <v>236</v>
      </c>
      <c r="V643">
        <v>740</v>
      </c>
    </row>
    <row r="644" spans="1:22">
      <c r="A644">
        <v>640</v>
      </c>
      <c r="B644" s="2">
        <v>46171</v>
      </c>
      <c r="C644" t="s">
        <v>23</v>
      </c>
      <c r="D644" t="s">
        <v>31</v>
      </c>
      <c r="E644" t="s">
        <v>58</v>
      </c>
      <c r="F644">
        <v>6</v>
      </c>
      <c r="G644">
        <v>13</v>
      </c>
      <c r="H644" t="str">
        <f t="shared" si="72"/>
        <v>Loss</v>
      </c>
      <c r="I644">
        <f t="shared" si="73"/>
        <v>0</v>
      </c>
      <c r="J644">
        <f t="shared" si="74"/>
        <v>-7</v>
      </c>
      <c r="K644">
        <f t="shared" si="75"/>
        <v>19</v>
      </c>
      <c r="L644">
        <v>7</v>
      </c>
      <c r="M644">
        <v>14</v>
      </c>
      <c r="N644">
        <v>1</v>
      </c>
      <c r="O644" s="3">
        <f t="shared" si="76"/>
        <v>0.5</v>
      </c>
      <c r="P644" s="3">
        <f t="shared" si="77"/>
        <v>0.36842105263157893</v>
      </c>
      <c r="Q644" s="3">
        <f t="shared" si="78"/>
        <v>0.73684210526315785</v>
      </c>
      <c r="R644" s="3">
        <f t="shared" si="79"/>
        <v>5.2631578947368418E-2</v>
      </c>
      <c r="S644">
        <v>-60</v>
      </c>
      <c r="T644" s="4">
        <v>0</v>
      </c>
      <c r="U644">
        <v>114</v>
      </c>
      <c r="V644">
        <v>100</v>
      </c>
    </row>
    <row r="645" spans="1:22">
      <c r="A645">
        <v>641</v>
      </c>
      <c r="B645" s="2">
        <v>46169</v>
      </c>
      <c r="C645" t="s">
        <v>34</v>
      </c>
      <c r="D645" t="s">
        <v>32</v>
      </c>
      <c r="E645" t="s">
        <v>25</v>
      </c>
      <c r="F645">
        <v>8</v>
      </c>
      <c r="G645">
        <v>13</v>
      </c>
      <c r="H645" t="str">
        <f t="shared" ref="H645:H708" si="80">IF(F645&gt;G645,"Win",IF(F645&lt;G645,"Loss","Draw"))</f>
        <v>Loss</v>
      </c>
      <c r="I645">
        <f t="shared" ref="I645:I708" si="81">IF(H645="Win",1,0)</f>
        <v>0</v>
      </c>
      <c r="J645">
        <f t="shared" ref="J645:J708" si="82">F645-G645</f>
        <v>-5</v>
      </c>
      <c r="K645">
        <f t="shared" ref="K645:K708" si="83">F645+G645</f>
        <v>21</v>
      </c>
      <c r="L645">
        <v>10</v>
      </c>
      <c r="M645">
        <v>17</v>
      </c>
      <c r="N645">
        <v>3</v>
      </c>
      <c r="O645" s="3">
        <f t="shared" ref="O645:O708" si="84">IFERROR(L645/M645,0)</f>
        <v>0.58823529411764708</v>
      </c>
      <c r="P645" s="3">
        <f t="shared" ref="P645:P708" si="85">IFERROR(L645/K645,0)</f>
        <v>0.47619047619047616</v>
      </c>
      <c r="Q645" s="3">
        <f t="shared" ref="Q645:Q708" si="86">IFERROR(M645/K645,0)</f>
        <v>0.80952380952380953</v>
      </c>
      <c r="R645" s="3">
        <f t="shared" ref="R645:R708" si="87">IFERROR(N645/K645,0)</f>
        <v>0.14285714285714285</v>
      </c>
      <c r="S645">
        <v>-33</v>
      </c>
      <c r="T645" s="4">
        <v>0.08</v>
      </c>
      <c r="U645">
        <v>139</v>
      </c>
      <c r="V645">
        <v>193</v>
      </c>
    </row>
    <row r="646" spans="1:22">
      <c r="A646">
        <v>642</v>
      </c>
      <c r="B646" s="2">
        <v>46168</v>
      </c>
      <c r="C646" t="s">
        <v>23</v>
      </c>
      <c r="D646" t="s">
        <v>24</v>
      </c>
      <c r="E646" t="s">
        <v>25</v>
      </c>
      <c r="F646">
        <v>0</v>
      </c>
      <c r="G646">
        <v>13</v>
      </c>
      <c r="H646" t="str">
        <f t="shared" si="80"/>
        <v>Loss</v>
      </c>
      <c r="I646">
        <f t="shared" si="81"/>
        <v>0</v>
      </c>
      <c r="J646">
        <f t="shared" si="82"/>
        <v>-13</v>
      </c>
      <c r="K646">
        <f t="shared" si="83"/>
        <v>13</v>
      </c>
      <c r="L646">
        <v>9</v>
      </c>
      <c r="M646">
        <v>12</v>
      </c>
      <c r="N646">
        <v>1</v>
      </c>
      <c r="O646" s="3">
        <f t="shared" si="84"/>
        <v>0.75</v>
      </c>
      <c r="P646" s="3">
        <f t="shared" si="85"/>
        <v>0.69230769230769229</v>
      </c>
      <c r="Q646" s="3">
        <f t="shared" si="86"/>
        <v>0.92307692307692313</v>
      </c>
      <c r="R646" s="3">
        <f t="shared" si="87"/>
        <v>7.6923076923076927E-2</v>
      </c>
      <c r="S646">
        <v>-26</v>
      </c>
      <c r="T646" s="4">
        <v>0.05</v>
      </c>
      <c r="U646">
        <v>190</v>
      </c>
      <c r="V646">
        <v>252</v>
      </c>
    </row>
    <row r="647" spans="1:22">
      <c r="A647">
        <v>643</v>
      </c>
      <c r="B647" s="2">
        <v>46168</v>
      </c>
      <c r="C647" t="s">
        <v>59</v>
      </c>
      <c r="D647" t="s">
        <v>27</v>
      </c>
      <c r="E647" t="s">
        <v>25</v>
      </c>
      <c r="F647">
        <v>6</v>
      </c>
      <c r="G647">
        <v>13</v>
      </c>
      <c r="H647" t="str">
        <f t="shared" si="80"/>
        <v>Loss</v>
      </c>
      <c r="I647">
        <f t="shared" si="81"/>
        <v>0</v>
      </c>
      <c r="J647">
        <f t="shared" si="82"/>
        <v>-7</v>
      </c>
      <c r="K647">
        <f t="shared" si="83"/>
        <v>19</v>
      </c>
      <c r="L647">
        <v>14</v>
      </c>
      <c r="M647">
        <v>16</v>
      </c>
      <c r="N647">
        <v>2</v>
      </c>
      <c r="O647" s="3">
        <f t="shared" si="84"/>
        <v>0.875</v>
      </c>
      <c r="P647" s="3">
        <f t="shared" si="85"/>
        <v>0.73684210526315785</v>
      </c>
      <c r="Q647" s="3">
        <f t="shared" si="86"/>
        <v>0.84210526315789469</v>
      </c>
      <c r="R647" s="3">
        <f t="shared" si="87"/>
        <v>0.10526315789473684</v>
      </c>
      <c r="S647">
        <v>2</v>
      </c>
      <c r="T647" s="4">
        <v>0.08</v>
      </c>
      <c r="U647">
        <v>224</v>
      </c>
      <c r="V647">
        <v>481</v>
      </c>
    </row>
    <row r="648" spans="1:22">
      <c r="A648">
        <v>644</v>
      </c>
      <c r="B648" s="2">
        <v>46167</v>
      </c>
      <c r="C648" t="s">
        <v>59</v>
      </c>
      <c r="D648" t="s">
        <v>36</v>
      </c>
      <c r="E648" t="s">
        <v>25</v>
      </c>
      <c r="F648">
        <v>13</v>
      </c>
      <c r="G648">
        <v>3</v>
      </c>
      <c r="H648" t="str">
        <f t="shared" si="80"/>
        <v>Win</v>
      </c>
      <c r="I648">
        <f t="shared" si="81"/>
        <v>1</v>
      </c>
      <c r="J648">
        <f t="shared" si="82"/>
        <v>10</v>
      </c>
      <c r="K648">
        <f t="shared" si="83"/>
        <v>16</v>
      </c>
      <c r="L648">
        <v>10</v>
      </c>
      <c r="M648">
        <v>7</v>
      </c>
      <c r="N648">
        <v>3</v>
      </c>
      <c r="O648" s="3">
        <f t="shared" si="84"/>
        <v>1.4285714285714286</v>
      </c>
      <c r="P648" s="3">
        <f t="shared" si="85"/>
        <v>0.625</v>
      </c>
      <c r="Q648" s="3">
        <f t="shared" si="86"/>
        <v>0.4375</v>
      </c>
      <c r="R648" s="3">
        <f t="shared" si="87"/>
        <v>0.1875</v>
      </c>
      <c r="S648">
        <v>41</v>
      </c>
      <c r="T648" s="4">
        <v>0.06</v>
      </c>
      <c r="U648">
        <v>169</v>
      </c>
      <c r="V648">
        <v>751</v>
      </c>
    </row>
    <row r="649" spans="1:22">
      <c r="A649">
        <v>645</v>
      </c>
      <c r="B649" s="2">
        <v>46167</v>
      </c>
      <c r="C649" t="s">
        <v>59</v>
      </c>
      <c r="D649" t="s">
        <v>24</v>
      </c>
      <c r="E649" t="s">
        <v>25</v>
      </c>
      <c r="F649">
        <v>10</v>
      </c>
      <c r="G649">
        <v>13</v>
      </c>
      <c r="H649" t="str">
        <f t="shared" si="80"/>
        <v>Loss</v>
      </c>
      <c r="I649">
        <f t="shared" si="81"/>
        <v>0</v>
      </c>
      <c r="J649">
        <f t="shared" si="82"/>
        <v>-3</v>
      </c>
      <c r="K649">
        <f t="shared" si="83"/>
        <v>23</v>
      </c>
      <c r="L649">
        <v>15</v>
      </c>
      <c r="M649">
        <v>17</v>
      </c>
      <c r="N649">
        <v>4</v>
      </c>
      <c r="O649" s="3">
        <f t="shared" si="84"/>
        <v>0.88235294117647056</v>
      </c>
      <c r="P649" s="3">
        <f t="shared" si="85"/>
        <v>0.65217391304347827</v>
      </c>
      <c r="Q649" s="3">
        <f t="shared" si="86"/>
        <v>0.73913043478260865</v>
      </c>
      <c r="R649" s="3">
        <f t="shared" si="87"/>
        <v>0.17391304347826086</v>
      </c>
      <c r="S649">
        <v>-1</v>
      </c>
      <c r="T649" s="4">
        <v>0.1</v>
      </c>
      <c r="U649">
        <v>193</v>
      </c>
      <c r="V649">
        <v>414</v>
      </c>
    </row>
    <row r="650" spans="1:22">
      <c r="A650">
        <v>646</v>
      </c>
      <c r="B650" s="2">
        <v>46167</v>
      </c>
      <c r="C650" t="s">
        <v>40</v>
      </c>
      <c r="D650" t="s">
        <v>32</v>
      </c>
      <c r="E650" t="s">
        <v>25</v>
      </c>
      <c r="F650">
        <v>15</v>
      </c>
      <c r="G650">
        <v>15</v>
      </c>
      <c r="H650" t="str">
        <f t="shared" si="80"/>
        <v>Draw</v>
      </c>
      <c r="I650">
        <f t="shared" si="81"/>
        <v>0</v>
      </c>
      <c r="J650">
        <f t="shared" si="82"/>
        <v>0</v>
      </c>
      <c r="K650">
        <f t="shared" si="83"/>
        <v>30</v>
      </c>
      <c r="L650">
        <v>14</v>
      </c>
      <c r="M650">
        <v>25</v>
      </c>
      <c r="N650">
        <v>4</v>
      </c>
      <c r="O650" s="3">
        <f t="shared" si="84"/>
        <v>0.56000000000000005</v>
      </c>
      <c r="P650" s="3">
        <f t="shared" si="85"/>
        <v>0.46666666666666667</v>
      </c>
      <c r="Q650" s="3">
        <f t="shared" si="86"/>
        <v>0.83333333333333337</v>
      </c>
      <c r="R650" s="3">
        <f t="shared" si="87"/>
        <v>0.13333333333333333</v>
      </c>
      <c r="S650">
        <v>-46</v>
      </c>
      <c r="T650" s="4">
        <v>7.0000000000000007E-2</v>
      </c>
      <c r="U650">
        <v>145</v>
      </c>
      <c r="V650">
        <v>265</v>
      </c>
    </row>
    <row r="651" spans="1:22">
      <c r="A651">
        <v>647</v>
      </c>
      <c r="B651" s="2">
        <v>46167</v>
      </c>
      <c r="C651" t="s">
        <v>34</v>
      </c>
      <c r="D651" t="s">
        <v>27</v>
      </c>
      <c r="E651" t="s">
        <v>25</v>
      </c>
      <c r="F651">
        <v>13</v>
      </c>
      <c r="G651">
        <v>11</v>
      </c>
      <c r="H651" t="str">
        <f t="shared" si="80"/>
        <v>Win</v>
      </c>
      <c r="I651">
        <f t="shared" si="81"/>
        <v>1</v>
      </c>
      <c r="J651">
        <f t="shared" si="82"/>
        <v>2</v>
      </c>
      <c r="K651">
        <f t="shared" si="83"/>
        <v>24</v>
      </c>
      <c r="L651">
        <v>15</v>
      </c>
      <c r="M651">
        <v>17</v>
      </c>
      <c r="N651">
        <v>6</v>
      </c>
      <c r="O651" s="3">
        <f t="shared" si="84"/>
        <v>0.88235294117647056</v>
      </c>
      <c r="P651" s="3">
        <f t="shared" si="85"/>
        <v>0.625</v>
      </c>
      <c r="Q651" s="3">
        <f t="shared" si="86"/>
        <v>0.70833333333333337</v>
      </c>
      <c r="R651" s="3">
        <f t="shared" si="87"/>
        <v>0.25</v>
      </c>
      <c r="S651">
        <v>1</v>
      </c>
      <c r="T651" s="4">
        <v>0.04</v>
      </c>
      <c r="U651">
        <v>199</v>
      </c>
      <c r="V651">
        <v>554</v>
      </c>
    </row>
    <row r="652" spans="1:22">
      <c r="A652">
        <v>648</v>
      </c>
      <c r="B652" s="2">
        <v>46167</v>
      </c>
      <c r="C652" t="s">
        <v>34</v>
      </c>
      <c r="D652" t="s">
        <v>30</v>
      </c>
      <c r="E652" t="s">
        <v>25</v>
      </c>
      <c r="F652">
        <v>2</v>
      </c>
      <c r="G652">
        <v>13</v>
      </c>
      <c r="H652" t="str">
        <f t="shared" si="80"/>
        <v>Loss</v>
      </c>
      <c r="I652">
        <f t="shared" si="81"/>
        <v>0</v>
      </c>
      <c r="J652">
        <f t="shared" si="82"/>
        <v>-11</v>
      </c>
      <c r="K652">
        <f t="shared" si="83"/>
        <v>15</v>
      </c>
      <c r="L652">
        <v>7</v>
      </c>
      <c r="M652">
        <v>13</v>
      </c>
      <c r="N652">
        <v>0</v>
      </c>
      <c r="O652" s="3">
        <f t="shared" si="84"/>
        <v>0.53846153846153844</v>
      </c>
      <c r="P652" s="3">
        <f t="shared" si="85"/>
        <v>0.46666666666666667</v>
      </c>
      <c r="Q652" s="3">
        <f t="shared" si="86"/>
        <v>0.8666666666666667</v>
      </c>
      <c r="R652" s="3">
        <f t="shared" si="87"/>
        <v>0</v>
      </c>
      <c r="S652">
        <v>-39</v>
      </c>
      <c r="T652" s="4">
        <v>0.12</v>
      </c>
      <c r="U652">
        <v>138</v>
      </c>
      <c r="V652">
        <v>131</v>
      </c>
    </row>
    <row r="653" spans="1:22">
      <c r="A653">
        <v>649</v>
      </c>
      <c r="B653" s="2">
        <v>46167</v>
      </c>
      <c r="C653" t="s">
        <v>29</v>
      </c>
      <c r="D653" t="s">
        <v>46</v>
      </c>
      <c r="E653" t="s">
        <v>25</v>
      </c>
      <c r="F653">
        <v>13</v>
      </c>
      <c r="G653">
        <v>10</v>
      </c>
      <c r="H653" t="str">
        <f t="shared" si="80"/>
        <v>Win</v>
      </c>
      <c r="I653">
        <f t="shared" si="81"/>
        <v>1</v>
      </c>
      <c r="J653">
        <f t="shared" si="82"/>
        <v>3</v>
      </c>
      <c r="K653">
        <f t="shared" si="83"/>
        <v>23</v>
      </c>
      <c r="L653">
        <v>23</v>
      </c>
      <c r="M653">
        <v>14</v>
      </c>
      <c r="N653">
        <v>6</v>
      </c>
      <c r="O653" s="3">
        <f t="shared" si="84"/>
        <v>1.6428571428571428</v>
      </c>
      <c r="P653" s="3">
        <f t="shared" si="85"/>
        <v>1</v>
      </c>
      <c r="Q653" s="3">
        <f t="shared" si="86"/>
        <v>0.60869565217391308</v>
      </c>
      <c r="R653" s="3">
        <f t="shared" si="87"/>
        <v>0.2608695652173913</v>
      </c>
      <c r="S653">
        <v>56</v>
      </c>
      <c r="T653" s="4">
        <v>0.09</v>
      </c>
      <c r="U653">
        <v>291</v>
      </c>
      <c r="V653">
        <v>890</v>
      </c>
    </row>
    <row r="654" spans="1:22">
      <c r="A654">
        <v>650</v>
      </c>
      <c r="B654" s="2">
        <v>46167</v>
      </c>
      <c r="C654" t="s">
        <v>54</v>
      </c>
      <c r="D654" t="s">
        <v>42</v>
      </c>
      <c r="E654" t="s">
        <v>57</v>
      </c>
      <c r="F654">
        <v>13</v>
      </c>
      <c r="G654">
        <v>5</v>
      </c>
      <c r="H654" t="str">
        <f t="shared" si="80"/>
        <v>Win</v>
      </c>
      <c r="I654">
        <f t="shared" si="81"/>
        <v>1</v>
      </c>
      <c r="J654">
        <f t="shared" si="82"/>
        <v>8</v>
      </c>
      <c r="K654">
        <f t="shared" si="83"/>
        <v>18</v>
      </c>
      <c r="L654">
        <v>15</v>
      </c>
      <c r="M654">
        <v>10</v>
      </c>
      <c r="N654">
        <v>3</v>
      </c>
      <c r="O654" s="3">
        <f t="shared" si="84"/>
        <v>1.5</v>
      </c>
      <c r="P654" s="3">
        <f t="shared" si="85"/>
        <v>0.83333333333333337</v>
      </c>
      <c r="Q654" s="3">
        <f t="shared" si="86"/>
        <v>0.55555555555555558</v>
      </c>
      <c r="R654" s="3">
        <f t="shared" si="87"/>
        <v>0.16666666666666666</v>
      </c>
      <c r="S654">
        <v>39</v>
      </c>
      <c r="T654" s="4">
        <v>0.1</v>
      </c>
      <c r="U654">
        <v>241</v>
      </c>
      <c r="V654">
        <v>736</v>
      </c>
    </row>
    <row r="655" spans="1:22">
      <c r="A655">
        <v>651</v>
      </c>
      <c r="B655" s="2">
        <v>46167</v>
      </c>
      <c r="C655" t="s">
        <v>54</v>
      </c>
      <c r="D655" t="s">
        <v>24</v>
      </c>
      <c r="E655" t="s">
        <v>49</v>
      </c>
      <c r="F655">
        <v>5</v>
      </c>
      <c r="G655">
        <v>13</v>
      </c>
      <c r="H655" t="str">
        <f t="shared" si="80"/>
        <v>Loss</v>
      </c>
      <c r="I655">
        <f t="shared" si="81"/>
        <v>0</v>
      </c>
      <c r="J655">
        <f t="shared" si="82"/>
        <v>-8</v>
      </c>
      <c r="K655">
        <f t="shared" si="83"/>
        <v>18</v>
      </c>
      <c r="L655">
        <v>8</v>
      </c>
      <c r="M655">
        <v>14</v>
      </c>
      <c r="N655">
        <v>1</v>
      </c>
      <c r="O655" s="3">
        <f t="shared" si="84"/>
        <v>0.5714285714285714</v>
      </c>
      <c r="P655" s="3">
        <f t="shared" si="85"/>
        <v>0.44444444444444442</v>
      </c>
      <c r="Q655" s="3">
        <f t="shared" si="86"/>
        <v>0.77777777777777779</v>
      </c>
      <c r="R655" s="3">
        <f t="shared" si="87"/>
        <v>5.5555555555555552E-2</v>
      </c>
      <c r="S655">
        <v>-37</v>
      </c>
      <c r="T655" s="4">
        <v>0.08</v>
      </c>
      <c r="U655">
        <v>142</v>
      </c>
      <c r="V655">
        <v>158</v>
      </c>
    </row>
    <row r="656" spans="1:22">
      <c r="A656">
        <v>652</v>
      </c>
      <c r="B656" s="2">
        <v>46166</v>
      </c>
      <c r="C656" t="s">
        <v>23</v>
      </c>
      <c r="D656" t="s">
        <v>30</v>
      </c>
      <c r="E656" t="s">
        <v>49</v>
      </c>
      <c r="F656">
        <v>14</v>
      </c>
      <c r="G656">
        <v>12</v>
      </c>
      <c r="H656" t="str">
        <f t="shared" si="80"/>
        <v>Win</v>
      </c>
      <c r="I656">
        <f t="shared" si="81"/>
        <v>1</v>
      </c>
      <c r="J656">
        <f t="shared" si="82"/>
        <v>2</v>
      </c>
      <c r="K656">
        <f t="shared" si="83"/>
        <v>26</v>
      </c>
      <c r="L656">
        <v>16</v>
      </c>
      <c r="M656">
        <v>19</v>
      </c>
      <c r="N656">
        <v>6</v>
      </c>
      <c r="O656" s="3">
        <f t="shared" si="84"/>
        <v>0.84210526315789469</v>
      </c>
      <c r="P656" s="3">
        <f t="shared" si="85"/>
        <v>0.61538461538461542</v>
      </c>
      <c r="Q656" s="3">
        <f t="shared" si="86"/>
        <v>0.73076923076923073</v>
      </c>
      <c r="R656" s="3">
        <f t="shared" si="87"/>
        <v>0.23076923076923078</v>
      </c>
      <c r="S656">
        <v>-5</v>
      </c>
      <c r="T656" s="4">
        <v>0.1</v>
      </c>
      <c r="U656">
        <v>178</v>
      </c>
      <c r="V656">
        <v>428</v>
      </c>
    </row>
    <row r="657" spans="1:22">
      <c r="A657">
        <v>653</v>
      </c>
      <c r="B657" s="2">
        <v>46166</v>
      </c>
      <c r="C657" t="s">
        <v>29</v>
      </c>
      <c r="D657" t="s">
        <v>24</v>
      </c>
      <c r="E657" t="s">
        <v>25</v>
      </c>
      <c r="F657">
        <v>6</v>
      </c>
      <c r="G657">
        <v>13</v>
      </c>
      <c r="H657" t="str">
        <f t="shared" si="80"/>
        <v>Loss</v>
      </c>
      <c r="I657">
        <f t="shared" si="81"/>
        <v>0</v>
      </c>
      <c r="J657">
        <f t="shared" si="82"/>
        <v>-7</v>
      </c>
      <c r="K657">
        <f t="shared" si="83"/>
        <v>19</v>
      </c>
      <c r="L657">
        <v>11</v>
      </c>
      <c r="M657">
        <v>14</v>
      </c>
      <c r="N657">
        <v>4</v>
      </c>
      <c r="O657" s="3">
        <f t="shared" si="84"/>
        <v>0.7857142857142857</v>
      </c>
      <c r="P657" s="3">
        <f t="shared" si="85"/>
        <v>0.57894736842105265</v>
      </c>
      <c r="Q657" s="3">
        <f t="shared" si="86"/>
        <v>0.73684210526315785</v>
      </c>
      <c r="R657" s="3">
        <f t="shared" si="87"/>
        <v>0.21052631578947367</v>
      </c>
      <c r="S657">
        <v>23</v>
      </c>
      <c r="T657" s="4">
        <v>0.13</v>
      </c>
      <c r="U657">
        <v>181</v>
      </c>
      <c r="V657">
        <v>448</v>
      </c>
    </row>
    <row r="658" spans="1:22">
      <c r="A658">
        <v>654</v>
      </c>
      <c r="B658" s="2">
        <v>46166</v>
      </c>
      <c r="C658" t="s">
        <v>34</v>
      </c>
      <c r="D658" t="s">
        <v>32</v>
      </c>
      <c r="E658" t="s">
        <v>25</v>
      </c>
      <c r="F658">
        <v>8</v>
      </c>
      <c r="G658">
        <v>13</v>
      </c>
      <c r="H658" t="str">
        <f t="shared" si="80"/>
        <v>Loss</v>
      </c>
      <c r="I658">
        <f t="shared" si="81"/>
        <v>0</v>
      </c>
      <c r="J658">
        <f t="shared" si="82"/>
        <v>-5</v>
      </c>
      <c r="K658">
        <f t="shared" si="83"/>
        <v>21</v>
      </c>
      <c r="L658">
        <v>7</v>
      </c>
      <c r="M658">
        <v>15</v>
      </c>
      <c r="N658">
        <v>1</v>
      </c>
      <c r="O658" s="3">
        <f t="shared" si="84"/>
        <v>0.46666666666666667</v>
      </c>
      <c r="P658" s="3">
        <f t="shared" si="85"/>
        <v>0.33333333333333331</v>
      </c>
      <c r="Q658" s="3">
        <f t="shared" si="86"/>
        <v>0.7142857142857143</v>
      </c>
      <c r="R658" s="3">
        <f t="shared" si="87"/>
        <v>4.7619047619047616E-2</v>
      </c>
      <c r="S658">
        <v>-42</v>
      </c>
      <c r="T658" s="4">
        <v>0.12</v>
      </c>
      <c r="U658">
        <v>116</v>
      </c>
      <c r="V658">
        <v>164</v>
      </c>
    </row>
    <row r="659" spans="1:22">
      <c r="A659">
        <v>655</v>
      </c>
      <c r="B659" s="2">
        <v>46166</v>
      </c>
      <c r="C659" t="s">
        <v>23</v>
      </c>
      <c r="D659" t="s">
        <v>42</v>
      </c>
      <c r="E659" t="s">
        <v>50</v>
      </c>
      <c r="F659">
        <v>13</v>
      </c>
      <c r="G659">
        <v>4</v>
      </c>
      <c r="H659" t="str">
        <f t="shared" si="80"/>
        <v>Win</v>
      </c>
      <c r="I659">
        <f t="shared" si="81"/>
        <v>1</v>
      </c>
      <c r="J659">
        <f t="shared" si="82"/>
        <v>9</v>
      </c>
      <c r="K659">
        <f t="shared" si="83"/>
        <v>17</v>
      </c>
      <c r="L659">
        <v>15</v>
      </c>
      <c r="M659">
        <v>11</v>
      </c>
      <c r="N659">
        <v>4</v>
      </c>
      <c r="O659" s="3">
        <f t="shared" si="84"/>
        <v>1.3636363636363635</v>
      </c>
      <c r="P659" s="3">
        <f t="shared" si="85"/>
        <v>0.88235294117647056</v>
      </c>
      <c r="Q659" s="3">
        <f t="shared" si="86"/>
        <v>0.6470588235294118</v>
      </c>
      <c r="R659" s="3">
        <f t="shared" si="87"/>
        <v>0.23529411764705882</v>
      </c>
      <c r="S659">
        <v>57</v>
      </c>
      <c r="T659" s="4">
        <v>0.08</v>
      </c>
      <c r="U659">
        <v>252</v>
      </c>
      <c r="V659">
        <v>860</v>
      </c>
    </row>
    <row r="660" spans="1:22">
      <c r="A660">
        <v>656</v>
      </c>
      <c r="B660" s="2">
        <v>46166</v>
      </c>
      <c r="C660" t="s">
        <v>29</v>
      </c>
      <c r="D660" t="s">
        <v>32</v>
      </c>
      <c r="E660" t="s">
        <v>25</v>
      </c>
      <c r="F660">
        <v>5</v>
      </c>
      <c r="G660">
        <v>13</v>
      </c>
      <c r="H660" t="str">
        <f t="shared" si="80"/>
        <v>Loss</v>
      </c>
      <c r="I660">
        <f t="shared" si="81"/>
        <v>0</v>
      </c>
      <c r="J660">
        <f t="shared" si="82"/>
        <v>-8</v>
      </c>
      <c r="K660">
        <f t="shared" si="83"/>
        <v>18</v>
      </c>
      <c r="L660">
        <v>10</v>
      </c>
      <c r="M660">
        <v>14</v>
      </c>
      <c r="N660">
        <v>2</v>
      </c>
      <c r="O660" s="3">
        <f t="shared" si="84"/>
        <v>0.7142857142857143</v>
      </c>
      <c r="P660" s="3">
        <f t="shared" si="85"/>
        <v>0.55555555555555558</v>
      </c>
      <c r="Q660" s="3">
        <f t="shared" si="86"/>
        <v>0.77777777777777779</v>
      </c>
      <c r="R660" s="3">
        <f t="shared" si="87"/>
        <v>0.1111111111111111</v>
      </c>
      <c r="S660">
        <v>-60</v>
      </c>
      <c r="T660" s="4">
        <v>7.0000000000000007E-2</v>
      </c>
      <c r="U660">
        <v>143</v>
      </c>
      <c r="V660">
        <v>146</v>
      </c>
    </row>
    <row r="661" spans="1:22">
      <c r="A661">
        <v>657</v>
      </c>
      <c r="B661" s="2">
        <v>46166</v>
      </c>
      <c r="C661" t="s">
        <v>40</v>
      </c>
      <c r="D661" t="s">
        <v>32</v>
      </c>
      <c r="E661" t="s">
        <v>25</v>
      </c>
      <c r="F661">
        <v>5</v>
      </c>
      <c r="G661">
        <v>13</v>
      </c>
      <c r="H661" t="str">
        <f t="shared" si="80"/>
        <v>Loss</v>
      </c>
      <c r="I661">
        <f t="shared" si="81"/>
        <v>0</v>
      </c>
      <c r="J661">
        <f t="shared" si="82"/>
        <v>-8</v>
      </c>
      <c r="K661">
        <f t="shared" si="83"/>
        <v>18</v>
      </c>
      <c r="L661">
        <v>7</v>
      </c>
      <c r="M661">
        <v>17</v>
      </c>
      <c r="N661">
        <v>6</v>
      </c>
      <c r="O661" s="3">
        <f t="shared" si="84"/>
        <v>0.41176470588235292</v>
      </c>
      <c r="P661" s="3">
        <f t="shared" si="85"/>
        <v>0.3888888888888889</v>
      </c>
      <c r="Q661" s="3">
        <f t="shared" si="86"/>
        <v>0.94444444444444442</v>
      </c>
      <c r="R661" s="3">
        <f t="shared" si="87"/>
        <v>0.33333333333333331</v>
      </c>
      <c r="S661">
        <v>-44</v>
      </c>
      <c r="T661" s="4">
        <v>0.06</v>
      </c>
      <c r="U661">
        <v>135</v>
      </c>
      <c r="V661">
        <v>188</v>
      </c>
    </row>
    <row r="662" spans="1:22">
      <c r="A662">
        <v>658</v>
      </c>
      <c r="B662" s="2">
        <v>46166</v>
      </c>
      <c r="C662" t="s">
        <v>23</v>
      </c>
      <c r="D662" t="s">
        <v>32</v>
      </c>
      <c r="E662" t="s">
        <v>50</v>
      </c>
      <c r="F662">
        <v>10</v>
      </c>
      <c r="G662">
        <v>13</v>
      </c>
      <c r="H662" t="str">
        <f t="shared" si="80"/>
        <v>Loss</v>
      </c>
      <c r="I662">
        <f t="shared" si="81"/>
        <v>0</v>
      </c>
      <c r="J662">
        <f t="shared" si="82"/>
        <v>-3</v>
      </c>
      <c r="K662">
        <f t="shared" si="83"/>
        <v>23</v>
      </c>
      <c r="L662">
        <v>11</v>
      </c>
      <c r="M662">
        <v>20</v>
      </c>
      <c r="N662">
        <v>4</v>
      </c>
      <c r="O662" s="3">
        <f t="shared" si="84"/>
        <v>0.55000000000000004</v>
      </c>
      <c r="P662" s="3">
        <f t="shared" si="85"/>
        <v>0.47826086956521741</v>
      </c>
      <c r="Q662" s="3">
        <f t="shared" si="86"/>
        <v>0.86956521739130432</v>
      </c>
      <c r="R662" s="3">
        <f t="shared" si="87"/>
        <v>0.17391304347826086</v>
      </c>
      <c r="S662">
        <v>-15</v>
      </c>
      <c r="T662" s="4">
        <v>0.22</v>
      </c>
      <c r="U662">
        <v>151</v>
      </c>
      <c r="V662">
        <v>317</v>
      </c>
    </row>
    <row r="663" spans="1:22">
      <c r="A663">
        <v>659</v>
      </c>
      <c r="B663" s="2">
        <v>46166</v>
      </c>
      <c r="C663" t="s">
        <v>60</v>
      </c>
      <c r="D663" t="s">
        <v>37</v>
      </c>
      <c r="E663" t="s">
        <v>50</v>
      </c>
      <c r="F663">
        <v>10</v>
      </c>
      <c r="G663">
        <v>13</v>
      </c>
      <c r="H663" t="str">
        <f t="shared" si="80"/>
        <v>Loss</v>
      </c>
      <c r="I663">
        <f t="shared" si="81"/>
        <v>0</v>
      </c>
      <c r="J663">
        <f t="shared" si="82"/>
        <v>-3</v>
      </c>
      <c r="K663">
        <f t="shared" si="83"/>
        <v>23</v>
      </c>
      <c r="L663">
        <v>18</v>
      </c>
      <c r="M663">
        <v>18</v>
      </c>
      <c r="N663">
        <v>3</v>
      </c>
      <c r="O663" s="3">
        <f t="shared" si="84"/>
        <v>1</v>
      </c>
      <c r="P663" s="3">
        <f t="shared" si="85"/>
        <v>0.78260869565217395</v>
      </c>
      <c r="Q663" s="3">
        <f t="shared" si="86"/>
        <v>0.78260869565217395</v>
      </c>
      <c r="R663" s="3">
        <f t="shared" si="87"/>
        <v>0.13043478260869565</v>
      </c>
      <c r="S663">
        <v>10</v>
      </c>
      <c r="T663" s="4">
        <v>0.18</v>
      </c>
      <c r="U663">
        <v>224</v>
      </c>
      <c r="V663">
        <v>451</v>
      </c>
    </row>
    <row r="664" spans="1:22">
      <c r="A664">
        <v>660</v>
      </c>
      <c r="B664" s="2">
        <v>46166</v>
      </c>
      <c r="C664" t="s">
        <v>40</v>
      </c>
      <c r="D664" t="s">
        <v>24</v>
      </c>
      <c r="E664" t="s">
        <v>25</v>
      </c>
      <c r="F664">
        <v>13</v>
      </c>
      <c r="G664">
        <v>7</v>
      </c>
      <c r="H664" t="str">
        <f t="shared" si="80"/>
        <v>Win</v>
      </c>
      <c r="I664">
        <f t="shared" si="81"/>
        <v>1</v>
      </c>
      <c r="J664">
        <f t="shared" si="82"/>
        <v>6</v>
      </c>
      <c r="K664">
        <f t="shared" si="83"/>
        <v>20</v>
      </c>
      <c r="L664">
        <v>14</v>
      </c>
      <c r="M664">
        <v>11</v>
      </c>
      <c r="N664">
        <v>6</v>
      </c>
      <c r="O664" s="3">
        <f t="shared" si="84"/>
        <v>1.2727272727272727</v>
      </c>
      <c r="P664" s="3">
        <f t="shared" si="85"/>
        <v>0.7</v>
      </c>
      <c r="Q664" s="3">
        <f t="shared" si="86"/>
        <v>0.55000000000000004</v>
      </c>
      <c r="R664" s="3">
        <f t="shared" si="87"/>
        <v>0.3</v>
      </c>
      <c r="S664">
        <v>33</v>
      </c>
      <c r="T664" s="4">
        <v>0.05</v>
      </c>
      <c r="U664">
        <v>202</v>
      </c>
      <c r="V664">
        <v>769</v>
      </c>
    </row>
    <row r="665" spans="1:22">
      <c r="A665">
        <v>661</v>
      </c>
      <c r="B665" s="2">
        <v>46166</v>
      </c>
      <c r="C665" t="s">
        <v>59</v>
      </c>
      <c r="D665" t="s">
        <v>30</v>
      </c>
      <c r="E665" t="s">
        <v>25</v>
      </c>
      <c r="F665">
        <v>10</v>
      </c>
      <c r="G665">
        <v>13</v>
      </c>
      <c r="H665" t="str">
        <f t="shared" si="80"/>
        <v>Loss</v>
      </c>
      <c r="I665">
        <f t="shared" si="81"/>
        <v>0</v>
      </c>
      <c r="J665">
        <f t="shared" si="82"/>
        <v>-3</v>
      </c>
      <c r="K665">
        <f t="shared" si="83"/>
        <v>23</v>
      </c>
      <c r="L665">
        <v>10</v>
      </c>
      <c r="M665">
        <v>20</v>
      </c>
      <c r="N665">
        <v>3</v>
      </c>
      <c r="O665" s="3">
        <f t="shared" si="84"/>
        <v>0.5</v>
      </c>
      <c r="P665" s="3">
        <f t="shared" si="85"/>
        <v>0.43478260869565216</v>
      </c>
      <c r="Q665" s="3">
        <f t="shared" si="86"/>
        <v>0.86956521739130432</v>
      </c>
      <c r="R665" s="3">
        <f t="shared" si="87"/>
        <v>0.13043478260869565</v>
      </c>
      <c r="S665">
        <v>-49</v>
      </c>
      <c r="T665" s="4">
        <v>0.06</v>
      </c>
      <c r="U665">
        <v>148</v>
      </c>
      <c r="V665">
        <v>229</v>
      </c>
    </row>
    <row r="666" spans="1:22">
      <c r="A666">
        <v>662</v>
      </c>
      <c r="B666" s="2">
        <v>46166</v>
      </c>
      <c r="C666" t="s">
        <v>23</v>
      </c>
      <c r="D666" t="s">
        <v>31</v>
      </c>
      <c r="E666" t="s">
        <v>38</v>
      </c>
      <c r="F666">
        <v>7</v>
      </c>
      <c r="G666">
        <v>13</v>
      </c>
      <c r="H666" t="str">
        <f t="shared" si="80"/>
        <v>Loss</v>
      </c>
      <c r="I666">
        <f t="shared" si="81"/>
        <v>0</v>
      </c>
      <c r="J666">
        <f t="shared" si="82"/>
        <v>-6</v>
      </c>
      <c r="K666">
        <f t="shared" si="83"/>
        <v>20</v>
      </c>
      <c r="L666">
        <v>8</v>
      </c>
      <c r="M666">
        <v>15</v>
      </c>
      <c r="N666">
        <v>9</v>
      </c>
      <c r="O666" s="3">
        <f t="shared" si="84"/>
        <v>0.53333333333333333</v>
      </c>
      <c r="P666" s="3">
        <f t="shared" si="85"/>
        <v>0.4</v>
      </c>
      <c r="Q666" s="3">
        <f t="shared" si="86"/>
        <v>0.75</v>
      </c>
      <c r="R666" s="3">
        <f t="shared" si="87"/>
        <v>0.45</v>
      </c>
      <c r="S666">
        <v>-52</v>
      </c>
      <c r="T666" s="4">
        <v>0.05</v>
      </c>
      <c r="U666">
        <v>116</v>
      </c>
      <c r="V666">
        <v>174</v>
      </c>
    </row>
    <row r="667" spans="1:22">
      <c r="A667">
        <v>663</v>
      </c>
      <c r="B667" s="2">
        <v>46166</v>
      </c>
      <c r="C667" t="s">
        <v>34</v>
      </c>
      <c r="D667" t="s">
        <v>32</v>
      </c>
      <c r="E667" t="s">
        <v>49</v>
      </c>
      <c r="F667">
        <v>8</v>
      </c>
      <c r="G667">
        <v>13</v>
      </c>
      <c r="H667" t="str">
        <f t="shared" si="80"/>
        <v>Loss</v>
      </c>
      <c r="I667">
        <f t="shared" si="81"/>
        <v>0</v>
      </c>
      <c r="J667">
        <f t="shared" si="82"/>
        <v>-5</v>
      </c>
      <c r="K667">
        <f t="shared" si="83"/>
        <v>21</v>
      </c>
      <c r="L667">
        <v>10</v>
      </c>
      <c r="M667">
        <v>19</v>
      </c>
      <c r="N667">
        <v>3</v>
      </c>
      <c r="O667" s="3">
        <f t="shared" si="84"/>
        <v>0.52631578947368418</v>
      </c>
      <c r="P667" s="3">
        <f t="shared" si="85"/>
        <v>0.47619047619047616</v>
      </c>
      <c r="Q667" s="3">
        <f t="shared" si="86"/>
        <v>0.90476190476190477</v>
      </c>
      <c r="R667" s="3">
        <f t="shared" si="87"/>
        <v>0.14285714285714285</v>
      </c>
      <c r="S667">
        <v>-45</v>
      </c>
      <c r="T667" s="4">
        <v>0.09</v>
      </c>
      <c r="U667">
        <v>150</v>
      </c>
      <c r="V667">
        <v>178</v>
      </c>
    </row>
    <row r="668" spans="1:22">
      <c r="A668">
        <v>664</v>
      </c>
      <c r="B668" s="2">
        <v>46166</v>
      </c>
      <c r="C668" t="s">
        <v>40</v>
      </c>
      <c r="D668" t="s">
        <v>31</v>
      </c>
      <c r="E668" t="s">
        <v>25</v>
      </c>
      <c r="F668">
        <v>13</v>
      </c>
      <c r="G668">
        <v>10</v>
      </c>
      <c r="H668" t="str">
        <f t="shared" si="80"/>
        <v>Win</v>
      </c>
      <c r="I668">
        <f t="shared" si="81"/>
        <v>1</v>
      </c>
      <c r="J668">
        <f t="shared" si="82"/>
        <v>3</v>
      </c>
      <c r="K668">
        <f t="shared" si="83"/>
        <v>23</v>
      </c>
      <c r="L668">
        <v>9</v>
      </c>
      <c r="M668">
        <v>14</v>
      </c>
      <c r="N668">
        <v>10</v>
      </c>
      <c r="O668" s="3">
        <f t="shared" si="84"/>
        <v>0.6428571428571429</v>
      </c>
      <c r="P668" s="3">
        <f t="shared" si="85"/>
        <v>0.39130434782608697</v>
      </c>
      <c r="Q668" s="3">
        <f t="shared" si="86"/>
        <v>0.60869565217391308</v>
      </c>
      <c r="R668" s="3">
        <f t="shared" si="87"/>
        <v>0.43478260869565216</v>
      </c>
      <c r="S668">
        <v>-4</v>
      </c>
      <c r="T668" s="4">
        <v>0.1</v>
      </c>
      <c r="U668">
        <v>140</v>
      </c>
      <c r="V668">
        <v>496</v>
      </c>
    </row>
    <row r="669" spans="1:22">
      <c r="A669">
        <v>665</v>
      </c>
      <c r="B669" s="2">
        <v>46166</v>
      </c>
      <c r="C669" t="s">
        <v>29</v>
      </c>
      <c r="D669" t="s">
        <v>30</v>
      </c>
      <c r="E669" t="s">
        <v>25</v>
      </c>
      <c r="F669">
        <v>4</v>
      </c>
      <c r="G669">
        <v>13</v>
      </c>
      <c r="H669" t="str">
        <f t="shared" si="80"/>
        <v>Loss</v>
      </c>
      <c r="I669">
        <f t="shared" si="81"/>
        <v>0</v>
      </c>
      <c r="J669">
        <f t="shared" si="82"/>
        <v>-9</v>
      </c>
      <c r="K669">
        <f t="shared" si="83"/>
        <v>17</v>
      </c>
      <c r="L669">
        <v>6</v>
      </c>
      <c r="M669">
        <v>16</v>
      </c>
      <c r="N669">
        <v>7</v>
      </c>
      <c r="O669" s="3">
        <f t="shared" si="84"/>
        <v>0.375</v>
      </c>
      <c r="P669" s="3">
        <f t="shared" si="85"/>
        <v>0.35294117647058826</v>
      </c>
      <c r="Q669" s="3">
        <f t="shared" si="86"/>
        <v>0.94117647058823528</v>
      </c>
      <c r="R669" s="3">
        <f t="shared" si="87"/>
        <v>0.41176470588235292</v>
      </c>
      <c r="S669">
        <v>-15</v>
      </c>
      <c r="T669" s="4">
        <v>0.09</v>
      </c>
      <c r="U669">
        <v>147</v>
      </c>
      <c r="V669">
        <v>331</v>
      </c>
    </row>
    <row r="670" spans="1:22">
      <c r="A670">
        <v>666</v>
      </c>
      <c r="B670" s="2">
        <v>46166</v>
      </c>
      <c r="C670" t="s">
        <v>60</v>
      </c>
      <c r="D670" t="s">
        <v>37</v>
      </c>
      <c r="E670" t="s">
        <v>50</v>
      </c>
      <c r="F670">
        <v>13</v>
      </c>
      <c r="G670">
        <v>9</v>
      </c>
      <c r="H670" t="str">
        <f t="shared" si="80"/>
        <v>Win</v>
      </c>
      <c r="I670">
        <f t="shared" si="81"/>
        <v>1</v>
      </c>
      <c r="J670">
        <f t="shared" si="82"/>
        <v>4</v>
      </c>
      <c r="K670">
        <f t="shared" si="83"/>
        <v>22</v>
      </c>
      <c r="L670">
        <v>17</v>
      </c>
      <c r="M670">
        <v>16</v>
      </c>
      <c r="N670">
        <v>3</v>
      </c>
      <c r="O670" s="3">
        <f t="shared" si="84"/>
        <v>1.0625</v>
      </c>
      <c r="P670" s="3">
        <f t="shared" si="85"/>
        <v>0.77272727272727271</v>
      </c>
      <c r="Q670" s="3">
        <f t="shared" si="86"/>
        <v>0.72727272727272729</v>
      </c>
      <c r="R670" s="3">
        <f t="shared" si="87"/>
        <v>0.13636363636363635</v>
      </c>
      <c r="S670">
        <v>-1</v>
      </c>
      <c r="T670" s="4">
        <v>0.05</v>
      </c>
      <c r="U670">
        <v>230</v>
      </c>
      <c r="V670">
        <v>540</v>
      </c>
    </row>
    <row r="671" spans="1:22">
      <c r="A671">
        <v>667</v>
      </c>
      <c r="B671" s="2">
        <v>46166</v>
      </c>
      <c r="C671" t="s">
        <v>54</v>
      </c>
      <c r="D671" t="s">
        <v>32</v>
      </c>
      <c r="E671" t="s">
        <v>49</v>
      </c>
      <c r="F671">
        <v>13</v>
      </c>
      <c r="G671">
        <v>2</v>
      </c>
      <c r="H671" t="str">
        <f t="shared" si="80"/>
        <v>Win</v>
      </c>
      <c r="I671">
        <f t="shared" si="81"/>
        <v>1</v>
      </c>
      <c r="J671">
        <f t="shared" si="82"/>
        <v>11</v>
      </c>
      <c r="K671">
        <f t="shared" si="83"/>
        <v>15</v>
      </c>
      <c r="L671">
        <v>8</v>
      </c>
      <c r="M671">
        <v>8</v>
      </c>
      <c r="N671">
        <v>2</v>
      </c>
      <c r="O671" s="3">
        <f t="shared" si="84"/>
        <v>1</v>
      </c>
      <c r="P671" s="3">
        <f t="shared" si="85"/>
        <v>0.53333333333333333</v>
      </c>
      <c r="Q671" s="3">
        <f t="shared" si="86"/>
        <v>0.53333333333333333</v>
      </c>
      <c r="R671" s="3">
        <f t="shared" si="87"/>
        <v>0.13333333333333333</v>
      </c>
      <c r="S671">
        <v>-6</v>
      </c>
      <c r="T671" s="4">
        <v>0.09</v>
      </c>
      <c r="U671">
        <v>128</v>
      </c>
      <c r="V671">
        <v>552</v>
      </c>
    </row>
    <row r="672" spans="1:22">
      <c r="A672">
        <v>668</v>
      </c>
      <c r="B672" s="2">
        <v>46166</v>
      </c>
      <c r="C672" t="s">
        <v>59</v>
      </c>
      <c r="D672" t="s">
        <v>42</v>
      </c>
      <c r="E672" t="s">
        <v>49</v>
      </c>
      <c r="F672">
        <v>13</v>
      </c>
      <c r="G672">
        <v>11</v>
      </c>
      <c r="H672" t="str">
        <f t="shared" si="80"/>
        <v>Win</v>
      </c>
      <c r="I672">
        <f t="shared" si="81"/>
        <v>1</v>
      </c>
      <c r="J672">
        <f t="shared" si="82"/>
        <v>2</v>
      </c>
      <c r="K672">
        <f t="shared" si="83"/>
        <v>24</v>
      </c>
      <c r="L672">
        <v>22</v>
      </c>
      <c r="M672">
        <v>12</v>
      </c>
      <c r="N672">
        <v>4</v>
      </c>
      <c r="O672" s="3">
        <f t="shared" si="84"/>
        <v>1.8333333333333333</v>
      </c>
      <c r="P672" s="3">
        <f t="shared" si="85"/>
        <v>0.91666666666666663</v>
      </c>
      <c r="Q672" s="3">
        <f t="shared" si="86"/>
        <v>0.5</v>
      </c>
      <c r="R672" s="3">
        <f t="shared" si="87"/>
        <v>0.16666666666666666</v>
      </c>
      <c r="S672">
        <v>68</v>
      </c>
      <c r="T672" s="4">
        <v>0.11</v>
      </c>
      <c r="U672">
        <v>243</v>
      </c>
      <c r="V672">
        <v>829</v>
      </c>
    </row>
    <row r="673" spans="1:22">
      <c r="A673">
        <v>669</v>
      </c>
      <c r="B673" s="2">
        <v>46165</v>
      </c>
      <c r="C673" t="s">
        <v>29</v>
      </c>
      <c r="D673" t="s">
        <v>24</v>
      </c>
      <c r="E673" t="s">
        <v>25</v>
      </c>
      <c r="F673">
        <v>13</v>
      </c>
      <c r="G673">
        <v>10</v>
      </c>
      <c r="H673" t="str">
        <f t="shared" si="80"/>
        <v>Win</v>
      </c>
      <c r="I673">
        <f t="shared" si="81"/>
        <v>1</v>
      </c>
      <c r="J673">
        <f t="shared" si="82"/>
        <v>3</v>
      </c>
      <c r="K673">
        <f t="shared" si="83"/>
        <v>23</v>
      </c>
      <c r="L673">
        <v>14</v>
      </c>
      <c r="M673">
        <v>16</v>
      </c>
      <c r="N673">
        <v>5</v>
      </c>
      <c r="O673" s="3">
        <f t="shared" si="84"/>
        <v>0.875</v>
      </c>
      <c r="P673" s="3">
        <f t="shared" si="85"/>
        <v>0.60869565217391308</v>
      </c>
      <c r="Q673" s="3">
        <f t="shared" si="86"/>
        <v>0.69565217391304346</v>
      </c>
      <c r="R673" s="3">
        <f t="shared" si="87"/>
        <v>0.21739130434782608</v>
      </c>
      <c r="S673">
        <v>0</v>
      </c>
      <c r="T673" s="4">
        <v>0.1</v>
      </c>
      <c r="U673">
        <v>189</v>
      </c>
      <c r="V673">
        <v>582</v>
      </c>
    </row>
    <row r="674" spans="1:22">
      <c r="A674">
        <v>670</v>
      </c>
      <c r="B674" s="2">
        <v>46165</v>
      </c>
      <c r="C674" t="s">
        <v>40</v>
      </c>
      <c r="D674" t="s">
        <v>42</v>
      </c>
      <c r="E674" t="s">
        <v>25</v>
      </c>
      <c r="F674">
        <v>7</v>
      </c>
      <c r="G674">
        <v>13</v>
      </c>
      <c r="H674" t="str">
        <f t="shared" si="80"/>
        <v>Loss</v>
      </c>
      <c r="I674">
        <f t="shared" si="81"/>
        <v>0</v>
      </c>
      <c r="J674">
        <f t="shared" si="82"/>
        <v>-6</v>
      </c>
      <c r="K674">
        <f t="shared" si="83"/>
        <v>20</v>
      </c>
      <c r="L674">
        <v>14</v>
      </c>
      <c r="M674">
        <v>16</v>
      </c>
      <c r="N674">
        <v>3</v>
      </c>
      <c r="O674" s="3">
        <f t="shared" si="84"/>
        <v>0.875</v>
      </c>
      <c r="P674" s="3">
        <f t="shared" si="85"/>
        <v>0.7</v>
      </c>
      <c r="Q674" s="3">
        <f t="shared" si="86"/>
        <v>0.8</v>
      </c>
      <c r="R674" s="3">
        <f t="shared" si="87"/>
        <v>0.15</v>
      </c>
      <c r="S674">
        <v>10</v>
      </c>
      <c r="T674" s="4">
        <v>0.09</v>
      </c>
      <c r="U674">
        <v>215</v>
      </c>
      <c r="V674">
        <v>555</v>
      </c>
    </row>
    <row r="675" spans="1:22">
      <c r="A675">
        <v>671</v>
      </c>
      <c r="B675" s="2">
        <v>46165</v>
      </c>
      <c r="C675" t="s">
        <v>23</v>
      </c>
      <c r="D675" t="s">
        <v>30</v>
      </c>
      <c r="E675" t="s">
        <v>49</v>
      </c>
      <c r="F675">
        <v>15</v>
      </c>
      <c r="G675">
        <v>13</v>
      </c>
      <c r="H675" t="str">
        <f t="shared" si="80"/>
        <v>Win</v>
      </c>
      <c r="I675">
        <f t="shared" si="81"/>
        <v>1</v>
      </c>
      <c r="J675">
        <f t="shared" si="82"/>
        <v>2</v>
      </c>
      <c r="K675">
        <f t="shared" si="83"/>
        <v>28</v>
      </c>
      <c r="L675">
        <v>15</v>
      </c>
      <c r="M675">
        <v>21</v>
      </c>
      <c r="N675">
        <v>6</v>
      </c>
      <c r="O675" s="3">
        <f t="shared" si="84"/>
        <v>0.7142857142857143</v>
      </c>
      <c r="P675" s="3">
        <f t="shared" si="85"/>
        <v>0.5357142857142857</v>
      </c>
      <c r="Q675" s="3">
        <f t="shared" si="86"/>
        <v>0.75</v>
      </c>
      <c r="R675" s="3">
        <f t="shared" si="87"/>
        <v>0.21428571428571427</v>
      </c>
      <c r="S675">
        <v>-23</v>
      </c>
      <c r="T675" s="4">
        <v>0.04</v>
      </c>
      <c r="U675">
        <v>165</v>
      </c>
      <c r="V675">
        <v>449</v>
      </c>
    </row>
    <row r="676" spans="1:22">
      <c r="A676">
        <v>672</v>
      </c>
      <c r="B676" s="2">
        <v>46165</v>
      </c>
      <c r="C676" t="s">
        <v>54</v>
      </c>
      <c r="D676" t="s">
        <v>27</v>
      </c>
      <c r="E676" t="s">
        <v>49</v>
      </c>
      <c r="F676">
        <v>13</v>
      </c>
      <c r="G676">
        <v>9</v>
      </c>
      <c r="H676" t="str">
        <f t="shared" si="80"/>
        <v>Win</v>
      </c>
      <c r="I676">
        <f t="shared" si="81"/>
        <v>1</v>
      </c>
      <c r="J676">
        <f t="shared" si="82"/>
        <v>4</v>
      </c>
      <c r="K676">
        <f t="shared" si="83"/>
        <v>22</v>
      </c>
      <c r="L676">
        <v>17</v>
      </c>
      <c r="M676">
        <v>9</v>
      </c>
      <c r="N676">
        <v>2</v>
      </c>
      <c r="O676" s="3">
        <f t="shared" si="84"/>
        <v>1.8888888888888888</v>
      </c>
      <c r="P676" s="3">
        <f t="shared" si="85"/>
        <v>0.77272727272727271</v>
      </c>
      <c r="Q676" s="3">
        <f t="shared" si="86"/>
        <v>0.40909090909090912</v>
      </c>
      <c r="R676" s="3">
        <f t="shared" si="87"/>
        <v>9.0909090909090912E-2</v>
      </c>
      <c r="S676">
        <v>44</v>
      </c>
      <c r="T676" s="4">
        <v>7.0000000000000007E-2</v>
      </c>
      <c r="U676">
        <v>200</v>
      </c>
      <c r="V676">
        <v>785</v>
      </c>
    </row>
    <row r="677" spans="1:22">
      <c r="A677">
        <v>673</v>
      </c>
      <c r="B677" s="2">
        <v>46165</v>
      </c>
      <c r="C677" t="s">
        <v>34</v>
      </c>
      <c r="D677" t="s">
        <v>36</v>
      </c>
      <c r="E677" t="s">
        <v>49</v>
      </c>
      <c r="F677">
        <v>8</v>
      </c>
      <c r="G677">
        <v>2</v>
      </c>
      <c r="H677" t="str">
        <f t="shared" si="80"/>
        <v>Win</v>
      </c>
      <c r="I677">
        <f t="shared" si="81"/>
        <v>1</v>
      </c>
      <c r="J677">
        <f t="shared" si="82"/>
        <v>6</v>
      </c>
      <c r="K677">
        <f t="shared" si="83"/>
        <v>10</v>
      </c>
      <c r="L677">
        <v>6</v>
      </c>
      <c r="M677">
        <v>6</v>
      </c>
      <c r="N677">
        <v>2</v>
      </c>
      <c r="O677" s="3">
        <f t="shared" si="84"/>
        <v>1</v>
      </c>
      <c r="P677" s="3">
        <f t="shared" si="85"/>
        <v>0.6</v>
      </c>
      <c r="Q677" s="3">
        <f t="shared" si="86"/>
        <v>0.6</v>
      </c>
      <c r="R677" s="3">
        <f t="shared" si="87"/>
        <v>0.2</v>
      </c>
      <c r="S677">
        <v>11</v>
      </c>
      <c r="T677" s="4">
        <v>0.11</v>
      </c>
      <c r="U677">
        <v>178</v>
      </c>
      <c r="V677">
        <v>558</v>
      </c>
    </row>
    <row r="678" spans="1:22">
      <c r="A678">
        <v>674</v>
      </c>
      <c r="B678" s="2">
        <v>46165</v>
      </c>
      <c r="C678" t="s">
        <v>40</v>
      </c>
      <c r="D678" t="s">
        <v>42</v>
      </c>
      <c r="E678" t="s">
        <v>25</v>
      </c>
      <c r="F678">
        <v>5</v>
      </c>
      <c r="G678">
        <v>13</v>
      </c>
      <c r="H678" t="str">
        <f t="shared" si="80"/>
        <v>Loss</v>
      </c>
      <c r="I678">
        <f t="shared" si="81"/>
        <v>0</v>
      </c>
      <c r="J678">
        <f t="shared" si="82"/>
        <v>-8</v>
      </c>
      <c r="K678">
        <f t="shared" si="83"/>
        <v>18</v>
      </c>
      <c r="L678">
        <v>13</v>
      </c>
      <c r="M678">
        <v>14</v>
      </c>
      <c r="N678">
        <v>2</v>
      </c>
      <c r="O678" s="3">
        <f t="shared" si="84"/>
        <v>0.9285714285714286</v>
      </c>
      <c r="P678" s="3">
        <f t="shared" si="85"/>
        <v>0.72222222222222221</v>
      </c>
      <c r="Q678" s="3">
        <f t="shared" si="86"/>
        <v>0.77777777777777779</v>
      </c>
      <c r="R678" s="3">
        <f t="shared" si="87"/>
        <v>0.1111111111111111</v>
      </c>
      <c r="S678">
        <v>22</v>
      </c>
      <c r="T678" s="4">
        <v>0.03</v>
      </c>
      <c r="U678">
        <v>229</v>
      </c>
      <c r="V678">
        <v>404</v>
      </c>
    </row>
    <row r="679" spans="1:22">
      <c r="A679">
        <v>675</v>
      </c>
      <c r="B679" s="2">
        <v>46165</v>
      </c>
      <c r="C679" t="s">
        <v>60</v>
      </c>
      <c r="D679" t="s">
        <v>37</v>
      </c>
      <c r="E679" t="s">
        <v>49</v>
      </c>
      <c r="F679">
        <v>13</v>
      </c>
      <c r="G679">
        <v>6</v>
      </c>
      <c r="H679" t="str">
        <f t="shared" si="80"/>
        <v>Win</v>
      </c>
      <c r="I679">
        <f t="shared" si="81"/>
        <v>1</v>
      </c>
      <c r="J679">
        <f t="shared" si="82"/>
        <v>7</v>
      </c>
      <c r="K679">
        <f t="shared" si="83"/>
        <v>19</v>
      </c>
      <c r="L679">
        <v>15</v>
      </c>
      <c r="M679">
        <v>10</v>
      </c>
      <c r="N679">
        <v>5</v>
      </c>
      <c r="O679" s="3">
        <f t="shared" si="84"/>
        <v>1.5</v>
      </c>
      <c r="P679" s="3">
        <f t="shared" si="85"/>
        <v>0.78947368421052633</v>
      </c>
      <c r="Q679" s="3">
        <f t="shared" si="86"/>
        <v>0.52631578947368418</v>
      </c>
      <c r="R679" s="3">
        <f t="shared" si="87"/>
        <v>0.26315789473684209</v>
      </c>
      <c r="S679">
        <v>59</v>
      </c>
      <c r="T679" s="4">
        <v>7.0000000000000007E-2</v>
      </c>
      <c r="U679">
        <v>225</v>
      </c>
      <c r="V679">
        <v>795</v>
      </c>
    </row>
    <row r="680" spans="1:22">
      <c r="A680">
        <v>676</v>
      </c>
      <c r="B680" s="2">
        <v>46165</v>
      </c>
      <c r="C680" t="s">
        <v>40</v>
      </c>
      <c r="D680" t="s">
        <v>27</v>
      </c>
      <c r="E680" t="s">
        <v>25</v>
      </c>
      <c r="F680">
        <v>13</v>
      </c>
      <c r="G680">
        <v>5</v>
      </c>
      <c r="H680" t="str">
        <f t="shared" si="80"/>
        <v>Win</v>
      </c>
      <c r="I680">
        <f t="shared" si="81"/>
        <v>1</v>
      </c>
      <c r="J680">
        <f t="shared" si="82"/>
        <v>8</v>
      </c>
      <c r="K680">
        <f t="shared" si="83"/>
        <v>18</v>
      </c>
      <c r="L680">
        <v>14</v>
      </c>
      <c r="M680">
        <v>10</v>
      </c>
      <c r="N680">
        <v>2</v>
      </c>
      <c r="O680" s="3">
        <f t="shared" si="84"/>
        <v>1.4</v>
      </c>
      <c r="P680" s="3">
        <f t="shared" si="85"/>
        <v>0.77777777777777779</v>
      </c>
      <c r="Q680" s="3">
        <f t="shared" si="86"/>
        <v>0.55555555555555558</v>
      </c>
      <c r="R680" s="3">
        <f t="shared" si="87"/>
        <v>0.1111111111111111</v>
      </c>
      <c r="S680">
        <v>40</v>
      </c>
      <c r="T680" s="4">
        <v>0.06</v>
      </c>
      <c r="U680">
        <v>211</v>
      </c>
      <c r="V680">
        <v>689</v>
      </c>
    </row>
    <row r="681" spans="1:22">
      <c r="A681">
        <v>677</v>
      </c>
      <c r="B681" s="2">
        <v>46165</v>
      </c>
      <c r="C681" t="s">
        <v>34</v>
      </c>
      <c r="D681" t="s">
        <v>32</v>
      </c>
      <c r="E681" t="s">
        <v>50</v>
      </c>
      <c r="F681">
        <v>13</v>
      </c>
      <c r="G681">
        <v>11</v>
      </c>
      <c r="H681" t="str">
        <f t="shared" si="80"/>
        <v>Win</v>
      </c>
      <c r="I681">
        <f t="shared" si="81"/>
        <v>1</v>
      </c>
      <c r="J681">
        <f t="shared" si="82"/>
        <v>2</v>
      </c>
      <c r="K681">
        <f t="shared" si="83"/>
        <v>24</v>
      </c>
      <c r="L681">
        <v>10</v>
      </c>
      <c r="M681">
        <v>15</v>
      </c>
      <c r="N681">
        <v>0</v>
      </c>
      <c r="O681" s="3">
        <f t="shared" si="84"/>
        <v>0.66666666666666663</v>
      </c>
      <c r="P681" s="3">
        <f t="shared" si="85"/>
        <v>0.41666666666666669</v>
      </c>
      <c r="Q681" s="3">
        <f t="shared" si="86"/>
        <v>0.625</v>
      </c>
      <c r="R681" s="3">
        <f t="shared" si="87"/>
        <v>0</v>
      </c>
      <c r="S681">
        <v>-37</v>
      </c>
      <c r="T681" s="4">
        <v>0.1</v>
      </c>
      <c r="U681">
        <v>106</v>
      </c>
      <c r="V681">
        <v>310</v>
      </c>
    </row>
    <row r="682" spans="1:22">
      <c r="A682">
        <v>678</v>
      </c>
      <c r="B682" s="2">
        <v>46165</v>
      </c>
      <c r="C682" t="s">
        <v>54</v>
      </c>
      <c r="D682" t="s">
        <v>27</v>
      </c>
      <c r="E682" t="s">
        <v>49</v>
      </c>
      <c r="F682">
        <v>8</v>
      </c>
      <c r="G682">
        <v>13</v>
      </c>
      <c r="H682" t="str">
        <f t="shared" si="80"/>
        <v>Loss</v>
      </c>
      <c r="I682">
        <f t="shared" si="81"/>
        <v>0</v>
      </c>
      <c r="J682">
        <f t="shared" si="82"/>
        <v>-5</v>
      </c>
      <c r="K682">
        <f t="shared" si="83"/>
        <v>21</v>
      </c>
      <c r="L682">
        <v>17</v>
      </c>
      <c r="M682">
        <v>17</v>
      </c>
      <c r="N682">
        <v>4</v>
      </c>
      <c r="O682" s="3">
        <f t="shared" si="84"/>
        <v>1</v>
      </c>
      <c r="P682" s="3">
        <f t="shared" si="85"/>
        <v>0.80952380952380953</v>
      </c>
      <c r="Q682" s="3">
        <f t="shared" si="86"/>
        <v>0.80952380952380953</v>
      </c>
      <c r="R682" s="3">
        <f t="shared" si="87"/>
        <v>0.19047619047619047</v>
      </c>
      <c r="S682">
        <v>16</v>
      </c>
      <c r="T682" s="4">
        <v>0.08</v>
      </c>
      <c r="U682">
        <v>228</v>
      </c>
      <c r="V682">
        <v>523</v>
      </c>
    </row>
    <row r="683" spans="1:22">
      <c r="A683">
        <v>679</v>
      </c>
      <c r="B683" s="2">
        <v>46164</v>
      </c>
      <c r="C683" t="s">
        <v>34</v>
      </c>
      <c r="D683" t="s">
        <v>30</v>
      </c>
      <c r="E683" t="s">
        <v>49</v>
      </c>
      <c r="F683">
        <v>13</v>
      </c>
      <c r="G683">
        <v>3</v>
      </c>
      <c r="H683" t="str">
        <f t="shared" si="80"/>
        <v>Win</v>
      </c>
      <c r="I683">
        <f t="shared" si="81"/>
        <v>1</v>
      </c>
      <c r="J683">
        <f t="shared" si="82"/>
        <v>10</v>
      </c>
      <c r="K683">
        <f t="shared" si="83"/>
        <v>16</v>
      </c>
      <c r="L683">
        <v>12</v>
      </c>
      <c r="M683">
        <v>6</v>
      </c>
      <c r="N683">
        <v>2</v>
      </c>
      <c r="O683" s="3">
        <f t="shared" si="84"/>
        <v>2</v>
      </c>
      <c r="P683" s="3">
        <f t="shared" si="85"/>
        <v>0.75</v>
      </c>
      <c r="Q683" s="3">
        <f t="shared" si="86"/>
        <v>0.375</v>
      </c>
      <c r="R683" s="3">
        <f t="shared" si="87"/>
        <v>0.125</v>
      </c>
      <c r="S683">
        <v>35</v>
      </c>
      <c r="T683" s="4">
        <v>0.13</v>
      </c>
      <c r="U683">
        <v>167</v>
      </c>
      <c r="V683">
        <v>728</v>
      </c>
    </row>
    <row r="684" spans="1:22">
      <c r="A684">
        <v>680</v>
      </c>
      <c r="B684" s="2">
        <v>46164</v>
      </c>
      <c r="C684" t="s">
        <v>23</v>
      </c>
      <c r="D684" t="s">
        <v>31</v>
      </c>
      <c r="E684" t="s">
        <v>39</v>
      </c>
      <c r="F684">
        <v>9</v>
      </c>
      <c r="G684">
        <v>13</v>
      </c>
      <c r="H684" t="str">
        <f t="shared" si="80"/>
        <v>Loss</v>
      </c>
      <c r="I684">
        <f t="shared" si="81"/>
        <v>0</v>
      </c>
      <c r="J684">
        <f t="shared" si="82"/>
        <v>-4</v>
      </c>
      <c r="K684">
        <f t="shared" si="83"/>
        <v>22</v>
      </c>
      <c r="L684">
        <v>8</v>
      </c>
      <c r="M684">
        <v>18</v>
      </c>
      <c r="N684">
        <v>4</v>
      </c>
      <c r="O684" s="3">
        <f t="shared" si="84"/>
        <v>0.44444444444444442</v>
      </c>
      <c r="P684" s="3">
        <f t="shared" si="85"/>
        <v>0.36363636363636365</v>
      </c>
      <c r="Q684" s="3">
        <f t="shared" si="86"/>
        <v>0.81818181818181823</v>
      </c>
      <c r="R684" s="3">
        <f t="shared" si="87"/>
        <v>0.18181818181818182</v>
      </c>
      <c r="S684">
        <v>-54</v>
      </c>
      <c r="T684" s="4">
        <v>0.1</v>
      </c>
      <c r="U684">
        <v>138</v>
      </c>
      <c r="V684">
        <v>238</v>
      </c>
    </row>
    <row r="685" spans="1:22">
      <c r="A685">
        <v>681</v>
      </c>
      <c r="B685" s="2">
        <v>46164</v>
      </c>
      <c r="C685" t="s">
        <v>59</v>
      </c>
      <c r="D685" t="s">
        <v>32</v>
      </c>
      <c r="E685" t="s">
        <v>25</v>
      </c>
      <c r="F685">
        <v>9</v>
      </c>
      <c r="G685">
        <v>13</v>
      </c>
      <c r="H685" t="str">
        <f t="shared" si="80"/>
        <v>Loss</v>
      </c>
      <c r="I685">
        <f t="shared" si="81"/>
        <v>0</v>
      </c>
      <c r="J685">
        <f t="shared" si="82"/>
        <v>-4</v>
      </c>
      <c r="K685">
        <f t="shared" si="83"/>
        <v>22</v>
      </c>
      <c r="L685">
        <v>8</v>
      </c>
      <c r="M685">
        <v>16</v>
      </c>
      <c r="N685">
        <v>3</v>
      </c>
      <c r="O685" s="3">
        <f t="shared" si="84"/>
        <v>0.5</v>
      </c>
      <c r="P685" s="3">
        <f t="shared" si="85"/>
        <v>0.36363636363636365</v>
      </c>
      <c r="Q685" s="3">
        <f t="shared" si="86"/>
        <v>0.72727272727272729</v>
      </c>
      <c r="R685" s="3">
        <f t="shared" si="87"/>
        <v>0.13636363636363635</v>
      </c>
      <c r="S685">
        <v>-38</v>
      </c>
      <c r="T685" s="4">
        <v>0.1</v>
      </c>
      <c r="U685">
        <v>119</v>
      </c>
      <c r="V685">
        <v>193</v>
      </c>
    </row>
    <row r="686" spans="1:22">
      <c r="A686">
        <v>682</v>
      </c>
      <c r="B686" s="2">
        <v>46164</v>
      </c>
      <c r="C686" t="s">
        <v>29</v>
      </c>
      <c r="D686" t="s">
        <v>27</v>
      </c>
      <c r="E686" t="s">
        <v>25</v>
      </c>
      <c r="F686">
        <v>6</v>
      </c>
      <c r="G686">
        <v>13</v>
      </c>
      <c r="H686" t="str">
        <f t="shared" si="80"/>
        <v>Loss</v>
      </c>
      <c r="I686">
        <f t="shared" si="81"/>
        <v>0</v>
      </c>
      <c r="J686">
        <f t="shared" si="82"/>
        <v>-7</v>
      </c>
      <c r="K686">
        <f t="shared" si="83"/>
        <v>19</v>
      </c>
      <c r="L686">
        <v>11</v>
      </c>
      <c r="M686">
        <v>16</v>
      </c>
      <c r="N686">
        <v>3</v>
      </c>
      <c r="O686" s="3">
        <f t="shared" si="84"/>
        <v>0.6875</v>
      </c>
      <c r="P686" s="3">
        <f t="shared" si="85"/>
        <v>0.57894736842105265</v>
      </c>
      <c r="Q686" s="3">
        <f t="shared" si="86"/>
        <v>0.84210526315789469</v>
      </c>
      <c r="R686" s="3">
        <f t="shared" si="87"/>
        <v>0.15789473684210525</v>
      </c>
      <c r="S686">
        <v>-6</v>
      </c>
      <c r="T686" s="4">
        <v>0.13</v>
      </c>
      <c r="U686">
        <v>193</v>
      </c>
      <c r="V686">
        <v>414</v>
      </c>
    </row>
    <row r="687" spans="1:22">
      <c r="A687">
        <v>683</v>
      </c>
      <c r="B687" s="2">
        <v>46164</v>
      </c>
      <c r="C687" t="s">
        <v>59</v>
      </c>
      <c r="D687" t="s">
        <v>32</v>
      </c>
      <c r="E687" t="s">
        <v>25</v>
      </c>
      <c r="F687">
        <v>13</v>
      </c>
      <c r="G687">
        <v>8</v>
      </c>
      <c r="H687" t="str">
        <f t="shared" si="80"/>
        <v>Win</v>
      </c>
      <c r="I687">
        <f t="shared" si="81"/>
        <v>1</v>
      </c>
      <c r="J687">
        <f t="shared" si="82"/>
        <v>5</v>
      </c>
      <c r="K687">
        <f t="shared" si="83"/>
        <v>21</v>
      </c>
      <c r="L687">
        <v>12</v>
      </c>
      <c r="M687">
        <v>16</v>
      </c>
      <c r="N687">
        <v>3</v>
      </c>
      <c r="O687" s="3">
        <f t="shared" si="84"/>
        <v>0.75</v>
      </c>
      <c r="P687" s="3">
        <f t="shared" si="85"/>
        <v>0.5714285714285714</v>
      </c>
      <c r="Q687" s="3">
        <f t="shared" si="86"/>
        <v>0.76190476190476186</v>
      </c>
      <c r="R687" s="3">
        <f t="shared" si="87"/>
        <v>0.14285714285714285</v>
      </c>
      <c r="S687">
        <v>-28</v>
      </c>
      <c r="T687" s="4">
        <v>0.12</v>
      </c>
      <c r="U687">
        <v>145</v>
      </c>
      <c r="V687">
        <v>299</v>
      </c>
    </row>
    <row r="688" spans="1:22">
      <c r="A688">
        <v>684</v>
      </c>
      <c r="B688" s="2">
        <v>46164</v>
      </c>
      <c r="C688" t="s">
        <v>40</v>
      </c>
      <c r="D688" t="s">
        <v>36</v>
      </c>
      <c r="E688" t="s">
        <v>25</v>
      </c>
      <c r="F688">
        <v>6</v>
      </c>
      <c r="G688">
        <v>13</v>
      </c>
      <c r="H688" t="str">
        <f t="shared" si="80"/>
        <v>Loss</v>
      </c>
      <c r="I688">
        <f t="shared" si="81"/>
        <v>0</v>
      </c>
      <c r="J688">
        <f t="shared" si="82"/>
        <v>-7</v>
      </c>
      <c r="K688">
        <f t="shared" si="83"/>
        <v>19</v>
      </c>
      <c r="L688">
        <v>12</v>
      </c>
      <c r="M688">
        <v>17</v>
      </c>
      <c r="N688">
        <v>4</v>
      </c>
      <c r="O688" s="3">
        <f t="shared" si="84"/>
        <v>0.70588235294117652</v>
      </c>
      <c r="P688" s="3">
        <f t="shared" si="85"/>
        <v>0.63157894736842102</v>
      </c>
      <c r="Q688" s="3">
        <f t="shared" si="86"/>
        <v>0.89473684210526316</v>
      </c>
      <c r="R688" s="3">
        <f t="shared" si="87"/>
        <v>0.21052631578947367</v>
      </c>
      <c r="S688">
        <v>4</v>
      </c>
      <c r="T688" s="4">
        <v>0.08</v>
      </c>
      <c r="U688">
        <v>195</v>
      </c>
      <c r="V688">
        <v>364</v>
      </c>
    </row>
    <row r="689" spans="1:22">
      <c r="A689">
        <v>685</v>
      </c>
      <c r="B689" s="2">
        <v>46164</v>
      </c>
      <c r="C689" t="s">
        <v>34</v>
      </c>
      <c r="D689" t="s">
        <v>31</v>
      </c>
      <c r="E689" t="s">
        <v>25</v>
      </c>
      <c r="F689">
        <v>8</v>
      </c>
      <c r="G689">
        <v>13</v>
      </c>
      <c r="H689" t="str">
        <f t="shared" si="80"/>
        <v>Loss</v>
      </c>
      <c r="I689">
        <f t="shared" si="81"/>
        <v>0</v>
      </c>
      <c r="J689">
        <f t="shared" si="82"/>
        <v>-5</v>
      </c>
      <c r="K689">
        <f t="shared" si="83"/>
        <v>21</v>
      </c>
      <c r="L689">
        <v>2</v>
      </c>
      <c r="M689">
        <v>18</v>
      </c>
      <c r="N689">
        <v>4</v>
      </c>
      <c r="O689" s="3">
        <f t="shared" si="84"/>
        <v>0.1111111111111111</v>
      </c>
      <c r="P689" s="3">
        <f t="shared" si="85"/>
        <v>9.5238095238095233E-2</v>
      </c>
      <c r="Q689" s="3">
        <f t="shared" si="86"/>
        <v>0.8571428571428571</v>
      </c>
      <c r="R689" s="3">
        <f t="shared" si="87"/>
        <v>0.19047619047619047</v>
      </c>
      <c r="S689">
        <v>-104</v>
      </c>
      <c r="T689" s="4">
        <v>7.0000000000000007E-2</v>
      </c>
      <c r="U689">
        <v>39</v>
      </c>
      <c r="V689">
        <v>100</v>
      </c>
    </row>
    <row r="690" spans="1:22">
      <c r="A690">
        <v>686</v>
      </c>
      <c r="B690" s="2">
        <v>46164</v>
      </c>
      <c r="C690" t="s">
        <v>54</v>
      </c>
      <c r="D690" t="s">
        <v>32</v>
      </c>
      <c r="E690" t="s">
        <v>25</v>
      </c>
      <c r="F690">
        <v>11</v>
      </c>
      <c r="G690">
        <v>13</v>
      </c>
      <c r="H690" t="str">
        <f t="shared" si="80"/>
        <v>Loss</v>
      </c>
      <c r="I690">
        <f t="shared" si="81"/>
        <v>0</v>
      </c>
      <c r="J690">
        <f t="shared" si="82"/>
        <v>-2</v>
      </c>
      <c r="K690">
        <f t="shared" si="83"/>
        <v>24</v>
      </c>
      <c r="L690">
        <v>14</v>
      </c>
      <c r="M690">
        <v>19</v>
      </c>
      <c r="N690">
        <v>7</v>
      </c>
      <c r="O690" s="3">
        <f t="shared" si="84"/>
        <v>0.73684210526315785</v>
      </c>
      <c r="P690" s="3">
        <f t="shared" si="85"/>
        <v>0.58333333333333337</v>
      </c>
      <c r="Q690" s="3">
        <f t="shared" si="86"/>
        <v>0.79166666666666663</v>
      </c>
      <c r="R690" s="3">
        <f t="shared" si="87"/>
        <v>0.29166666666666669</v>
      </c>
      <c r="S690">
        <v>-10</v>
      </c>
      <c r="T690" s="4">
        <v>0.08</v>
      </c>
      <c r="U690">
        <v>173</v>
      </c>
      <c r="V690">
        <v>564</v>
      </c>
    </row>
    <row r="691" spans="1:22">
      <c r="A691">
        <v>687</v>
      </c>
      <c r="B691" s="2">
        <v>46164</v>
      </c>
      <c r="C691" t="s">
        <v>40</v>
      </c>
      <c r="D691" t="s">
        <v>32</v>
      </c>
      <c r="E691" t="s">
        <v>25</v>
      </c>
      <c r="F691">
        <v>8</v>
      </c>
      <c r="G691">
        <v>13</v>
      </c>
      <c r="H691" t="str">
        <f t="shared" si="80"/>
        <v>Loss</v>
      </c>
      <c r="I691">
        <f t="shared" si="81"/>
        <v>0</v>
      </c>
      <c r="J691">
        <f t="shared" si="82"/>
        <v>-5</v>
      </c>
      <c r="K691">
        <f t="shared" si="83"/>
        <v>21</v>
      </c>
      <c r="L691">
        <v>9</v>
      </c>
      <c r="M691">
        <v>20</v>
      </c>
      <c r="N691">
        <v>1</v>
      </c>
      <c r="O691" s="3">
        <f t="shared" si="84"/>
        <v>0.45</v>
      </c>
      <c r="P691" s="3">
        <f t="shared" si="85"/>
        <v>0.42857142857142855</v>
      </c>
      <c r="Q691" s="3">
        <f t="shared" si="86"/>
        <v>0.95238095238095233</v>
      </c>
      <c r="R691" s="3">
        <f t="shared" si="87"/>
        <v>4.7619047619047616E-2</v>
      </c>
      <c r="S691">
        <v>-65</v>
      </c>
      <c r="T691" s="4">
        <v>0.09</v>
      </c>
      <c r="U691">
        <v>121</v>
      </c>
      <c r="V691">
        <v>139</v>
      </c>
    </row>
    <row r="692" spans="1:22">
      <c r="A692">
        <v>688</v>
      </c>
      <c r="B692" s="2">
        <v>46164</v>
      </c>
      <c r="C692" t="s">
        <v>29</v>
      </c>
      <c r="D692" t="s">
        <v>42</v>
      </c>
      <c r="E692" t="s">
        <v>25</v>
      </c>
      <c r="F692">
        <v>13</v>
      </c>
      <c r="G692">
        <v>6</v>
      </c>
      <c r="H692" t="str">
        <f t="shared" si="80"/>
        <v>Win</v>
      </c>
      <c r="I692">
        <f t="shared" si="81"/>
        <v>1</v>
      </c>
      <c r="J692">
        <f t="shared" si="82"/>
        <v>7</v>
      </c>
      <c r="K692">
        <f t="shared" si="83"/>
        <v>19</v>
      </c>
      <c r="L692">
        <v>16</v>
      </c>
      <c r="M692">
        <v>12</v>
      </c>
      <c r="N692">
        <v>2</v>
      </c>
      <c r="O692" s="3">
        <f t="shared" si="84"/>
        <v>1.3333333333333333</v>
      </c>
      <c r="P692" s="3">
        <f t="shared" si="85"/>
        <v>0.84210526315789469</v>
      </c>
      <c r="Q692" s="3">
        <f t="shared" si="86"/>
        <v>0.63157894736842102</v>
      </c>
      <c r="R692" s="3">
        <f t="shared" si="87"/>
        <v>0.10526315789473684</v>
      </c>
      <c r="S692">
        <v>23</v>
      </c>
      <c r="T692" s="4">
        <v>0.06</v>
      </c>
      <c r="U692">
        <v>238</v>
      </c>
      <c r="V692">
        <v>722</v>
      </c>
    </row>
    <row r="693" spans="1:22">
      <c r="A693">
        <v>689</v>
      </c>
      <c r="B693" s="2">
        <v>46164</v>
      </c>
      <c r="C693" t="s">
        <v>59</v>
      </c>
      <c r="D693" t="s">
        <v>46</v>
      </c>
      <c r="E693" t="s">
        <v>25</v>
      </c>
      <c r="F693">
        <v>13</v>
      </c>
      <c r="G693">
        <v>5</v>
      </c>
      <c r="H693" t="str">
        <f t="shared" si="80"/>
        <v>Win</v>
      </c>
      <c r="I693">
        <f t="shared" si="81"/>
        <v>1</v>
      </c>
      <c r="J693">
        <f t="shared" si="82"/>
        <v>8</v>
      </c>
      <c r="K693">
        <f t="shared" si="83"/>
        <v>18</v>
      </c>
      <c r="L693">
        <v>16</v>
      </c>
      <c r="M693">
        <v>9</v>
      </c>
      <c r="N693">
        <v>3</v>
      </c>
      <c r="O693" s="3">
        <f t="shared" si="84"/>
        <v>1.7777777777777777</v>
      </c>
      <c r="P693" s="3">
        <f t="shared" si="85"/>
        <v>0.88888888888888884</v>
      </c>
      <c r="Q693" s="3">
        <f t="shared" si="86"/>
        <v>0.5</v>
      </c>
      <c r="R693" s="3">
        <f t="shared" si="87"/>
        <v>0.16666666666666666</v>
      </c>
      <c r="S693">
        <v>46</v>
      </c>
      <c r="T693" s="4">
        <v>0.12</v>
      </c>
      <c r="U693">
        <v>237</v>
      </c>
      <c r="V693">
        <v>738</v>
      </c>
    </row>
    <row r="694" spans="1:22">
      <c r="A694">
        <v>690</v>
      </c>
      <c r="B694" s="2">
        <v>46164</v>
      </c>
      <c r="C694" t="s">
        <v>40</v>
      </c>
      <c r="D694" t="s">
        <v>37</v>
      </c>
      <c r="E694" t="s">
        <v>25</v>
      </c>
      <c r="F694">
        <v>13</v>
      </c>
      <c r="G694">
        <v>9</v>
      </c>
      <c r="H694" t="str">
        <f t="shared" si="80"/>
        <v>Win</v>
      </c>
      <c r="I694">
        <f t="shared" si="81"/>
        <v>1</v>
      </c>
      <c r="J694">
        <f t="shared" si="82"/>
        <v>4</v>
      </c>
      <c r="K694">
        <f t="shared" si="83"/>
        <v>22</v>
      </c>
      <c r="L694">
        <v>17</v>
      </c>
      <c r="M694">
        <v>16</v>
      </c>
      <c r="N694">
        <v>9</v>
      </c>
      <c r="O694" s="3">
        <f t="shared" si="84"/>
        <v>1.0625</v>
      </c>
      <c r="P694" s="3">
        <f t="shared" si="85"/>
        <v>0.77272727272727271</v>
      </c>
      <c r="Q694" s="3">
        <f t="shared" si="86"/>
        <v>0.72727272727272729</v>
      </c>
      <c r="R694" s="3">
        <f t="shared" si="87"/>
        <v>0.40909090909090912</v>
      </c>
      <c r="S694">
        <v>61</v>
      </c>
      <c r="T694" s="4">
        <v>7.0000000000000007E-2</v>
      </c>
      <c r="U694">
        <v>249</v>
      </c>
      <c r="V694">
        <v>860</v>
      </c>
    </row>
    <row r="695" spans="1:22">
      <c r="A695">
        <v>691</v>
      </c>
      <c r="B695" s="2">
        <v>46164</v>
      </c>
      <c r="C695" t="s">
        <v>23</v>
      </c>
      <c r="D695" t="s">
        <v>30</v>
      </c>
      <c r="E695" t="s">
        <v>25</v>
      </c>
      <c r="F695">
        <v>6</v>
      </c>
      <c r="G695">
        <v>13</v>
      </c>
      <c r="H695" t="str">
        <f t="shared" si="80"/>
        <v>Loss</v>
      </c>
      <c r="I695">
        <f t="shared" si="81"/>
        <v>0</v>
      </c>
      <c r="J695">
        <f t="shared" si="82"/>
        <v>-7</v>
      </c>
      <c r="K695">
        <f t="shared" si="83"/>
        <v>19</v>
      </c>
      <c r="L695">
        <v>9</v>
      </c>
      <c r="M695">
        <v>17</v>
      </c>
      <c r="N695">
        <v>5</v>
      </c>
      <c r="O695" s="3">
        <f t="shared" si="84"/>
        <v>0.52941176470588236</v>
      </c>
      <c r="P695" s="3">
        <f t="shared" si="85"/>
        <v>0.47368421052631576</v>
      </c>
      <c r="Q695" s="3">
        <f t="shared" si="86"/>
        <v>0.89473684210526316</v>
      </c>
      <c r="R695" s="3">
        <f t="shared" si="87"/>
        <v>0.26315789473684209</v>
      </c>
      <c r="S695">
        <v>-43</v>
      </c>
      <c r="T695" s="4">
        <v>0.14000000000000001</v>
      </c>
      <c r="U695">
        <v>153</v>
      </c>
      <c r="V695">
        <v>172</v>
      </c>
    </row>
    <row r="696" spans="1:22">
      <c r="A696">
        <v>692</v>
      </c>
      <c r="B696" s="2">
        <v>46164</v>
      </c>
      <c r="C696" t="s">
        <v>34</v>
      </c>
      <c r="D696" t="s">
        <v>24</v>
      </c>
      <c r="E696" t="s">
        <v>25</v>
      </c>
      <c r="F696">
        <v>3</v>
      </c>
      <c r="G696">
        <v>13</v>
      </c>
      <c r="H696" t="str">
        <f t="shared" si="80"/>
        <v>Loss</v>
      </c>
      <c r="I696">
        <f t="shared" si="81"/>
        <v>0</v>
      </c>
      <c r="J696">
        <f t="shared" si="82"/>
        <v>-10</v>
      </c>
      <c r="K696">
        <f t="shared" si="83"/>
        <v>16</v>
      </c>
      <c r="L696">
        <v>13</v>
      </c>
      <c r="M696">
        <v>16</v>
      </c>
      <c r="N696">
        <v>3</v>
      </c>
      <c r="O696" s="3">
        <f t="shared" si="84"/>
        <v>0.8125</v>
      </c>
      <c r="P696" s="3">
        <f t="shared" si="85"/>
        <v>0.8125</v>
      </c>
      <c r="Q696" s="3">
        <f t="shared" si="86"/>
        <v>1</v>
      </c>
      <c r="R696" s="3">
        <f t="shared" si="87"/>
        <v>0.1875</v>
      </c>
      <c r="S696">
        <v>-21</v>
      </c>
      <c r="T696" s="4">
        <v>0.2</v>
      </c>
      <c r="U696">
        <v>224</v>
      </c>
      <c r="V696">
        <v>429</v>
      </c>
    </row>
    <row r="697" spans="1:22">
      <c r="A697">
        <v>693</v>
      </c>
      <c r="B697" s="2">
        <v>46164</v>
      </c>
      <c r="C697" t="s">
        <v>34</v>
      </c>
      <c r="D697" t="s">
        <v>32</v>
      </c>
      <c r="E697" t="s">
        <v>25</v>
      </c>
      <c r="F697">
        <v>5</v>
      </c>
      <c r="G697">
        <v>13</v>
      </c>
      <c r="H697" t="str">
        <f t="shared" si="80"/>
        <v>Loss</v>
      </c>
      <c r="I697">
        <f t="shared" si="81"/>
        <v>0</v>
      </c>
      <c r="J697">
        <f t="shared" si="82"/>
        <v>-8</v>
      </c>
      <c r="K697">
        <f t="shared" si="83"/>
        <v>18</v>
      </c>
      <c r="L697">
        <v>8</v>
      </c>
      <c r="M697">
        <v>15</v>
      </c>
      <c r="N697">
        <v>1</v>
      </c>
      <c r="O697" s="3">
        <f t="shared" si="84"/>
        <v>0.53333333333333333</v>
      </c>
      <c r="P697" s="3">
        <f t="shared" si="85"/>
        <v>0.44444444444444442</v>
      </c>
      <c r="Q697" s="3">
        <f t="shared" si="86"/>
        <v>0.83333333333333337</v>
      </c>
      <c r="R697" s="3">
        <f t="shared" si="87"/>
        <v>5.5555555555555552E-2</v>
      </c>
      <c r="S697">
        <v>-48</v>
      </c>
      <c r="T697" s="4">
        <v>0.19</v>
      </c>
      <c r="U697">
        <v>122</v>
      </c>
      <c r="V697">
        <v>140</v>
      </c>
    </row>
    <row r="698" spans="1:22">
      <c r="A698">
        <v>694</v>
      </c>
      <c r="B698" s="2">
        <v>46164</v>
      </c>
      <c r="C698" t="s">
        <v>23</v>
      </c>
      <c r="D698" t="s">
        <v>37</v>
      </c>
      <c r="E698" t="s">
        <v>25</v>
      </c>
      <c r="F698">
        <v>3</v>
      </c>
      <c r="G698">
        <v>13</v>
      </c>
      <c r="H698" t="str">
        <f t="shared" si="80"/>
        <v>Loss</v>
      </c>
      <c r="I698">
        <f t="shared" si="81"/>
        <v>0</v>
      </c>
      <c r="J698">
        <f t="shared" si="82"/>
        <v>-10</v>
      </c>
      <c r="K698">
        <f t="shared" si="83"/>
        <v>16</v>
      </c>
      <c r="L698">
        <v>10</v>
      </c>
      <c r="M698">
        <v>15</v>
      </c>
      <c r="N698">
        <v>1</v>
      </c>
      <c r="O698" s="3">
        <f t="shared" si="84"/>
        <v>0.66666666666666663</v>
      </c>
      <c r="P698" s="3">
        <f t="shared" si="85"/>
        <v>0.625</v>
      </c>
      <c r="Q698" s="3">
        <f t="shared" si="86"/>
        <v>0.9375</v>
      </c>
      <c r="R698" s="3">
        <f t="shared" si="87"/>
        <v>6.25E-2</v>
      </c>
      <c r="S698">
        <v>33</v>
      </c>
      <c r="T698" s="4">
        <v>0.18</v>
      </c>
      <c r="U698">
        <v>217</v>
      </c>
      <c r="V698">
        <v>453</v>
      </c>
    </row>
    <row r="699" spans="1:22">
      <c r="A699">
        <v>695</v>
      </c>
      <c r="B699" s="2">
        <v>46164</v>
      </c>
      <c r="C699" t="s">
        <v>29</v>
      </c>
      <c r="D699" t="s">
        <v>46</v>
      </c>
      <c r="E699" t="s">
        <v>25</v>
      </c>
      <c r="F699">
        <v>13</v>
      </c>
      <c r="G699">
        <v>7</v>
      </c>
      <c r="H699" t="str">
        <f t="shared" si="80"/>
        <v>Win</v>
      </c>
      <c r="I699">
        <f t="shared" si="81"/>
        <v>1</v>
      </c>
      <c r="J699">
        <f t="shared" si="82"/>
        <v>6</v>
      </c>
      <c r="K699">
        <f t="shared" si="83"/>
        <v>20</v>
      </c>
      <c r="L699">
        <v>18</v>
      </c>
      <c r="M699">
        <v>16</v>
      </c>
      <c r="N699">
        <v>10</v>
      </c>
      <c r="O699" s="3">
        <f t="shared" si="84"/>
        <v>1.125</v>
      </c>
      <c r="P699" s="3">
        <f t="shared" si="85"/>
        <v>0.9</v>
      </c>
      <c r="Q699" s="3">
        <f t="shared" si="86"/>
        <v>0.8</v>
      </c>
      <c r="R699" s="3">
        <f t="shared" si="87"/>
        <v>0.5</v>
      </c>
      <c r="S699">
        <v>45</v>
      </c>
      <c r="T699" s="4">
        <v>0.1</v>
      </c>
      <c r="U699">
        <v>272</v>
      </c>
      <c r="V699">
        <v>913</v>
      </c>
    </row>
    <row r="700" spans="1:22">
      <c r="A700">
        <v>696</v>
      </c>
      <c r="B700" s="2">
        <v>46164</v>
      </c>
      <c r="C700" t="s">
        <v>60</v>
      </c>
      <c r="D700" t="s">
        <v>36</v>
      </c>
      <c r="E700" t="s">
        <v>25</v>
      </c>
      <c r="F700">
        <v>13</v>
      </c>
      <c r="G700">
        <v>6</v>
      </c>
      <c r="H700" t="str">
        <f t="shared" si="80"/>
        <v>Win</v>
      </c>
      <c r="I700">
        <f t="shared" si="81"/>
        <v>1</v>
      </c>
      <c r="J700">
        <f t="shared" si="82"/>
        <v>7</v>
      </c>
      <c r="K700">
        <f t="shared" si="83"/>
        <v>19</v>
      </c>
      <c r="L700">
        <v>12</v>
      </c>
      <c r="M700">
        <v>14</v>
      </c>
      <c r="N700">
        <v>5</v>
      </c>
      <c r="O700" s="3">
        <f t="shared" si="84"/>
        <v>0.8571428571428571</v>
      </c>
      <c r="P700" s="3">
        <f t="shared" si="85"/>
        <v>0.63157894736842102</v>
      </c>
      <c r="Q700" s="3">
        <f t="shared" si="86"/>
        <v>0.73684210526315785</v>
      </c>
      <c r="R700" s="3">
        <f t="shared" si="87"/>
        <v>0.26315789473684209</v>
      </c>
      <c r="S700">
        <v>-23</v>
      </c>
      <c r="T700" s="4">
        <v>0.04</v>
      </c>
      <c r="U700">
        <v>163</v>
      </c>
      <c r="V700">
        <v>409</v>
      </c>
    </row>
    <row r="701" spans="1:22">
      <c r="A701">
        <v>697</v>
      </c>
      <c r="B701" s="2">
        <v>46164</v>
      </c>
      <c r="C701" t="s">
        <v>23</v>
      </c>
      <c r="D701" t="s">
        <v>31</v>
      </c>
      <c r="E701" t="s">
        <v>50</v>
      </c>
      <c r="F701">
        <v>9</v>
      </c>
      <c r="G701">
        <v>13</v>
      </c>
      <c r="H701" t="str">
        <f t="shared" si="80"/>
        <v>Loss</v>
      </c>
      <c r="I701">
        <f t="shared" si="81"/>
        <v>0</v>
      </c>
      <c r="J701">
        <f t="shared" si="82"/>
        <v>-4</v>
      </c>
      <c r="K701">
        <f t="shared" si="83"/>
        <v>22</v>
      </c>
      <c r="L701">
        <v>10</v>
      </c>
      <c r="M701">
        <v>15</v>
      </c>
      <c r="N701">
        <v>2</v>
      </c>
      <c r="O701" s="3">
        <f t="shared" si="84"/>
        <v>0.66666666666666663</v>
      </c>
      <c r="P701" s="3">
        <f t="shared" si="85"/>
        <v>0.45454545454545453</v>
      </c>
      <c r="Q701" s="3">
        <f t="shared" si="86"/>
        <v>0.68181818181818177</v>
      </c>
      <c r="R701" s="3">
        <f t="shared" si="87"/>
        <v>9.0909090909090912E-2</v>
      </c>
      <c r="S701">
        <v>-36</v>
      </c>
      <c r="T701" s="4">
        <v>0.13</v>
      </c>
      <c r="U701">
        <v>126</v>
      </c>
      <c r="V701">
        <v>202</v>
      </c>
    </row>
    <row r="702" spans="1:22">
      <c r="A702">
        <v>698</v>
      </c>
      <c r="B702" s="2">
        <v>46164</v>
      </c>
      <c r="C702" t="s">
        <v>40</v>
      </c>
      <c r="D702" t="s">
        <v>37</v>
      </c>
      <c r="E702" t="s">
        <v>25</v>
      </c>
      <c r="F702">
        <v>0</v>
      </c>
      <c r="G702">
        <v>4</v>
      </c>
      <c r="H702" t="str">
        <f t="shared" si="80"/>
        <v>Loss</v>
      </c>
      <c r="I702">
        <f t="shared" si="81"/>
        <v>0</v>
      </c>
      <c r="J702">
        <f t="shared" si="82"/>
        <v>-4</v>
      </c>
      <c r="K702">
        <f t="shared" si="83"/>
        <v>4</v>
      </c>
      <c r="L702">
        <v>4</v>
      </c>
      <c r="M702">
        <v>3</v>
      </c>
      <c r="N702">
        <v>0</v>
      </c>
      <c r="O702" s="3">
        <f t="shared" si="84"/>
        <v>1.3333333333333333</v>
      </c>
      <c r="P702" s="3">
        <f t="shared" si="85"/>
        <v>1</v>
      </c>
      <c r="Q702" s="3">
        <f t="shared" si="86"/>
        <v>0.75</v>
      </c>
      <c r="R702" s="3">
        <f t="shared" si="87"/>
        <v>0</v>
      </c>
      <c r="S702">
        <v>81</v>
      </c>
      <c r="T702" s="4">
        <v>0.1</v>
      </c>
      <c r="U702">
        <v>267</v>
      </c>
      <c r="V702">
        <v>677</v>
      </c>
    </row>
    <row r="703" spans="1:22">
      <c r="A703">
        <v>699</v>
      </c>
      <c r="B703" s="2">
        <v>46164</v>
      </c>
      <c r="C703" t="s">
        <v>60</v>
      </c>
      <c r="D703" t="s">
        <v>32</v>
      </c>
      <c r="E703" t="s">
        <v>25</v>
      </c>
      <c r="F703">
        <v>14</v>
      </c>
      <c r="G703">
        <v>14</v>
      </c>
      <c r="H703" t="str">
        <f t="shared" si="80"/>
        <v>Draw</v>
      </c>
      <c r="I703">
        <f t="shared" si="81"/>
        <v>0</v>
      </c>
      <c r="J703">
        <f t="shared" si="82"/>
        <v>0</v>
      </c>
      <c r="K703">
        <f t="shared" si="83"/>
        <v>28</v>
      </c>
      <c r="L703">
        <v>7</v>
      </c>
      <c r="M703">
        <v>24</v>
      </c>
      <c r="N703">
        <v>9</v>
      </c>
      <c r="O703" s="3">
        <f t="shared" si="84"/>
        <v>0.29166666666666669</v>
      </c>
      <c r="P703" s="3">
        <f t="shared" si="85"/>
        <v>0.25</v>
      </c>
      <c r="Q703" s="3">
        <f t="shared" si="86"/>
        <v>0.8571428571428571</v>
      </c>
      <c r="R703" s="3">
        <f t="shared" si="87"/>
        <v>0.32142857142857145</v>
      </c>
      <c r="S703">
        <v>-87</v>
      </c>
      <c r="T703" s="4">
        <v>0.05</v>
      </c>
      <c r="U703">
        <v>91</v>
      </c>
      <c r="V703">
        <v>201</v>
      </c>
    </row>
    <row r="704" spans="1:22">
      <c r="A704">
        <v>700</v>
      </c>
      <c r="B704" s="2">
        <v>46163</v>
      </c>
      <c r="C704" t="s">
        <v>29</v>
      </c>
      <c r="D704" t="s">
        <v>24</v>
      </c>
      <c r="E704" t="s">
        <v>25</v>
      </c>
      <c r="F704">
        <v>13</v>
      </c>
      <c r="G704">
        <v>11</v>
      </c>
      <c r="H704" t="str">
        <f t="shared" si="80"/>
        <v>Win</v>
      </c>
      <c r="I704">
        <f t="shared" si="81"/>
        <v>1</v>
      </c>
      <c r="J704">
        <f t="shared" si="82"/>
        <v>2</v>
      </c>
      <c r="K704">
        <f t="shared" si="83"/>
        <v>24</v>
      </c>
      <c r="L704">
        <v>13</v>
      </c>
      <c r="M704">
        <v>17</v>
      </c>
      <c r="N704">
        <v>3</v>
      </c>
      <c r="O704" s="3">
        <f t="shared" si="84"/>
        <v>0.76470588235294112</v>
      </c>
      <c r="P704" s="3">
        <f t="shared" si="85"/>
        <v>0.54166666666666663</v>
      </c>
      <c r="Q704" s="3">
        <f t="shared" si="86"/>
        <v>0.70833333333333337</v>
      </c>
      <c r="R704" s="3">
        <f t="shared" si="87"/>
        <v>0.125</v>
      </c>
      <c r="S704">
        <v>-34</v>
      </c>
      <c r="T704" s="4">
        <v>0.05</v>
      </c>
      <c r="U704">
        <v>149</v>
      </c>
      <c r="V704">
        <v>359</v>
      </c>
    </row>
    <row r="705" spans="1:22">
      <c r="A705">
        <v>701</v>
      </c>
      <c r="B705" s="2">
        <v>46163</v>
      </c>
      <c r="C705" t="s">
        <v>59</v>
      </c>
      <c r="D705" t="s">
        <v>37</v>
      </c>
      <c r="E705" t="s">
        <v>25</v>
      </c>
      <c r="F705">
        <v>11</v>
      </c>
      <c r="G705">
        <v>13</v>
      </c>
      <c r="H705" t="str">
        <f t="shared" si="80"/>
        <v>Loss</v>
      </c>
      <c r="I705">
        <f t="shared" si="81"/>
        <v>0</v>
      </c>
      <c r="J705">
        <f t="shared" si="82"/>
        <v>-2</v>
      </c>
      <c r="K705">
        <f t="shared" si="83"/>
        <v>24</v>
      </c>
      <c r="L705">
        <v>18</v>
      </c>
      <c r="M705">
        <v>20</v>
      </c>
      <c r="N705">
        <v>5</v>
      </c>
      <c r="O705" s="3">
        <f t="shared" si="84"/>
        <v>0.9</v>
      </c>
      <c r="P705" s="3">
        <f t="shared" si="85"/>
        <v>0.75</v>
      </c>
      <c r="Q705" s="3">
        <f t="shared" si="86"/>
        <v>0.83333333333333337</v>
      </c>
      <c r="R705" s="3">
        <f t="shared" si="87"/>
        <v>0.20833333333333334</v>
      </c>
      <c r="S705">
        <v>33</v>
      </c>
      <c r="T705" s="4">
        <v>0.08</v>
      </c>
      <c r="U705">
        <v>228</v>
      </c>
      <c r="V705">
        <v>630</v>
      </c>
    </row>
    <row r="706" spans="1:22">
      <c r="A706">
        <v>702</v>
      </c>
      <c r="B706" s="2">
        <v>46163</v>
      </c>
      <c r="C706" t="s">
        <v>23</v>
      </c>
      <c r="D706" t="s">
        <v>27</v>
      </c>
      <c r="E706" t="s">
        <v>25</v>
      </c>
      <c r="F706">
        <v>13</v>
      </c>
      <c r="G706">
        <v>8</v>
      </c>
      <c r="H706" t="str">
        <f t="shared" si="80"/>
        <v>Win</v>
      </c>
      <c r="I706">
        <f t="shared" si="81"/>
        <v>1</v>
      </c>
      <c r="J706">
        <f t="shared" si="82"/>
        <v>5</v>
      </c>
      <c r="K706">
        <f t="shared" si="83"/>
        <v>21</v>
      </c>
      <c r="L706">
        <v>18</v>
      </c>
      <c r="M706">
        <v>11</v>
      </c>
      <c r="N706">
        <v>6</v>
      </c>
      <c r="O706" s="3">
        <f t="shared" si="84"/>
        <v>1.6363636363636365</v>
      </c>
      <c r="P706" s="3">
        <f t="shared" si="85"/>
        <v>0.8571428571428571</v>
      </c>
      <c r="Q706" s="3">
        <f t="shared" si="86"/>
        <v>0.52380952380952384</v>
      </c>
      <c r="R706" s="3">
        <f t="shared" si="87"/>
        <v>0.2857142857142857</v>
      </c>
      <c r="S706">
        <v>51</v>
      </c>
      <c r="T706" s="4">
        <v>0.13</v>
      </c>
      <c r="U706">
        <v>257</v>
      </c>
      <c r="V706">
        <v>811</v>
      </c>
    </row>
    <row r="707" spans="1:22">
      <c r="A707">
        <v>703</v>
      </c>
      <c r="B707" s="2">
        <v>46163</v>
      </c>
      <c r="C707" t="s">
        <v>54</v>
      </c>
      <c r="D707" t="s">
        <v>46</v>
      </c>
      <c r="E707" t="s">
        <v>25</v>
      </c>
      <c r="F707">
        <v>6</v>
      </c>
      <c r="G707">
        <v>13</v>
      </c>
      <c r="H707" t="str">
        <f t="shared" si="80"/>
        <v>Loss</v>
      </c>
      <c r="I707">
        <f t="shared" si="81"/>
        <v>0</v>
      </c>
      <c r="J707">
        <f t="shared" si="82"/>
        <v>-7</v>
      </c>
      <c r="K707">
        <f t="shared" si="83"/>
        <v>19</v>
      </c>
      <c r="L707">
        <v>15</v>
      </c>
      <c r="M707">
        <v>13</v>
      </c>
      <c r="N707">
        <v>6</v>
      </c>
      <c r="O707" s="3">
        <f t="shared" si="84"/>
        <v>1.1538461538461537</v>
      </c>
      <c r="P707" s="3">
        <f t="shared" si="85"/>
        <v>0.78947368421052633</v>
      </c>
      <c r="Q707" s="3">
        <f t="shared" si="86"/>
        <v>0.68421052631578949</v>
      </c>
      <c r="R707" s="3">
        <f t="shared" si="87"/>
        <v>0.31578947368421051</v>
      </c>
      <c r="S707">
        <v>34</v>
      </c>
      <c r="T707" s="4">
        <v>0.04</v>
      </c>
      <c r="U707">
        <v>250</v>
      </c>
      <c r="V707">
        <v>578</v>
      </c>
    </row>
    <row r="708" spans="1:22">
      <c r="A708">
        <v>704</v>
      </c>
      <c r="B708" s="2">
        <v>46163</v>
      </c>
      <c r="C708" t="s">
        <v>59</v>
      </c>
      <c r="D708" t="s">
        <v>37</v>
      </c>
      <c r="E708" t="s">
        <v>28</v>
      </c>
      <c r="F708">
        <v>5</v>
      </c>
      <c r="G708">
        <v>13</v>
      </c>
      <c r="H708" t="str">
        <f t="shared" si="80"/>
        <v>Loss</v>
      </c>
      <c r="I708">
        <f t="shared" si="81"/>
        <v>0</v>
      </c>
      <c r="J708">
        <f t="shared" si="82"/>
        <v>-8</v>
      </c>
      <c r="K708">
        <f t="shared" si="83"/>
        <v>18</v>
      </c>
      <c r="L708">
        <v>13</v>
      </c>
      <c r="M708">
        <v>14</v>
      </c>
      <c r="N708">
        <v>4</v>
      </c>
      <c r="O708" s="3">
        <f t="shared" si="84"/>
        <v>0.9285714285714286</v>
      </c>
      <c r="P708" s="3">
        <f t="shared" si="85"/>
        <v>0.72222222222222221</v>
      </c>
      <c r="Q708" s="3">
        <f t="shared" si="86"/>
        <v>0.77777777777777779</v>
      </c>
      <c r="R708" s="3">
        <f t="shared" si="87"/>
        <v>0.22222222222222221</v>
      </c>
      <c r="S708">
        <v>22</v>
      </c>
      <c r="T708" s="4">
        <v>0.09</v>
      </c>
      <c r="U708">
        <v>251</v>
      </c>
      <c r="V708">
        <v>535</v>
      </c>
    </row>
    <row r="709" spans="1:22">
      <c r="A709">
        <v>705</v>
      </c>
      <c r="B709" s="2">
        <v>46163</v>
      </c>
      <c r="C709" t="s">
        <v>23</v>
      </c>
      <c r="D709" t="s">
        <v>31</v>
      </c>
      <c r="E709" t="s">
        <v>50</v>
      </c>
      <c r="F709">
        <v>7</v>
      </c>
      <c r="G709">
        <v>13</v>
      </c>
      <c r="H709" t="str">
        <f t="shared" ref="H709:H719" si="88">IF(F709&gt;G709,"Win",IF(F709&lt;G709,"Loss","Draw"))</f>
        <v>Loss</v>
      </c>
      <c r="I709">
        <f t="shared" ref="I709:I719" si="89">IF(H709="Win",1,0)</f>
        <v>0</v>
      </c>
      <c r="J709">
        <f t="shared" ref="J709:J719" si="90">F709-G709</f>
        <v>-6</v>
      </c>
      <c r="K709">
        <f t="shared" ref="K709:K719" si="91">F709+G709</f>
        <v>20</v>
      </c>
      <c r="L709">
        <v>11</v>
      </c>
      <c r="M709">
        <v>16</v>
      </c>
      <c r="N709">
        <v>2</v>
      </c>
      <c r="O709" s="3">
        <f t="shared" ref="O709:O719" si="92">IFERROR(L709/M709,0)</f>
        <v>0.6875</v>
      </c>
      <c r="P709" s="3">
        <f t="shared" ref="P709:P719" si="93">IFERROR(L709/K709,0)</f>
        <v>0.55000000000000004</v>
      </c>
      <c r="Q709" s="3">
        <f t="shared" ref="Q709:Q719" si="94">IFERROR(M709/K709,0)</f>
        <v>0.8</v>
      </c>
      <c r="R709" s="3">
        <f t="shared" ref="R709:R719" si="95">IFERROR(N709/K709,0)</f>
        <v>0.1</v>
      </c>
      <c r="S709">
        <v>-24</v>
      </c>
      <c r="T709" s="4">
        <v>0.05</v>
      </c>
      <c r="U709">
        <v>145</v>
      </c>
      <c r="V709">
        <v>328</v>
      </c>
    </row>
    <row r="710" spans="1:22">
      <c r="A710">
        <v>706</v>
      </c>
      <c r="B710" s="2">
        <v>46163</v>
      </c>
      <c r="C710" t="s">
        <v>34</v>
      </c>
      <c r="D710" t="s">
        <v>37</v>
      </c>
      <c r="E710" t="s">
        <v>25</v>
      </c>
      <c r="F710">
        <v>8</v>
      </c>
      <c r="G710">
        <v>13</v>
      </c>
      <c r="H710" t="str">
        <f t="shared" si="88"/>
        <v>Loss</v>
      </c>
      <c r="I710">
        <f t="shared" si="89"/>
        <v>0</v>
      </c>
      <c r="J710">
        <f t="shared" si="90"/>
        <v>-5</v>
      </c>
      <c r="K710">
        <f t="shared" si="91"/>
        <v>21</v>
      </c>
      <c r="L710">
        <v>13</v>
      </c>
      <c r="M710">
        <v>17</v>
      </c>
      <c r="N710">
        <v>6</v>
      </c>
      <c r="O710" s="3">
        <f t="shared" si="92"/>
        <v>0.76470588235294112</v>
      </c>
      <c r="P710" s="3">
        <f t="shared" si="93"/>
        <v>0.61904761904761907</v>
      </c>
      <c r="Q710" s="3">
        <f t="shared" si="94"/>
        <v>0.80952380952380953</v>
      </c>
      <c r="R710" s="3">
        <f t="shared" si="95"/>
        <v>0.2857142857142857</v>
      </c>
      <c r="S710">
        <v>0</v>
      </c>
      <c r="T710" s="4">
        <v>0.08</v>
      </c>
      <c r="U710">
        <v>208</v>
      </c>
      <c r="V710">
        <v>392</v>
      </c>
    </row>
    <row r="711" spans="1:22">
      <c r="A711">
        <v>707</v>
      </c>
      <c r="B711" s="2">
        <v>46163</v>
      </c>
      <c r="C711" t="s">
        <v>29</v>
      </c>
      <c r="D711" t="s">
        <v>46</v>
      </c>
      <c r="E711" t="s">
        <v>25</v>
      </c>
      <c r="F711">
        <v>10</v>
      </c>
      <c r="G711">
        <v>13</v>
      </c>
      <c r="H711" t="str">
        <f t="shared" si="88"/>
        <v>Loss</v>
      </c>
      <c r="I711">
        <f t="shared" si="89"/>
        <v>0</v>
      </c>
      <c r="J711">
        <f t="shared" si="90"/>
        <v>-3</v>
      </c>
      <c r="K711">
        <f t="shared" si="91"/>
        <v>23</v>
      </c>
      <c r="L711">
        <v>23</v>
      </c>
      <c r="M711">
        <v>17</v>
      </c>
      <c r="N711">
        <v>2</v>
      </c>
      <c r="O711" s="3">
        <f t="shared" si="92"/>
        <v>1.3529411764705883</v>
      </c>
      <c r="P711" s="3">
        <f t="shared" si="93"/>
        <v>1</v>
      </c>
      <c r="Q711" s="3">
        <f t="shared" si="94"/>
        <v>0.73913043478260865</v>
      </c>
      <c r="R711" s="3">
        <f t="shared" si="95"/>
        <v>8.6956521739130432E-2</v>
      </c>
      <c r="S711">
        <v>49</v>
      </c>
      <c r="T711" s="4">
        <v>7.0000000000000007E-2</v>
      </c>
      <c r="U711">
        <v>281</v>
      </c>
      <c r="V711">
        <v>649</v>
      </c>
    </row>
    <row r="712" spans="1:22">
      <c r="A712">
        <v>708</v>
      </c>
      <c r="B712" s="2">
        <v>46162</v>
      </c>
      <c r="C712" t="s">
        <v>40</v>
      </c>
      <c r="D712" t="s">
        <v>32</v>
      </c>
      <c r="E712" t="s">
        <v>25</v>
      </c>
      <c r="F712">
        <v>3</v>
      </c>
      <c r="G712">
        <v>13</v>
      </c>
      <c r="H712" t="str">
        <f t="shared" si="88"/>
        <v>Loss</v>
      </c>
      <c r="I712">
        <f t="shared" si="89"/>
        <v>0</v>
      </c>
      <c r="J712">
        <f t="shared" si="90"/>
        <v>-10</v>
      </c>
      <c r="K712">
        <f t="shared" si="91"/>
        <v>16</v>
      </c>
      <c r="L712">
        <v>5</v>
      </c>
      <c r="M712">
        <v>16</v>
      </c>
      <c r="N712">
        <v>1</v>
      </c>
      <c r="O712" s="3">
        <f t="shared" si="92"/>
        <v>0.3125</v>
      </c>
      <c r="P712" s="3">
        <f t="shared" si="93"/>
        <v>0.3125</v>
      </c>
      <c r="Q712" s="3">
        <f t="shared" si="94"/>
        <v>1</v>
      </c>
      <c r="R712" s="3">
        <f t="shared" si="95"/>
        <v>6.25E-2</v>
      </c>
      <c r="S712">
        <v>-73</v>
      </c>
      <c r="T712" s="4">
        <v>0.05</v>
      </c>
      <c r="U712">
        <v>110</v>
      </c>
      <c r="V712">
        <v>100</v>
      </c>
    </row>
    <row r="713" spans="1:22">
      <c r="A713">
        <v>709</v>
      </c>
      <c r="B713" s="2">
        <v>46162</v>
      </c>
      <c r="C713" t="s">
        <v>34</v>
      </c>
      <c r="D713" t="s">
        <v>24</v>
      </c>
      <c r="E713" t="s">
        <v>25</v>
      </c>
      <c r="F713">
        <v>13</v>
      </c>
      <c r="G713">
        <v>11</v>
      </c>
      <c r="H713" t="str">
        <f t="shared" si="88"/>
        <v>Win</v>
      </c>
      <c r="I713">
        <f t="shared" si="89"/>
        <v>1</v>
      </c>
      <c r="J713">
        <f t="shared" si="90"/>
        <v>2</v>
      </c>
      <c r="K713">
        <f t="shared" si="91"/>
        <v>24</v>
      </c>
      <c r="L713">
        <v>16</v>
      </c>
      <c r="M713">
        <v>18</v>
      </c>
      <c r="N713">
        <v>6</v>
      </c>
      <c r="O713" s="3">
        <f t="shared" si="92"/>
        <v>0.88888888888888884</v>
      </c>
      <c r="P713" s="3">
        <f t="shared" si="93"/>
        <v>0.66666666666666663</v>
      </c>
      <c r="Q713" s="3">
        <f t="shared" si="94"/>
        <v>0.75</v>
      </c>
      <c r="R713" s="3">
        <f t="shared" si="95"/>
        <v>0.25</v>
      </c>
      <c r="S713">
        <v>9</v>
      </c>
      <c r="T713" s="4">
        <v>0.09</v>
      </c>
      <c r="U713">
        <v>208</v>
      </c>
      <c r="V713">
        <v>507</v>
      </c>
    </row>
    <row r="714" spans="1:22">
      <c r="A714">
        <v>710</v>
      </c>
      <c r="B714" s="2">
        <v>46162</v>
      </c>
      <c r="C714" t="s">
        <v>59</v>
      </c>
      <c r="D714" t="s">
        <v>31</v>
      </c>
      <c r="E714" t="s">
        <v>25</v>
      </c>
      <c r="F714">
        <v>4</v>
      </c>
      <c r="G714">
        <v>13</v>
      </c>
      <c r="H714" t="str">
        <f t="shared" si="88"/>
        <v>Loss</v>
      </c>
      <c r="I714">
        <f t="shared" si="89"/>
        <v>0</v>
      </c>
      <c r="J714">
        <f t="shared" si="90"/>
        <v>-9</v>
      </c>
      <c r="K714">
        <f t="shared" si="91"/>
        <v>17</v>
      </c>
      <c r="L714">
        <v>5</v>
      </c>
      <c r="M714">
        <v>15</v>
      </c>
      <c r="N714">
        <v>1</v>
      </c>
      <c r="O714" s="3">
        <f t="shared" si="92"/>
        <v>0.33333333333333331</v>
      </c>
      <c r="P714" s="3">
        <f t="shared" si="93"/>
        <v>0.29411764705882354</v>
      </c>
      <c r="Q714" s="3">
        <f t="shared" si="94"/>
        <v>0.88235294117647056</v>
      </c>
      <c r="R714" s="3">
        <f t="shared" si="95"/>
        <v>5.8823529411764705E-2</v>
      </c>
      <c r="S714">
        <v>-75</v>
      </c>
      <c r="T714" s="4">
        <v>0.09</v>
      </c>
      <c r="U714">
        <v>100</v>
      </c>
      <c r="V714">
        <v>100</v>
      </c>
    </row>
    <row r="715" spans="1:22">
      <c r="A715">
        <v>711</v>
      </c>
      <c r="B715" s="2">
        <v>46162</v>
      </c>
      <c r="C715" t="s">
        <v>59</v>
      </c>
      <c r="D715" t="s">
        <v>27</v>
      </c>
      <c r="E715" t="s">
        <v>25</v>
      </c>
      <c r="F715">
        <v>4</v>
      </c>
      <c r="G715">
        <v>13</v>
      </c>
      <c r="H715" t="str">
        <f t="shared" si="88"/>
        <v>Loss</v>
      </c>
      <c r="I715">
        <f t="shared" si="89"/>
        <v>0</v>
      </c>
      <c r="J715">
        <f t="shared" si="90"/>
        <v>-9</v>
      </c>
      <c r="K715">
        <f t="shared" si="91"/>
        <v>17</v>
      </c>
      <c r="L715">
        <v>14</v>
      </c>
      <c r="M715">
        <v>15</v>
      </c>
      <c r="N715">
        <v>2</v>
      </c>
      <c r="O715" s="3">
        <f t="shared" si="92"/>
        <v>0.93333333333333335</v>
      </c>
      <c r="P715" s="3">
        <f t="shared" si="93"/>
        <v>0.82352941176470584</v>
      </c>
      <c r="Q715" s="3">
        <f t="shared" si="94"/>
        <v>0.88235294117647056</v>
      </c>
      <c r="R715" s="3">
        <f t="shared" si="95"/>
        <v>0.11764705882352941</v>
      </c>
      <c r="S715">
        <v>37</v>
      </c>
      <c r="T715" s="4">
        <v>0.12</v>
      </c>
      <c r="U715">
        <v>254</v>
      </c>
      <c r="V715">
        <v>543</v>
      </c>
    </row>
    <row r="716" spans="1:22">
      <c r="A716">
        <v>712</v>
      </c>
      <c r="B716" s="2">
        <v>46162</v>
      </c>
      <c r="C716" t="s">
        <v>23</v>
      </c>
      <c r="D716" t="s">
        <v>36</v>
      </c>
      <c r="E716" t="s">
        <v>39</v>
      </c>
      <c r="F716">
        <v>4</v>
      </c>
      <c r="G716">
        <v>13</v>
      </c>
      <c r="H716" t="str">
        <f t="shared" si="88"/>
        <v>Loss</v>
      </c>
      <c r="I716">
        <f t="shared" si="89"/>
        <v>0</v>
      </c>
      <c r="J716">
        <f t="shared" si="90"/>
        <v>-9</v>
      </c>
      <c r="K716">
        <f t="shared" si="91"/>
        <v>17</v>
      </c>
      <c r="L716">
        <v>12</v>
      </c>
      <c r="M716">
        <v>16</v>
      </c>
      <c r="N716">
        <v>5</v>
      </c>
      <c r="O716" s="3">
        <f t="shared" si="92"/>
        <v>0.75</v>
      </c>
      <c r="P716" s="3">
        <f t="shared" si="93"/>
        <v>0.70588235294117652</v>
      </c>
      <c r="Q716" s="3">
        <f t="shared" si="94"/>
        <v>0.94117647058823528</v>
      </c>
      <c r="R716" s="3">
        <f t="shared" si="95"/>
        <v>0.29411764705882354</v>
      </c>
      <c r="S716">
        <v>-27</v>
      </c>
      <c r="T716" s="4">
        <v>0.09</v>
      </c>
      <c r="U716">
        <v>210</v>
      </c>
      <c r="V716">
        <v>282</v>
      </c>
    </row>
    <row r="717" spans="1:22">
      <c r="A717">
        <v>713</v>
      </c>
      <c r="B717" s="2">
        <v>46162</v>
      </c>
      <c r="C717" t="s">
        <v>23</v>
      </c>
      <c r="D717" t="s">
        <v>37</v>
      </c>
      <c r="E717" t="s">
        <v>39</v>
      </c>
      <c r="F717">
        <v>4</v>
      </c>
      <c r="G717">
        <v>13</v>
      </c>
      <c r="H717" t="str">
        <f t="shared" si="88"/>
        <v>Loss</v>
      </c>
      <c r="I717">
        <f t="shared" si="89"/>
        <v>0</v>
      </c>
      <c r="J717">
        <f t="shared" si="90"/>
        <v>-9</v>
      </c>
      <c r="K717">
        <f t="shared" si="91"/>
        <v>17</v>
      </c>
      <c r="L717">
        <v>13</v>
      </c>
      <c r="M717">
        <v>14</v>
      </c>
      <c r="N717">
        <v>4</v>
      </c>
      <c r="O717" s="3">
        <f t="shared" si="92"/>
        <v>0.9285714285714286</v>
      </c>
      <c r="P717" s="3">
        <f t="shared" si="93"/>
        <v>0.76470588235294112</v>
      </c>
      <c r="Q717" s="3">
        <f t="shared" si="94"/>
        <v>0.82352941176470584</v>
      </c>
      <c r="R717" s="3">
        <f t="shared" si="95"/>
        <v>0.23529411764705882</v>
      </c>
      <c r="S717">
        <v>5</v>
      </c>
      <c r="T717" s="4">
        <v>0.1</v>
      </c>
      <c r="U717">
        <v>226</v>
      </c>
      <c r="V717">
        <v>504</v>
      </c>
    </row>
    <row r="718" spans="1:22">
      <c r="A718">
        <v>714</v>
      </c>
      <c r="B718" s="2">
        <v>46162</v>
      </c>
      <c r="C718" t="s">
        <v>29</v>
      </c>
      <c r="D718" t="s">
        <v>46</v>
      </c>
      <c r="E718" t="s">
        <v>25</v>
      </c>
      <c r="F718">
        <v>15</v>
      </c>
      <c r="G718">
        <v>13</v>
      </c>
      <c r="H718" t="str">
        <f t="shared" si="88"/>
        <v>Win</v>
      </c>
      <c r="I718">
        <f t="shared" si="89"/>
        <v>1</v>
      </c>
      <c r="J718">
        <f t="shared" si="90"/>
        <v>2</v>
      </c>
      <c r="K718">
        <f t="shared" si="91"/>
        <v>28</v>
      </c>
      <c r="L718">
        <v>28</v>
      </c>
      <c r="M718">
        <v>22</v>
      </c>
      <c r="N718">
        <v>10</v>
      </c>
      <c r="O718" s="3">
        <f t="shared" si="92"/>
        <v>1.2727272727272727</v>
      </c>
      <c r="P718" s="3">
        <f t="shared" si="93"/>
        <v>1</v>
      </c>
      <c r="Q718" s="3">
        <f t="shared" si="94"/>
        <v>0.7857142857142857</v>
      </c>
      <c r="R718" s="3">
        <f t="shared" si="95"/>
        <v>0.35714285714285715</v>
      </c>
      <c r="S718">
        <v>8</v>
      </c>
      <c r="T718" s="4">
        <v>0.04</v>
      </c>
      <c r="U718">
        <v>276</v>
      </c>
      <c r="V718">
        <v>780</v>
      </c>
    </row>
    <row r="719" spans="1:22">
      <c r="A719">
        <v>715</v>
      </c>
      <c r="B719" s="2">
        <v>46162</v>
      </c>
      <c r="C719" t="s">
        <v>59</v>
      </c>
      <c r="D719" t="s">
        <v>42</v>
      </c>
      <c r="E719" t="s">
        <v>25</v>
      </c>
      <c r="F719">
        <v>4</v>
      </c>
      <c r="G719">
        <v>13</v>
      </c>
      <c r="H719" t="str">
        <f t="shared" si="88"/>
        <v>Loss</v>
      </c>
      <c r="I719">
        <f t="shared" si="89"/>
        <v>0</v>
      </c>
      <c r="J719">
        <f t="shared" si="90"/>
        <v>-9</v>
      </c>
      <c r="K719">
        <f t="shared" si="91"/>
        <v>17</v>
      </c>
      <c r="L719">
        <v>14</v>
      </c>
      <c r="M719">
        <v>16</v>
      </c>
      <c r="N719">
        <v>5</v>
      </c>
      <c r="O719" s="3">
        <f t="shared" si="92"/>
        <v>0.875</v>
      </c>
      <c r="P719" s="3">
        <f t="shared" si="93"/>
        <v>0.82352941176470584</v>
      </c>
      <c r="Q719" s="3">
        <f t="shared" si="94"/>
        <v>0.94117647058823528</v>
      </c>
      <c r="R719" s="3">
        <f t="shared" si="95"/>
        <v>0.29411764705882354</v>
      </c>
      <c r="S719">
        <v>-8</v>
      </c>
      <c r="T719" s="4">
        <v>7.0000000000000007E-2</v>
      </c>
      <c r="U719">
        <v>244</v>
      </c>
      <c r="V719">
        <v>415</v>
      </c>
    </row>
  </sheetData>
  <mergeCells count="2">
    <mergeCell ref="A2:V2"/>
    <mergeCell ref="A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11" sqref="A11"/>
    </sheetView>
  </sheetViews>
  <sheetFormatPr defaultRowHeight="13.5"/>
  <cols>
    <col min="1" max="1" width="30" customWidth="1"/>
    <col min="2" max="2" width="24" customWidth="1"/>
  </cols>
  <sheetData>
    <row r="1" spans="1:2" ht="13.9">
      <c r="A1" s="1" t="s">
        <v>61</v>
      </c>
      <c r="B1" s="1" t="s">
        <v>62</v>
      </c>
    </row>
    <row r="2" spans="1:2">
      <c r="A2" t="s">
        <v>63</v>
      </c>
      <c r="B2">
        <v>715</v>
      </c>
    </row>
    <row r="3" spans="1:2">
      <c r="A3" t="s">
        <v>64</v>
      </c>
      <c r="B3">
        <f>COUNTIF(Matches!H5:H719,"Win")</f>
        <v>335</v>
      </c>
    </row>
    <row r="4" spans="1:2">
      <c r="A4" t="s">
        <v>65</v>
      </c>
      <c r="B4">
        <f>COUNTIF(Matches!H5:H719,"Loss")</f>
        <v>371</v>
      </c>
    </row>
    <row r="5" spans="1:2">
      <c r="A5" t="s">
        <v>66</v>
      </c>
      <c r="B5" s="5">
        <f>IFERROR(B3/B2,0)</f>
        <v>0.46853146853146854</v>
      </c>
    </row>
    <row r="6" spans="1:2">
      <c r="A6" t="s">
        <v>67</v>
      </c>
      <c r="B6">
        <f>SUM(Matches!L5:L719)</f>
        <v>9395</v>
      </c>
    </row>
    <row r="7" spans="1:2">
      <c r="A7" t="s">
        <v>68</v>
      </c>
      <c r="B7">
        <f>SUM(Matches!M5:M719)</f>
        <v>11046</v>
      </c>
    </row>
    <row r="8" spans="1:2">
      <c r="A8" t="s">
        <v>69</v>
      </c>
      <c r="B8">
        <f>AVERAGE(Matches!U5:U719)</f>
        <v>187.10629370629371</v>
      </c>
    </row>
    <row r="9" spans="1:2">
      <c r="A9" t="s">
        <v>70</v>
      </c>
      <c r="B9">
        <f>AVERAGE(Matches!V5:V719)</f>
        <v>470.99860139860141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16"/>
  <sheetViews>
    <sheetView workbookViewId="0"/>
  </sheetViews>
  <sheetFormatPr defaultRowHeight="13.5"/>
  <cols>
    <col min="1" max="5" width="22" customWidth="1"/>
  </cols>
  <sheetData>
    <row r="1" spans="1:5" ht="13.9">
      <c r="A1" s="1" t="s">
        <v>1</v>
      </c>
      <c r="B1" s="1" t="s">
        <v>71</v>
      </c>
      <c r="C1" s="1" t="s">
        <v>72</v>
      </c>
      <c r="D1" s="1" t="s">
        <v>73</v>
      </c>
      <c r="E1" s="1" t="s">
        <v>74</v>
      </c>
    </row>
    <row r="2" spans="1:5">
      <c r="A2">
        <v>1</v>
      </c>
      <c r="B2">
        <v>14</v>
      </c>
      <c r="C2" t="s">
        <v>75</v>
      </c>
      <c r="D2">
        <v>0.8</v>
      </c>
      <c r="E2" t="s">
        <v>76</v>
      </c>
    </row>
    <row r="3" spans="1:5">
      <c r="A3">
        <v>2</v>
      </c>
      <c r="B3">
        <v>30</v>
      </c>
      <c r="C3" t="s">
        <v>77</v>
      </c>
      <c r="D3">
        <v>0.9</v>
      </c>
      <c r="E3" t="s">
        <v>76</v>
      </c>
    </row>
    <row r="4" spans="1:5">
      <c r="A4">
        <v>3</v>
      </c>
      <c r="B4">
        <v>46</v>
      </c>
      <c r="C4" t="s">
        <v>78</v>
      </c>
      <c r="D4">
        <v>0.9</v>
      </c>
      <c r="E4" t="s">
        <v>79</v>
      </c>
    </row>
    <row r="5" spans="1:5">
      <c r="A5">
        <v>4</v>
      </c>
      <c r="B5">
        <v>62</v>
      </c>
      <c r="C5" t="s">
        <v>80</v>
      </c>
      <c r="D5">
        <v>0.2</v>
      </c>
      <c r="E5" t="s">
        <v>79</v>
      </c>
    </row>
    <row r="6" spans="1:5">
      <c r="A6">
        <v>5</v>
      </c>
      <c r="B6">
        <v>91</v>
      </c>
      <c r="C6" t="s">
        <v>81</v>
      </c>
      <c r="D6">
        <v>0.5</v>
      </c>
      <c r="E6" t="s">
        <v>82</v>
      </c>
    </row>
    <row r="7" spans="1:5">
      <c r="A7">
        <v>6</v>
      </c>
      <c r="B7">
        <v>107</v>
      </c>
      <c r="C7" t="s">
        <v>83</v>
      </c>
      <c r="D7">
        <v>0.6</v>
      </c>
      <c r="E7" t="s">
        <v>84</v>
      </c>
    </row>
    <row r="8" spans="1:5">
      <c r="A8">
        <v>7</v>
      </c>
      <c r="B8">
        <v>123</v>
      </c>
      <c r="C8" t="s">
        <v>85</v>
      </c>
      <c r="D8">
        <v>0.4</v>
      </c>
      <c r="E8" t="s">
        <v>84</v>
      </c>
    </row>
    <row r="9" spans="1:5">
      <c r="A9">
        <v>8</v>
      </c>
      <c r="B9">
        <v>139</v>
      </c>
      <c r="C9" t="s">
        <v>86</v>
      </c>
      <c r="D9">
        <v>1.1000000000000001</v>
      </c>
      <c r="E9" t="s">
        <v>87</v>
      </c>
    </row>
    <row r="10" spans="1:5">
      <c r="A10">
        <v>9</v>
      </c>
      <c r="B10">
        <v>155</v>
      </c>
      <c r="C10" t="s">
        <v>88</v>
      </c>
      <c r="D10">
        <v>1.3</v>
      </c>
      <c r="E10" t="s">
        <v>89</v>
      </c>
    </row>
    <row r="11" spans="1:5">
      <c r="A11">
        <v>10</v>
      </c>
      <c r="B11">
        <v>171</v>
      </c>
      <c r="C11" t="s">
        <v>90</v>
      </c>
      <c r="D11">
        <v>1.1000000000000001</v>
      </c>
      <c r="E11" t="s">
        <v>89</v>
      </c>
    </row>
    <row r="12" spans="1:5">
      <c r="A12">
        <v>11</v>
      </c>
      <c r="B12">
        <v>187</v>
      </c>
      <c r="C12" t="s">
        <v>91</v>
      </c>
      <c r="D12">
        <v>0.9</v>
      </c>
      <c r="E12" t="s">
        <v>92</v>
      </c>
    </row>
    <row r="13" spans="1:5">
      <c r="A13">
        <v>12</v>
      </c>
      <c r="B13">
        <v>203</v>
      </c>
      <c r="C13" t="s">
        <v>93</v>
      </c>
      <c r="D13">
        <v>1</v>
      </c>
      <c r="E13" t="s">
        <v>94</v>
      </c>
    </row>
    <row r="14" spans="1:5">
      <c r="A14">
        <v>13</v>
      </c>
      <c r="B14">
        <v>219</v>
      </c>
      <c r="C14" t="s">
        <v>95</v>
      </c>
      <c r="D14">
        <v>1</v>
      </c>
      <c r="E14" t="s">
        <v>96</v>
      </c>
    </row>
    <row r="15" spans="1:5">
      <c r="A15">
        <v>14</v>
      </c>
      <c r="B15">
        <v>235</v>
      </c>
      <c r="C15" t="s">
        <v>97</v>
      </c>
      <c r="D15">
        <v>0.6</v>
      </c>
      <c r="E15" t="s">
        <v>96</v>
      </c>
    </row>
    <row r="16" spans="1:5">
      <c r="A16">
        <v>15</v>
      </c>
      <c r="B16">
        <v>251</v>
      </c>
      <c r="C16" t="s">
        <v>98</v>
      </c>
      <c r="D16">
        <v>0.8</v>
      </c>
      <c r="E16" t="s">
        <v>96</v>
      </c>
    </row>
    <row r="17" spans="1:5">
      <c r="A17">
        <v>16</v>
      </c>
      <c r="B17">
        <v>280</v>
      </c>
      <c r="C17" t="s">
        <v>99</v>
      </c>
      <c r="D17">
        <v>0.6</v>
      </c>
      <c r="E17" t="s">
        <v>96</v>
      </c>
    </row>
    <row r="18" spans="1:5">
      <c r="A18">
        <v>17</v>
      </c>
      <c r="B18">
        <v>296</v>
      </c>
      <c r="C18" t="s">
        <v>100</v>
      </c>
      <c r="D18">
        <v>1.2</v>
      </c>
      <c r="E18" t="s">
        <v>96</v>
      </c>
    </row>
    <row r="19" spans="1:5">
      <c r="A19">
        <v>18</v>
      </c>
      <c r="B19">
        <v>312</v>
      </c>
      <c r="C19" t="s">
        <v>101</v>
      </c>
      <c r="D19">
        <v>0.6</v>
      </c>
      <c r="E19" t="s">
        <v>96</v>
      </c>
    </row>
    <row r="20" spans="1:5">
      <c r="A20">
        <v>19</v>
      </c>
      <c r="B20">
        <v>328</v>
      </c>
      <c r="C20" t="s">
        <v>102</v>
      </c>
      <c r="D20">
        <v>0.5</v>
      </c>
      <c r="E20" t="s">
        <v>96</v>
      </c>
    </row>
    <row r="21" spans="1:5">
      <c r="A21">
        <v>20</v>
      </c>
      <c r="B21">
        <v>344</v>
      </c>
      <c r="C21" t="s">
        <v>103</v>
      </c>
      <c r="D21">
        <v>1.1000000000000001</v>
      </c>
      <c r="E21" t="s">
        <v>96</v>
      </c>
    </row>
    <row r="22" spans="1:5">
      <c r="A22">
        <v>21</v>
      </c>
      <c r="B22">
        <v>360</v>
      </c>
      <c r="C22" t="s">
        <v>104</v>
      </c>
      <c r="D22">
        <v>1</v>
      </c>
      <c r="E22" t="s">
        <v>96</v>
      </c>
    </row>
    <row r="23" spans="1:5">
      <c r="A23">
        <v>22</v>
      </c>
      <c r="B23">
        <v>376</v>
      </c>
      <c r="C23" t="s">
        <v>105</v>
      </c>
      <c r="D23">
        <v>2.2000000000000002</v>
      </c>
      <c r="E23" t="s">
        <v>96</v>
      </c>
    </row>
    <row r="24" spans="1:5">
      <c r="A24">
        <v>23</v>
      </c>
      <c r="B24">
        <v>392</v>
      </c>
      <c r="C24" t="s">
        <v>106</v>
      </c>
      <c r="D24">
        <v>1.1000000000000001</v>
      </c>
      <c r="E24" t="s">
        <v>96</v>
      </c>
    </row>
    <row r="25" spans="1:5">
      <c r="A25">
        <v>24</v>
      </c>
      <c r="B25">
        <v>408</v>
      </c>
      <c r="C25" t="s">
        <v>107</v>
      </c>
      <c r="D25">
        <v>1.3</v>
      </c>
      <c r="E25" t="s">
        <v>108</v>
      </c>
    </row>
    <row r="26" spans="1:5">
      <c r="A26">
        <v>25</v>
      </c>
      <c r="B26">
        <v>424</v>
      </c>
      <c r="C26" t="s">
        <v>109</v>
      </c>
      <c r="D26">
        <v>1.1000000000000001</v>
      </c>
      <c r="E26" t="s">
        <v>108</v>
      </c>
    </row>
    <row r="27" spans="1:5">
      <c r="A27">
        <v>26</v>
      </c>
      <c r="B27">
        <v>440</v>
      </c>
      <c r="C27" t="s">
        <v>110</v>
      </c>
      <c r="D27">
        <v>1.5</v>
      </c>
      <c r="E27" t="s">
        <v>108</v>
      </c>
    </row>
    <row r="28" spans="1:5">
      <c r="A28">
        <v>27</v>
      </c>
      <c r="B28">
        <v>456</v>
      </c>
      <c r="C28" t="s">
        <v>111</v>
      </c>
      <c r="D28">
        <v>0.9</v>
      </c>
      <c r="E28" t="s">
        <v>108</v>
      </c>
    </row>
    <row r="29" spans="1:5">
      <c r="A29">
        <v>28</v>
      </c>
      <c r="B29">
        <v>485</v>
      </c>
      <c r="C29" t="s">
        <v>112</v>
      </c>
      <c r="D29">
        <v>0.8</v>
      </c>
      <c r="E29" t="s">
        <v>108</v>
      </c>
    </row>
    <row r="30" spans="1:5">
      <c r="A30">
        <v>29</v>
      </c>
      <c r="B30">
        <v>501</v>
      </c>
      <c r="C30" t="s">
        <v>113</v>
      </c>
      <c r="D30">
        <v>0.6</v>
      </c>
      <c r="E30" t="s">
        <v>108</v>
      </c>
    </row>
    <row r="31" spans="1:5">
      <c r="A31">
        <v>30</v>
      </c>
      <c r="B31">
        <v>517</v>
      </c>
      <c r="C31" t="s">
        <v>114</v>
      </c>
      <c r="D31">
        <v>1.1000000000000001</v>
      </c>
      <c r="E31" t="s">
        <v>108</v>
      </c>
    </row>
    <row r="32" spans="1:5">
      <c r="A32">
        <v>31</v>
      </c>
      <c r="B32">
        <v>533</v>
      </c>
      <c r="C32" t="s">
        <v>115</v>
      </c>
      <c r="D32">
        <v>0.4</v>
      </c>
      <c r="E32" t="s">
        <v>116</v>
      </c>
    </row>
    <row r="33" spans="1:5">
      <c r="A33">
        <v>32</v>
      </c>
      <c r="B33">
        <v>549</v>
      </c>
      <c r="C33" t="s">
        <v>117</v>
      </c>
      <c r="D33">
        <v>0.6</v>
      </c>
      <c r="E33" t="s">
        <v>116</v>
      </c>
    </row>
    <row r="34" spans="1:5">
      <c r="A34">
        <v>33</v>
      </c>
      <c r="B34">
        <v>578</v>
      </c>
      <c r="C34" t="s">
        <v>118</v>
      </c>
      <c r="D34">
        <v>0.5</v>
      </c>
      <c r="E34" t="s">
        <v>116</v>
      </c>
    </row>
    <row r="35" spans="1:5">
      <c r="A35">
        <v>34</v>
      </c>
      <c r="B35">
        <v>594</v>
      </c>
      <c r="C35" t="s">
        <v>119</v>
      </c>
      <c r="D35">
        <v>0.8</v>
      </c>
      <c r="E35" t="s">
        <v>116</v>
      </c>
    </row>
    <row r="36" spans="1:5">
      <c r="A36">
        <v>35</v>
      </c>
      <c r="B36">
        <v>610</v>
      </c>
      <c r="C36" t="s">
        <v>120</v>
      </c>
      <c r="D36">
        <v>0.3</v>
      </c>
      <c r="E36" t="s">
        <v>116</v>
      </c>
    </row>
    <row r="37" spans="1:5">
      <c r="A37">
        <v>36</v>
      </c>
      <c r="B37">
        <v>626</v>
      </c>
      <c r="C37" t="s">
        <v>121</v>
      </c>
      <c r="D37">
        <v>0.4</v>
      </c>
      <c r="E37" t="s">
        <v>116</v>
      </c>
    </row>
    <row r="38" spans="1:5">
      <c r="A38">
        <v>37</v>
      </c>
      <c r="B38">
        <v>642</v>
      </c>
      <c r="C38" t="s">
        <v>122</v>
      </c>
      <c r="D38">
        <v>0.5</v>
      </c>
      <c r="E38" t="s">
        <v>116</v>
      </c>
    </row>
    <row r="39" spans="1:5">
      <c r="A39">
        <v>38</v>
      </c>
      <c r="B39">
        <v>658</v>
      </c>
      <c r="C39" t="s">
        <v>123</v>
      </c>
      <c r="D39">
        <v>0.6</v>
      </c>
      <c r="E39" t="s">
        <v>116</v>
      </c>
    </row>
    <row r="40" spans="1:5">
      <c r="A40">
        <v>39</v>
      </c>
      <c r="B40">
        <v>674</v>
      </c>
      <c r="C40" t="s">
        <v>124</v>
      </c>
      <c r="D40">
        <v>1</v>
      </c>
      <c r="E40" t="s">
        <v>116</v>
      </c>
    </row>
    <row r="41" spans="1:5">
      <c r="A41">
        <v>40</v>
      </c>
      <c r="B41">
        <v>690</v>
      </c>
      <c r="C41" t="s">
        <v>125</v>
      </c>
      <c r="D41">
        <v>0.8</v>
      </c>
      <c r="E41" t="s">
        <v>116</v>
      </c>
    </row>
    <row r="42" spans="1:5">
      <c r="A42">
        <v>41</v>
      </c>
      <c r="B42">
        <v>706</v>
      </c>
      <c r="C42" t="s">
        <v>126</v>
      </c>
      <c r="D42">
        <v>0.7</v>
      </c>
      <c r="E42" t="s">
        <v>127</v>
      </c>
    </row>
    <row r="43" spans="1:5">
      <c r="A43">
        <v>42</v>
      </c>
      <c r="B43">
        <v>735</v>
      </c>
      <c r="C43" t="s">
        <v>128</v>
      </c>
      <c r="D43">
        <v>0.6</v>
      </c>
      <c r="E43" t="s">
        <v>127</v>
      </c>
    </row>
    <row r="44" spans="1:5">
      <c r="A44">
        <v>43</v>
      </c>
      <c r="B44">
        <v>751</v>
      </c>
      <c r="C44" t="s">
        <v>129</v>
      </c>
      <c r="D44">
        <v>0.7</v>
      </c>
      <c r="E44" t="s">
        <v>127</v>
      </c>
    </row>
    <row r="45" spans="1:5">
      <c r="A45">
        <v>44</v>
      </c>
      <c r="B45">
        <v>767</v>
      </c>
      <c r="C45" t="s">
        <v>130</v>
      </c>
      <c r="D45">
        <v>0.9</v>
      </c>
      <c r="E45" t="s">
        <v>127</v>
      </c>
    </row>
    <row r="46" spans="1:5">
      <c r="A46">
        <v>45</v>
      </c>
      <c r="B46">
        <v>783</v>
      </c>
      <c r="C46" t="s">
        <v>131</v>
      </c>
      <c r="D46">
        <v>2.2000000000000002</v>
      </c>
      <c r="E46" t="s">
        <v>127</v>
      </c>
    </row>
    <row r="47" spans="1:5">
      <c r="A47">
        <v>46</v>
      </c>
      <c r="B47">
        <v>799</v>
      </c>
      <c r="C47" t="s">
        <v>132</v>
      </c>
      <c r="D47">
        <v>1.1000000000000001</v>
      </c>
      <c r="E47" t="s">
        <v>127</v>
      </c>
    </row>
    <row r="48" spans="1:5">
      <c r="A48">
        <v>47</v>
      </c>
      <c r="B48">
        <v>815</v>
      </c>
      <c r="C48" t="s">
        <v>133</v>
      </c>
      <c r="D48">
        <v>0.9</v>
      </c>
      <c r="E48" t="s">
        <v>127</v>
      </c>
    </row>
    <row r="49" spans="1:5">
      <c r="A49">
        <v>48</v>
      </c>
      <c r="B49">
        <v>831</v>
      </c>
      <c r="C49" t="s">
        <v>134</v>
      </c>
      <c r="D49">
        <v>1.3</v>
      </c>
      <c r="E49" t="s">
        <v>127</v>
      </c>
    </row>
    <row r="50" spans="1:5">
      <c r="A50">
        <v>49</v>
      </c>
      <c r="B50">
        <v>847</v>
      </c>
      <c r="C50" t="s">
        <v>135</v>
      </c>
      <c r="D50">
        <v>1.5</v>
      </c>
      <c r="E50" t="s">
        <v>127</v>
      </c>
    </row>
    <row r="51" spans="1:5">
      <c r="A51">
        <v>50</v>
      </c>
      <c r="B51">
        <v>863</v>
      </c>
      <c r="C51" t="s">
        <v>136</v>
      </c>
      <c r="D51">
        <v>1.1000000000000001</v>
      </c>
      <c r="E51" t="s">
        <v>127</v>
      </c>
    </row>
    <row r="52" spans="1:5">
      <c r="A52">
        <v>51</v>
      </c>
      <c r="B52">
        <v>879</v>
      </c>
      <c r="C52" t="s">
        <v>137</v>
      </c>
      <c r="D52">
        <v>0.6</v>
      </c>
      <c r="E52" t="s">
        <v>138</v>
      </c>
    </row>
    <row r="53" spans="1:5">
      <c r="A53">
        <v>52</v>
      </c>
      <c r="B53">
        <v>895</v>
      </c>
      <c r="C53" t="s">
        <v>139</v>
      </c>
      <c r="D53">
        <v>1.9</v>
      </c>
      <c r="E53" t="s">
        <v>138</v>
      </c>
    </row>
    <row r="54" spans="1:5">
      <c r="A54">
        <v>53</v>
      </c>
      <c r="B54">
        <v>911</v>
      </c>
      <c r="C54" t="s">
        <v>140</v>
      </c>
      <c r="D54">
        <v>0.6</v>
      </c>
      <c r="E54" t="s">
        <v>138</v>
      </c>
    </row>
    <row r="55" spans="1:5">
      <c r="A55">
        <v>54</v>
      </c>
      <c r="B55">
        <v>927</v>
      </c>
      <c r="C55" t="s">
        <v>141</v>
      </c>
      <c r="D55">
        <v>1</v>
      </c>
      <c r="E55" t="s">
        <v>138</v>
      </c>
    </row>
    <row r="56" spans="1:5">
      <c r="A56">
        <v>55</v>
      </c>
      <c r="B56">
        <v>943</v>
      </c>
      <c r="C56" t="s">
        <v>142</v>
      </c>
      <c r="D56">
        <v>0.2</v>
      </c>
      <c r="E56" t="s">
        <v>138</v>
      </c>
    </row>
    <row r="57" spans="1:5">
      <c r="A57">
        <v>56</v>
      </c>
      <c r="B57">
        <v>959</v>
      </c>
      <c r="C57" t="s">
        <v>143</v>
      </c>
      <c r="D57">
        <v>0.4</v>
      </c>
      <c r="E57" t="s">
        <v>138</v>
      </c>
    </row>
    <row r="58" spans="1:5">
      <c r="A58">
        <v>57</v>
      </c>
      <c r="B58">
        <v>975</v>
      </c>
      <c r="C58" t="s">
        <v>144</v>
      </c>
      <c r="D58">
        <v>0.5</v>
      </c>
      <c r="E58" t="s">
        <v>138</v>
      </c>
    </row>
    <row r="59" spans="1:5">
      <c r="A59">
        <v>58</v>
      </c>
      <c r="B59">
        <v>991</v>
      </c>
      <c r="C59" t="s">
        <v>145</v>
      </c>
      <c r="D59">
        <v>0.8</v>
      </c>
      <c r="E59" t="s">
        <v>138</v>
      </c>
    </row>
    <row r="60" spans="1:5">
      <c r="A60">
        <v>59</v>
      </c>
      <c r="B60">
        <v>1007</v>
      </c>
      <c r="C60" t="s">
        <v>146</v>
      </c>
      <c r="D60">
        <v>0.6</v>
      </c>
      <c r="E60" t="s">
        <v>138</v>
      </c>
    </row>
    <row r="61" spans="1:5">
      <c r="A61">
        <v>60</v>
      </c>
      <c r="B61">
        <v>1036</v>
      </c>
      <c r="C61" t="s">
        <v>147</v>
      </c>
      <c r="D61">
        <v>1.5</v>
      </c>
      <c r="E61" t="s">
        <v>138</v>
      </c>
    </row>
    <row r="62" spans="1:5">
      <c r="A62">
        <v>61</v>
      </c>
      <c r="B62">
        <v>1052</v>
      </c>
      <c r="C62" t="s">
        <v>148</v>
      </c>
      <c r="D62">
        <v>0.9</v>
      </c>
      <c r="E62" t="s">
        <v>138</v>
      </c>
    </row>
    <row r="63" spans="1:5">
      <c r="A63">
        <v>62</v>
      </c>
      <c r="B63">
        <v>1068</v>
      </c>
      <c r="C63" t="s">
        <v>149</v>
      </c>
      <c r="D63">
        <v>0.9</v>
      </c>
      <c r="E63" t="s">
        <v>138</v>
      </c>
    </row>
    <row r="64" spans="1:5">
      <c r="A64">
        <v>63</v>
      </c>
      <c r="B64">
        <v>1084</v>
      </c>
      <c r="C64" t="s">
        <v>150</v>
      </c>
      <c r="D64">
        <v>0.7</v>
      </c>
      <c r="E64" t="s">
        <v>138</v>
      </c>
    </row>
    <row r="65" spans="1:5">
      <c r="A65">
        <v>64</v>
      </c>
      <c r="B65">
        <v>1100</v>
      </c>
      <c r="C65" t="s">
        <v>151</v>
      </c>
      <c r="D65">
        <v>1</v>
      </c>
      <c r="E65" t="s">
        <v>138</v>
      </c>
    </row>
    <row r="66" spans="1:5">
      <c r="A66">
        <v>65</v>
      </c>
      <c r="B66">
        <v>1116</v>
      </c>
      <c r="C66" t="s">
        <v>152</v>
      </c>
      <c r="D66">
        <v>0.5</v>
      </c>
      <c r="E66" t="s">
        <v>138</v>
      </c>
    </row>
    <row r="67" spans="1:5">
      <c r="A67">
        <v>66</v>
      </c>
      <c r="B67">
        <v>1132</v>
      </c>
      <c r="C67" t="s">
        <v>153</v>
      </c>
      <c r="D67">
        <v>1.2</v>
      </c>
      <c r="E67" t="s">
        <v>154</v>
      </c>
    </row>
    <row r="68" spans="1:5">
      <c r="A68">
        <v>67</v>
      </c>
      <c r="B68">
        <v>1148</v>
      </c>
      <c r="C68" t="s">
        <v>155</v>
      </c>
      <c r="D68">
        <v>0.6</v>
      </c>
      <c r="E68" t="s">
        <v>154</v>
      </c>
    </row>
    <row r="69" spans="1:5">
      <c r="A69">
        <v>68</v>
      </c>
      <c r="B69">
        <v>1164</v>
      </c>
      <c r="C69" t="s">
        <v>156</v>
      </c>
      <c r="D69">
        <v>0.5</v>
      </c>
      <c r="E69" t="s">
        <v>154</v>
      </c>
    </row>
    <row r="70" spans="1:5">
      <c r="A70">
        <v>69</v>
      </c>
      <c r="B70">
        <v>1180</v>
      </c>
      <c r="C70" t="s">
        <v>157</v>
      </c>
      <c r="D70">
        <v>0.8</v>
      </c>
      <c r="E70" t="s">
        <v>154</v>
      </c>
    </row>
    <row r="71" spans="1:5">
      <c r="A71">
        <v>70</v>
      </c>
      <c r="B71">
        <v>1196</v>
      </c>
      <c r="C71" t="s">
        <v>158</v>
      </c>
      <c r="D71">
        <v>0.4</v>
      </c>
      <c r="E71" t="s">
        <v>154</v>
      </c>
    </row>
    <row r="72" spans="1:5">
      <c r="A72">
        <v>71</v>
      </c>
      <c r="B72">
        <v>1212</v>
      </c>
      <c r="C72" t="s">
        <v>159</v>
      </c>
      <c r="D72">
        <v>0.5</v>
      </c>
      <c r="E72" t="s">
        <v>154</v>
      </c>
    </row>
    <row r="73" spans="1:5">
      <c r="A73">
        <v>72</v>
      </c>
      <c r="B73">
        <v>1228</v>
      </c>
      <c r="C73" t="s">
        <v>80</v>
      </c>
      <c r="D73">
        <v>0.2</v>
      </c>
      <c r="E73" t="s">
        <v>154</v>
      </c>
    </row>
    <row r="74" spans="1:5">
      <c r="A74">
        <v>73</v>
      </c>
      <c r="B74">
        <v>1244</v>
      </c>
      <c r="C74" t="s">
        <v>160</v>
      </c>
      <c r="D74">
        <v>0.6</v>
      </c>
      <c r="E74" t="s">
        <v>154</v>
      </c>
    </row>
    <row r="75" spans="1:5">
      <c r="A75">
        <v>74</v>
      </c>
      <c r="B75">
        <v>1260</v>
      </c>
      <c r="C75" t="s">
        <v>161</v>
      </c>
      <c r="D75">
        <v>0.8</v>
      </c>
      <c r="E75" t="s">
        <v>154</v>
      </c>
    </row>
    <row r="76" spans="1:5">
      <c r="A76">
        <v>75</v>
      </c>
      <c r="B76">
        <v>1276</v>
      </c>
      <c r="C76" t="s">
        <v>162</v>
      </c>
      <c r="D76">
        <v>0.2</v>
      </c>
      <c r="E76" t="s">
        <v>154</v>
      </c>
    </row>
    <row r="77" spans="1:5">
      <c r="A77">
        <v>76</v>
      </c>
      <c r="B77">
        <v>1305</v>
      </c>
      <c r="C77" t="s">
        <v>163</v>
      </c>
      <c r="D77">
        <v>0.8</v>
      </c>
      <c r="E77" t="s">
        <v>154</v>
      </c>
    </row>
    <row r="78" spans="1:5">
      <c r="A78">
        <v>77</v>
      </c>
      <c r="B78">
        <v>1321</v>
      </c>
      <c r="C78" t="s">
        <v>164</v>
      </c>
      <c r="D78">
        <v>0.7</v>
      </c>
      <c r="E78" t="s">
        <v>154</v>
      </c>
    </row>
    <row r="79" spans="1:5">
      <c r="A79">
        <v>78</v>
      </c>
      <c r="B79">
        <v>1353</v>
      </c>
      <c r="C79" t="s">
        <v>165</v>
      </c>
      <c r="D79">
        <v>1.5</v>
      </c>
      <c r="E79" t="s">
        <v>154</v>
      </c>
    </row>
    <row r="80" spans="1:5">
      <c r="A80">
        <v>79</v>
      </c>
      <c r="B80">
        <v>1369</v>
      </c>
      <c r="C80" t="s">
        <v>166</v>
      </c>
      <c r="D80">
        <v>1.4</v>
      </c>
      <c r="E80" t="s">
        <v>154</v>
      </c>
    </row>
    <row r="81" spans="1:5">
      <c r="A81">
        <v>80</v>
      </c>
      <c r="B81">
        <v>1385</v>
      </c>
      <c r="C81" t="s">
        <v>167</v>
      </c>
      <c r="D81">
        <v>0.5</v>
      </c>
      <c r="E81" t="s">
        <v>154</v>
      </c>
    </row>
    <row r="82" spans="1:5">
      <c r="A82">
        <v>81</v>
      </c>
      <c r="B82">
        <v>1401</v>
      </c>
      <c r="C82" t="s">
        <v>168</v>
      </c>
      <c r="D82">
        <v>0.6</v>
      </c>
      <c r="E82" t="s">
        <v>154</v>
      </c>
    </row>
    <row r="83" spans="1:5">
      <c r="A83">
        <v>82</v>
      </c>
      <c r="B83">
        <v>1417</v>
      </c>
      <c r="C83" t="s">
        <v>169</v>
      </c>
      <c r="D83">
        <v>0.7</v>
      </c>
      <c r="E83" t="s">
        <v>170</v>
      </c>
    </row>
    <row r="84" spans="1:5">
      <c r="A84">
        <v>83</v>
      </c>
      <c r="B84">
        <v>1433</v>
      </c>
      <c r="C84" t="s">
        <v>171</v>
      </c>
      <c r="D84">
        <v>0.8</v>
      </c>
      <c r="E84" t="s">
        <v>170</v>
      </c>
    </row>
    <row r="85" spans="1:5">
      <c r="A85">
        <v>84</v>
      </c>
      <c r="B85">
        <v>1449</v>
      </c>
      <c r="C85" t="s">
        <v>172</v>
      </c>
      <c r="D85">
        <v>2.2000000000000002</v>
      </c>
      <c r="E85" t="s">
        <v>170</v>
      </c>
    </row>
    <row r="86" spans="1:5">
      <c r="A86">
        <v>85</v>
      </c>
      <c r="B86">
        <v>1465</v>
      </c>
      <c r="C86" t="s">
        <v>173</v>
      </c>
      <c r="D86">
        <v>0.3</v>
      </c>
      <c r="E86" t="s">
        <v>170</v>
      </c>
    </row>
    <row r="87" spans="1:5">
      <c r="A87">
        <v>86</v>
      </c>
      <c r="B87">
        <v>1481</v>
      </c>
      <c r="C87" t="s">
        <v>174</v>
      </c>
      <c r="D87">
        <v>0.8</v>
      </c>
      <c r="E87" t="s">
        <v>170</v>
      </c>
    </row>
    <row r="88" spans="1:5">
      <c r="A88">
        <v>87</v>
      </c>
      <c r="B88">
        <v>1497</v>
      </c>
      <c r="C88" t="s">
        <v>175</v>
      </c>
      <c r="D88">
        <v>0.6</v>
      </c>
      <c r="E88" t="s">
        <v>170</v>
      </c>
    </row>
    <row r="89" spans="1:5">
      <c r="A89">
        <v>88</v>
      </c>
      <c r="B89">
        <v>1513</v>
      </c>
      <c r="C89" t="s">
        <v>176</v>
      </c>
      <c r="D89">
        <v>1.1000000000000001</v>
      </c>
      <c r="E89" t="s">
        <v>170</v>
      </c>
    </row>
    <row r="90" spans="1:5">
      <c r="A90">
        <v>89</v>
      </c>
      <c r="B90">
        <v>1542</v>
      </c>
      <c r="C90" t="s">
        <v>177</v>
      </c>
      <c r="D90">
        <v>1.4</v>
      </c>
      <c r="E90" t="s">
        <v>170</v>
      </c>
    </row>
    <row r="91" spans="1:5">
      <c r="A91">
        <v>90</v>
      </c>
      <c r="B91">
        <v>1558</v>
      </c>
      <c r="C91" t="s">
        <v>178</v>
      </c>
      <c r="D91">
        <v>0.6</v>
      </c>
      <c r="E91" t="s">
        <v>170</v>
      </c>
    </row>
    <row r="92" spans="1:5">
      <c r="A92">
        <v>91</v>
      </c>
      <c r="B92">
        <v>1574</v>
      </c>
      <c r="C92" t="s">
        <v>179</v>
      </c>
      <c r="D92">
        <v>0.8</v>
      </c>
      <c r="E92" t="s">
        <v>170</v>
      </c>
    </row>
    <row r="93" spans="1:5">
      <c r="A93">
        <v>92</v>
      </c>
      <c r="B93">
        <v>1590</v>
      </c>
      <c r="C93" t="s">
        <v>180</v>
      </c>
      <c r="D93">
        <v>1.5</v>
      </c>
      <c r="E93" t="s">
        <v>170</v>
      </c>
    </row>
    <row r="94" spans="1:5">
      <c r="A94">
        <v>93</v>
      </c>
      <c r="B94">
        <v>1606</v>
      </c>
      <c r="C94" t="s">
        <v>181</v>
      </c>
      <c r="D94">
        <v>0.9</v>
      </c>
      <c r="E94" t="s">
        <v>170</v>
      </c>
    </row>
    <row r="95" spans="1:5">
      <c r="A95">
        <v>94</v>
      </c>
      <c r="B95">
        <v>1622</v>
      </c>
      <c r="C95" t="s">
        <v>182</v>
      </c>
      <c r="D95">
        <v>1.1000000000000001</v>
      </c>
      <c r="E95" t="s">
        <v>170</v>
      </c>
    </row>
    <row r="96" spans="1:5">
      <c r="A96">
        <v>95</v>
      </c>
      <c r="B96">
        <v>1638</v>
      </c>
      <c r="C96" t="s">
        <v>183</v>
      </c>
      <c r="D96">
        <v>0.8</v>
      </c>
      <c r="E96" t="s">
        <v>170</v>
      </c>
    </row>
    <row r="97" spans="1:5">
      <c r="A97">
        <v>96</v>
      </c>
      <c r="B97">
        <v>1667</v>
      </c>
      <c r="C97" t="s">
        <v>184</v>
      </c>
      <c r="D97">
        <v>0.9</v>
      </c>
      <c r="E97" t="s">
        <v>170</v>
      </c>
    </row>
    <row r="98" spans="1:5">
      <c r="A98">
        <v>97</v>
      </c>
      <c r="B98">
        <v>1683</v>
      </c>
      <c r="C98" t="s">
        <v>185</v>
      </c>
      <c r="D98">
        <v>1.1000000000000001</v>
      </c>
      <c r="E98" t="s">
        <v>170</v>
      </c>
    </row>
    <row r="99" spans="1:5">
      <c r="A99">
        <v>98</v>
      </c>
      <c r="B99">
        <v>1699</v>
      </c>
      <c r="C99" t="s">
        <v>186</v>
      </c>
      <c r="D99">
        <v>0.6</v>
      </c>
      <c r="E99" t="s">
        <v>170</v>
      </c>
    </row>
    <row r="100" spans="1:5">
      <c r="A100">
        <v>99</v>
      </c>
      <c r="B100">
        <v>1715</v>
      </c>
      <c r="C100" t="s">
        <v>187</v>
      </c>
      <c r="D100">
        <v>0.8</v>
      </c>
      <c r="E100" t="s">
        <v>170</v>
      </c>
    </row>
    <row r="101" spans="1:5">
      <c r="A101">
        <v>100</v>
      </c>
      <c r="B101">
        <v>1731</v>
      </c>
      <c r="C101" t="s">
        <v>188</v>
      </c>
      <c r="D101">
        <v>0.4</v>
      </c>
      <c r="E101" t="s">
        <v>170</v>
      </c>
    </row>
    <row r="102" spans="1:5">
      <c r="A102">
        <v>101</v>
      </c>
      <c r="B102">
        <v>1747</v>
      </c>
      <c r="C102" t="s">
        <v>189</v>
      </c>
      <c r="D102">
        <v>0.8</v>
      </c>
      <c r="E102" t="s">
        <v>170</v>
      </c>
    </row>
    <row r="103" spans="1:5">
      <c r="A103">
        <v>102</v>
      </c>
      <c r="B103">
        <v>1763</v>
      </c>
      <c r="C103" t="s">
        <v>190</v>
      </c>
      <c r="D103">
        <v>0.7</v>
      </c>
      <c r="E103" t="s">
        <v>170</v>
      </c>
    </row>
    <row r="104" spans="1:5">
      <c r="A104">
        <v>103</v>
      </c>
      <c r="B104">
        <v>1779</v>
      </c>
      <c r="C104" t="s">
        <v>191</v>
      </c>
      <c r="D104">
        <v>0.8</v>
      </c>
      <c r="E104" t="s">
        <v>170</v>
      </c>
    </row>
    <row r="105" spans="1:5">
      <c r="A105">
        <v>104</v>
      </c>
      <c r="B105">
        <v>1795</v>
      </c>
      <c r="C105" t="s">
        <v>192</v>
      </c>
      <c r="D105">
        <v>1.4</v>
      </c>
      <c r="E105" t="s">
        <v>170</v>
      </c>
    </row>
    <row r="106" spans="1:5">
      <c r="A106">
        <v>105</v>
      </c>
      <c r="B106">
        <v>1811</v>
      </c>
      <c r="C106" t="s">
        <v>193</v>
      </c>
      <c r="D106">
        <v>0.8</v>
      </c>
      <c r="E106" t="s">
        <v>170</v>
      </c>
    </row>
    <row r="107" spans="1:5">
      <c r="A107">
        <v>106</v>
      </c>
      <c r="B107">
        <v>1840</v>
      </c>
      <c r="C107" t="s">
        <v>93</v>
      </c>
      <c r="D107">
        <v>1</v>
      </c>
      <c r="E107" t="s">
        <v>170</v>
      </c>
    </row>
    <row r="108" spans="1:5">
      <c r="A108">
        <v>107</v>
      </c>
      <c r="B108">
        <v>1856</v>
      </c>
      <c r="C108" t="s">
        <v>194</v>
      </c>
      <c r="D108">
        <v>0.2</v>
      </c>
      <c r="E108" t="s">
        <v>170</v>
      </c>
    </row>
    <row r="109" spans="1:5">
      <c r="A109">
        <v>108</v>
      </c>
      <c r="B109">
        <v>1872</v>
      </c>
      <c r="C109" t="s">
        <v>182</v>
      </c>
      <c r="D109">
        <v>1.1000000000000001</v>
      </c>
      <c r="E109" t="s">
        <v>170</v>
      </c>
    </row>
    <row r="110" spans="1:5">
      <c r="A110">
        <v>109</v>
      </c>
      <c r="B110">
        <v>1888</v>
      </c>
      <c r="C110" t="s">
        <v>195</v>
      </c>
      <c r="D110">
        <v>0.4</v>
      </c>
      <c r="E110" t="s">
        <v>170</v>
      </c>
    </row>
    <row r="111" spans="1:5">
      <c r="A111">
        <v>110</v>
      </c>
      <c r="B111">
        <v>1904</v>
      </c>
      <c r="C111" t="s">
        <v>196</v>
      </c>
      <c r="D111">
        <v>0.7</v>
      </c>
      <c r="E111" t="s">
        <v>170</v>
      </c>
    </row>
    <row r="112" spans="1:5">
      <c r="A112">
        <v>111</v>
      </c>
      <c r="B112">
        <v>1920</v>
      </c>
      <c r="C112" t="s">
        <v>197</v>
      </c>
      <c r="D112">
        <v>1.6</v>
      </c>
      <c r="E112" t="s">
        <v>170</v>
      </c>
    </row>
    <row r="113" spans="1:5">
      <c r="A113">
        <v>112</v>
      </c>
      <c r="B113">
        <v>1952</v>
      </c>
      <c r="C113" t="s">
        <v>198</v>
      </c>
      <c r="D113">
        <v>2.1</v>
      </c>
      <c r="E113" t="s">
        <v>170</v>
      </c>
    </row>
    <row r="114" spans="1:5">
      <c r="A114">
        <v>113</v>
      </c>
      <c r="B114">
        <v>1981</v>
      </c>
      <c r="C114" t="s">
        <v>199</v>
      </c>
      <c r="D114">
        <v>0.2</v>
      </c>
      <c r="E114" t="s">
        <v>170</v>
      </c>
    </row>
    <row r="115" spans="1:5">
      <c r="A115">
        <v>114</v>
      </c>
      <c r="B115">
        <v>1997</v>
      </c>
      <c r="C115" t="s">
        <v>200</v>
      </c>
      <c r="D115">
        <v>0.6</v>
      </c>
      <c r="E115" t="s">
        <v>170</v>
      </c>
    </row>
    <row r="116" spans="1:5">
      <c r="A116">
        <v>115</v>
      </c>
      <c r="B116">
        <v>2013</v>
      </c>
      <c r="C116" t="s">
        <v>201</v>
      </c>
      <c r="D116">
        <v>0.8</v>
      </c>
      <c r="E116" t="s">
        <v>170</v>
      </c>
    </row>
    <row r="117" spans="1:5">
      <c r="A117">
        <v>116</v>
      </c>
      <c r="B117">
        <v>2029</v>
      </c>
      <c r="C117" t="s">
        <v>202</v>
      </c>
      <c r="D117">
        <v>0.8</v>
      </c>
      <c r="E117" t="s">
        <v>170</v>
      </c>
    </row>
    <row r="118" spans="1:5">
      <c r="A118">
        <v>117</v>
      </c>
      <c r="B118">
        <v>2045</v>
      </c>
      <c r="C118" t="s">
        <v>203</v>
      </c>
      <c r="D118">
        <v>1</v>
      </c>
      <c r="E118" t="s">
        <v>170</v>
      </c>
    </row>
    <row r="119" spans="1:5">
      <c r="A119">
        <v>118</v>
      </c>
      <c r="B119">
        <v>2061</v>
      </c>
      <c r="C119" t="s">
        <v>204</v>
      </c>
      <c r="D119">
        <v>1</v>
      </c>
      <c r="E119" t="s">
        <v>170</v>
      </c>
    </row>
    <row r="120" spans="1:5">
      <c r="A120">
        <v>119</v>
      </c>
      <c r="B120">
        <v>2090</v>
      </c>
      <c r="C120" t="s">
        <v>205</v>
      </c>
      <c r="D120">
        <v>0.9</v>
      </c>
      <c r="E120" t="s">
        <v>170</v>
      </c>
    </row>
    <row r="121" spans="1:5">
      <c r="A121">
        <v>120</v>
      </c>
      <c r="B121">
        <v>2106</v>
      </c>
      <c r="C121" t="s">
        <v>206</v>
      </c>
      <c r="D121">
        <v>0.3</v>
      </c>
      <c r="E121" t="s">
        <v>170</v>
      </c>
    </row>
    <row r="122" spans="1:5">
      <c r="A122">
        <v>121</v>
      </c>
      <c r="B122">
        <v>2122</v>
      </c>
      <c r="C122" t="s">
        <v>207</v>
      </c>
      <c r="D122">
        <v>0.8</v>
      </c>
      <c r="E122" t="s">
        <v>170</v>
      </c>
    </row>
    <row r="123" spans="1:5">
      <c r="A123">
        <v>122</v>
      </c>
      <c r="B123">
        <v>2138</v>
      </c>
      <c r="C123" t="s">
        <v>208</v>
      </c>
      <c r="D123">
        <v>0.4</v>
      </c>
      <c r="E123" t="s">
        <v>170</v>
      </c>
    </row>
    <row r="124" spans="1:5">
      <c r="A124">
        <v>123</v>
      </c>
      <c r="B124">
        <v>2154</v>
      </c>
      <c r="C124" t="s">
        <v>209</v>
      </c>
      <c r="D124">
        <v>1.1000000000000001</v>
      </c>
      <c r="E124" t="s">
        <v>170</v>
      </c>
    </row>
    <row r="125" spans="1:5">
      <c r="A125">
        <v>124</v>
      </c>
      <c r="B125">
        <v>2170</v>
      </c>
      <c r="C125" t="s">
        <v>210</v>
      </c>
      <c r="D125">
        <v>2</v>
      </c>
      <c r="E125" t="s">
        <v>170</v>
      </c>
    </row>
    <row r="126" spans="1:5">
      <c r="A126">
        <v>125</v>
      </c>
      <c r="B126">
        <v>2186</v>
      </c>
      <c r="C126" t="s">
        <v>211</v>
      </c>
      <c r="D126">
        <v>0.8</v>
      </c>
      <c r="E126" t="s">
        <v>170</v>
      </c>
    </row>
    <row r="127" spans="1:5">
      <c r="A127">
        <v>126</v>
      </c>
      <c r="B127">
        <v>2202</v>
      </c>
      <c r="C127" t="s">
        <v>212</v>
      </c>
      <c r="D127">
        <v>1.3</v>
      </c>
      <c r="E127" t="s">
        <v>170</v>
      </c>
    </row>
    <row r="128" spans="1:5">
      <c r="A128">
        <v>127</v>
      </c>
      <c r="B128">
        <v>2231</v>
      </c>
      <c r="C128" t="s">
        <v>213</v>
      </c>
      <c r="D128">
        <v>0.2</v>
      </c>
      <c r="E128" t="s">
        <v>170</v>
      </c>
    </row>
    <row r="129" spans="1:5">
      <c r="A129">
        <v>128</v>
      </c>
      <c r="B129">
        <v>2247</v>
      </c>
      <c r="C129" t="s">
        <v>144</v>
      </c>
      <c r="D129">
        <v>0.5</v>
      </c>
      <c r="E129" t="s">
        <v>170</v>
      </c>
    </row>
    <row r="130" spans="1:5">
      <c r="A130">
        <v>129</v>
      </c>
      <c r="B130">
        <v>2263</v>
      </c>
      <c r="C130" t="s">
        <v>214</v>
      </c>
      <c r="D130">
        <v>0.8</v>
      </c>
      <c r="E130" t="s">
        <v>170</v>
      </c>
    </row>
    <row r="131" spans="1:5">
      <c r="A131">
        <v>130</v>
      </c>
      <c r="B131">
        <v>2279</v>
      </c>
      <c r="C131" t="s">
        <v>176</v>
      </c>
      <c r="D131">
        <v>1.1000000000000001</v>
      </c>
      <c r="E131" t="s">
        <v>170</v>
      </c>
    </row>
    <row r="132" spans="1:5">
      <c r="A132">
        <v>131</v>
      </c>
      <c r="B132">
        <v>2295</v>
      </c>
      <c r="C132" t="s">
        <v>215</v>
      </c>
      <c r="D132">
        <v>0.4</v>
      </c>
      <c r="E132" t="s">
        <v>170</v>
      </c>
    </row>
    <row r="133" spans="1:5">
      <c r="A133">
        <v>132</v>
      </c>
      <c r="B133">
        <v>2311</v>
      </c>
      <c r="C133" t="s">
        <v>216</v>
      </c>
      <c r="D133">
        <v>0.9</v>
      </c>
      <c r="E133" t="s">
        <v>170</v>
      </c>
    </row>
    <row r="134" spans="1:5">
      <c r="A134">
        <v>133</v>
      </c>
      <c r="B134">
        <v>2327</v>
      </c>
      <c r="C134" t="s">
        <v>217</v>
      </c>
      <c r="D134">
        <v>1.1000000000000001</v>
      </c>
      <c r="E134" t="s">
        <v>170</v>
      </c>
    </row>
    <row r="135" spans="1:5">
      <c r="A135">
        <v>134</v>
      </c>
      <c r="B135">
        <v>2343</v>
      </c>
      <c r="C135" t="s">
        <v>218</v>
      </c>
      <c r="D135">
        <v>0.7</v>
      </c>
      <c r="E135" t="s">
        <v>170</v>
      </c>
    </row>
    <row r="136" spans="1:5">
      <c r="A136">
        <v>135</v>
      </c>
      <c r="B136">
        <v>2359</v>
      </c>
      <c r="C136" t="s">
        <v>219</v>
      </c>
      <c r="D136">
        <v>1.1000000000000001</v>
      </c>
      <c r="E136" t="s">
        <v>170</v>
      </c>
    </row>
    <row r="137" spans="1:5">
      <c r="A137">
        <v>136</v>
      </c>
      <c r="B137">
        <v>2375</v>
      </c>
      <c r="C137" t="s">
        <v>220</v>
      </c>
      <c r="D137">
        <v>0.8</v>
      </c>
      <c r="E137" t="s">
        <v>170</v>
      </c>
    </row>
    <row r="138" spans="1:5">
      <c r="A138">
        <v>137</v>
      </c>
      <c r="B138">
        <v>2407</v>
      </c>
      <c r="C138" t="s">
        <v>221</v>
      </c>
      <c r="D138">
        <v>0.5</v>
      </c>
      <c r="E138" t="s">
        <v>170</v>
      </c>
    </row>
    <row r="139" spans="1:5">
      <c r="A139">
        <v>138</v>
      </c>
      <c r="B139">
        <v>2436</v>
      </c>
      <c r="C139" t="s">
        <v>222</v>
      </c>
      <c r="D139">
        <v>0.8</v>
      </c>
      <c r="E139" t="s">
        <v>170</v>
      </c>
    </row>
    <row r="140" spans="1:5">
      <c r="A140">
        <v>139</v>
      </c>
      <c r="B140">
        <v>2452</v>
      </c>
      <c r="C140" t="s">
        <v>223</v>
      </c>
      <c r="D140">
        <v>0.6</v>
      </c>
      <c r="E140" t="s">
        <v>170</v>
      </c>
    </row>
    <row r="141" spans="1:5">
      <c r="A141">
        <v>140</v>
      </c>
      <c r="B141">
        <v>2468</v>
      </c>
      <c r="C141" t="s">
        <v>224</v>
      </c>
      <c r="D141">
        <v>0.1</v>
      </c>
      <c r="E141" t="s">
        <v>170</v>
      </c>
    </row>
    <row r="142" spans="1:5">
      <c r="A142">
        <v>141</v>
      </c>
      <c r="B142">
        <v>2484</v>
      </c>
      <c r="C142" t="s">
        <v>225</v>
      </c>
      <c r="D142">
        <v>1.2</v>
      </c>
      <c r="E142" t="s">
        <v>170</v>
      </c>
    </row>
    <row r="143" spans="1:5">
      <c r="A143">
        <v>142</v>
      </c>
      <c r="B143">
        <v>2500</v>
      </c>
      <c r="C143" t="s">
        <v>226</v>
      </c>
      <c r="D143">
        <v>0.7</v>
      </c>
      <c r="E143" t="s">
        <v>170</v>
      </c>
    </row>
    <row r="144" spans="1:5">
      <c r="A144">
        <v>143</v>
      </c>
      <c r="B144">
        <v>2516</v>
      </c>
      <c r="C144" t="s">
        <v>227</v>
      </c>
      <c r="D144">
        <v>0.5</v>
      </c>
      <c r="E144" t="s">
        <v>228</v>
      </c>
    </row>
    <row r="145" spans="1:5">
      <c r="A145">
        <v>144</v>
      </c>
      <c r="B145">
        <v>2545</v>
      </c>
      <c r="C145" t="s">
        <v>229</v>
      </c>
      <c r="D145">
        <v>0.9</v>
      </c>
      <c r="E145" t="s">
        <v>228</v>
      </c>
    </row>
    <row r="146" spans="1:5">
      <c r="A146">
        <v>145</v>
      </c>
      <c r="B146">
        <v>2561</v>
      </c>
      <c r="C146" t="s">
        <v>230</v>
      </c>
      <c r="D146">
        <v>1.1000000000000001</v>
      </c>
      <c r="E146" t="s">
        <v>228</v>
      </c>
    </row>
    <row r="147" spans="1:5">
      <c r="A147">
        <v>146</v>
      </c>
      <c r="B147">
        <v>2577</v>
      </c>
      <c r="C147" t="s">
        <v>231</v>
      </c>
      <c r="D147">
        <v>0.7</v>
      </c>
      <c r="E147" t="s">
        <v>228</v>
      </c>
    </row>
    <row r="148" spans="1:5">
      <c r="A148">
        <v>147</v>
      </c>
      <c r="B148">
        <v>2593</v>
      </c>
      <c r="C148" t="s">
        <v>232</v>
      </c>
      <c r="D148">
        <v>0.7</v>
      </c>
      <c r="E148" t="s">
        <v>228</v>
      </c>
    </row>
    <row r="149" spans="1:5">
      <c r="A149">
        <v>148</v>
      </c>
      <c r="B149">
        <v>2609</v>
      </c>
      <c r="C149" t="s">
        <v>233</v>
      </c>
      <c r="D149">
        <v>0.8</v>
      </c>
      <c r="E149" t="s">
        <v>228</v>
      </c>
    </row>
    <row r="150" spans="1:5">
      <c r="A150">
        <v>149</v>
      </c>
      <c r="B150">
        <v>2625</v>
      </c>
      <c r="C150" t="s">
        <v>234</v>
      </c>
      <c r="D150">
        <v>1.1000000000000001</v>
      </c>
      <c r="E150" t="s">
        <v>228</v>
      </c>
    </row>
    <row r="151" spans="1:5">
      <c r="A151">
        <v>150</v>
      </c>
      <c r="B151">
        <v>2641</v>
      </c>
      <c r="C151" t="s">
        <v>235</v>
      </c>
      <c r="D151">
        <v>0.2</v>
      </c>
      <c r="E151" t="s">
        <v>228</v>
      </c>
    </row>
    <row r="152" spans="1:5">
      <c r="A152">
        <v>151</v>
      </c>
      <c r="B152">
        <v>2657</v>
      </c>
      <c r="C152" t="s">
        <v>225</v>
      </c>
      <c r="D152">
        <v>1.2</v>
      </c>
      <c r="E152" t="s">
        <v>228</v>
      </c>
    </row>
    <row r="153" spans="1:5">
      <c r="A153">
        <v>152</v>
      </c>
      <c r="B153">
        <v>2673</v>
      </c>
      <c r="C153" t="s">
        <v>174</v>
      </c>
      <c r="D153">
        <v>0.8</v>
      </c>
      <c r="E153" t="s">
        <v>228</v>
      </c>
    </row>
    <row r="154" spans="1:5">
      <c r="A154">
        <v>153</v>
      </c>
      <c r="B154">
        <v>2702</v>
      </c>
      <c r="C154" t="s">
        <v>236</v>
      </c>
      <c r="D154">
        <v>0.6</v>
      </c>
      <c r="E154" t="s">
        <v>228</v>
      </c>
    </row>
    <row r="155" spans="1:5">
      <c r="A155">
        <v>154</v>
      </c>
      <c r="B155">
        <v>2718</v>
      </c>
      <c r="C155" t="s">
        <v>237</v>
      </c>
      <c r="D155">
        <v>0.7</v>
      </c>
      <c r="E155" t="s">
        <v>228</v>
      </c>
    </row>
    <row r="156" spans="1:5">
      <c r="A156">
        <v>155</v>
      </c>
      <c r="B156">
        <v>2734</v>
      </c>
      <c r="C156" t="s">
        <v>238</v>
      </c>
      <c r="D156">
        <v>0.5</v>
      </c>
      <c r="E156" t="s">
        <v>228</v>
      </c>
    </row>
    <row r="157" spans="1:5">
      <c r="A157">
        <v>156</v>
      </c>
      <c r="B157">
        <v>2750</v>
      </c>
      <c r="C157" t="s">
        <v>239</v>
      </c>
      <c r="D157">
        <v>0.7</v>
      </c>
      <c r="E157" t="s">
        <v>228</v>
      </c>
    </row>
    <row r="158" spans="1:5">
      <c r="A158">
        <v>157</v>
      </c>
      <c r="B158">
        <v>2766</v>
      </c>
      <c r="C158" t="s">
        <v>240</v>
      </c>
      <c r="D158">
        <v>0.9</v>
      </c>
      <c r="E158" t="s">
        <v>228</v>
      </c>
    </row>
    <row r="159" spans="1:5">
      <c r="A159">
        <v>158</v>
      </c>
      <c r="B159">
        <v>2782</v>
      </c>
      <c r="C159" t="s">
        <v>241</v>
      </c>
      <c r="D159">
        <v>0.7</v>
      </c>
      <c r="E159" t="s">
        <v>228</v>
      </c>
    </row>
    <row r="160" spans="1:5">
      <c r="A160">
        <v>159</v>
      </c>
      <c r="B160">
        <v>2798</v>
      </c>
      <c r="C160" t="s">
        <v>242</v>
      </c>
      <c r="D160">
        <v>1.1000000000000001</v>
      </c>
      <c r="E160" t="s">
        <v>228</v>
      </c>
    </row>
    <row r="161" spans="1:5">
      <c r="A161">
        <v>160</v>
      </c>
      <c r="B161">
        <v>2814</v>
      </c>
      <c r="C161" t="s">
        <v>243</v>
      </c>
      <c r="D161">
        <v>2.1</v>
      </c>
      <c r="E161" t="s">
        <v>228</v>
      </c>
    </row>
    <row r="162" spans="1:5">
      <c r="A162">
        <v>161</v>
      </c>
      <c r="B162">
        <v>2830</v>
      </c>
      <c r="C162" t="s">
        <v>244</v>
      </c>
      <c r="D162">
        <v>1.8</v>
      </c>
      <c r="E162" t="s">
        <v>228</v>
      </c>
    </row>
    <row r="163" spans="1:5">
      <c r="A163">
        <v>162</v>
      </c>
      <c r="B163">
        <v>2846</v>
      </c>
      <c r="C163" t="s">
        <v>245</v>
      </c>
      <c r="D163">
        <v>1.2</v>
      </c>
      <c r="E163" t="s">
        <v>228</v>
      </c>
    </row>
    <row r="164" spans="1:5">
      <c r="A164">
        <v>163</v>
      </c>
      <c r="B164">
        <v>2862</v>
      </c>
      <c r="C164" t="s">
        <v>246</v>
      </c>
      <c r="D164">
        <v>0.6</v>
      </c>
      <c r="E164" t="s">
        <v>228</v>
      </c>
    </row>
    <row r="165" spans="1:5">
      <c r="A165">
        <v>164</v>
      </c>
      <c r="B165">
        <v>2878</v>
      </c>
      <c r="C165" t="s">
        <v>247</v>
      </c>
      <c r="D165">
        <v>1.1000000000000001</v>
      </c>
      <c r="E165" t="s">
        <v>228</v>
      </c>
    </row>
    <row r="166" spans="1:5">
      <c r="A166">
        <v>165</v>
      </c>
      <c r="B166">
        <v>2894</v>
      </c>
      <c r="C166" t="s">
        <v>248</v>
      </c>
      <c r="D166">
        <v>1.2</v>
      </c>
      <c r="E166" t="s">
        <v>228</v>
      </c>
    </row>
    <row r="167" spans="1:5">
      <c r="A167">
        <v>166</v>
      </c>
      <c r="B167">
        <v>2923</v>
      </c>
      <c r="C167" t="s">
        <v>249</v>
      </c>
      <c r="D167">
        <v>0.5</v>
      </c>
      <c r="E167" t="s">
        <v>228</v>
      </c>
    </row>
    <row r="168" spans="1:5">
      <c r="A168">
        <v>167</v>
      </c>
      <c r="B168">
        <v>2939</v>
      </c>
      <c r="C168" t="s">
        <v>250</v>
      </c>
      <c r="D168">
        <v>0.8</v>
      </c>
      <c r="E168" t="s">
        <v>228</v>
      </c>
    </row>
    <row r="169" spans="1:5">
      <c r="A169">
        <v>168</v>
      </c>
      <c r="B169">
        <v>2955</v>
      </c>
      <c r="C169" t="s">
        <v>251</v>
      </c>
      <c r="D169">
        <v>1.2</v>
      </c>
      <c r="E169" t="s">
        <v>228</v>
      </c>
    </row>
    <row r="170" spans="1:5">
      <c r="A170">
        <v>169</v>
      </c>
      <c r="B170">
        <v>2971</v>
      </c>
      <c r="C170" t="s">
        <v>252</v>
      </c>
      <c r="D170">
        <v>1.2</v>
      </c>
      <c r="E170" t="s">
        <v>228</v>
      </c>
    </row>
    <row r="171" spans="1:5">
      <c r="A171">
        <v>170</v>
      </c>
      <c r="B171">
        <v>2987</v>
      </c>
      <c r="C171" t="s">
        <v>253</v>
      </c>
      <c r="D171">
        <v>0.5</v>
      </c>
      <c r="E171" t="s">
        <v>228</v>
      </c>
    </row>
    <row r="172" spans="1:5">
      <c r="A172">
        <v>171</v>
      </c>
      <c r="B172">
        <v>3003</v>
      </c>
      <c r="C172" t="s">
        <v>254</v>
      </c>
      <c r="D172">
        <v>0.9</v>
      </c>
      <c r="E172" t="s">
        <v>228</v>
      </c>
    </row>
    <row r="173" spans="1:5">
      <c r="A173">
        <v>172</v>
      </c>
      <c r="B173">
        <v>3019</v>
      </c>
      <c r="C173" t="s">
        <v>255</v>
      </c>
      <c r="D173">
        <v>1.1000000000000001</v>
      </c>
      <c r="E173" t="s">
        <v>228</v>
      </c>
    </row>
    <row r="174" spans="1:5">
      <c r="A174">
        <v>173</v>
      </c>
      <c r="B174">
        <v>3035</v>
      </c>
      <c r="C174" t="s">
        <v>256</v>
      </c>
      <c r="D174">
        <v>0.8</v>
      </c>
      <c r="E174" t="s">
        <v>228</v>
      </c>
    </row>
    <row r="175" spans="1:5">
      <c r="A175">
        <v>174</v>
      </c>
      <c r="B175">
        <v>3051</v>
      </c>
      <c r="C175" t="s">
        <v>257</v>
      </c>
      <c r="D175">
        <v>0.9</v>
      </c>
      <c r="E175" t="s">
        <v>228</v>
      </c>
    </row>
    <row r="176" spans="1:5">
      <c r="A176">
        <v>175</v>
      </c>
      <c r="B176">
        <v>3080</v>
      </c>
      <c r="C176" t="s">
        <v>258</v>
      </c>
      <c r="D176">
        <v>1.1000000000000001</v>
      </c>
      <c r="E176" t="s">
        <v>228</v>
      </c>
    </row>
    <row r="177" spans="1:5">
      <c r="A177">
        <v>176</v>
      </c>
      <c r="B177">
        <v>3096</v>
      </c>
      <c r="C177" t="s">
        <v>259</v>
      </c>
      <c r="D177">
        <v>1.1000000000000001</v>
      </c>
      <c r="E177" t="s">
        <v>228</v>
      </c>
    </row>
    <row r="178" spans="1:5">
      <c r="A178">
        <v>177</v>
      </c>
      <c r="B178">
        <v>3112</v>
      </c>
      <c r="C178" t="s">
        <v>260</v>
      </c>
      <c r="D178">
        <v>1.7</v>
      </c>
      <c r="E178" t="s">
        <v>228</v>
      </c>
    </row>
    <row r="179" spans="1:5">
      <c r="A179">
        <v>178</v>
      </c>
      <c r="B179">
        <v>3128</v>
      </c>
      <c r="C179" t="s">
        <v>261</v>
      </c>
      <c r="D179">
        <v>0.5</v>
      </c>
      <c r="E179" t="s">
        <v>228</v>
      </c>
    </row>
    <row r="180" spans="1:5">
      <c r="A180">
        <v>179</v>
      </c>
      <c r="B180">
        <v>3144</v>
      </c>
      <c r="C180" t="s">
        <v>262</v>
      </c>
      <c r="D180">
        <v>0.9</v>
      </c>
      <c r="E180" t="s">
        <v>228</v>
      </c>
    </row>
    <row r="181" spans="1:5">
      <c r="A181">
        <v>180</v>
      </c>
      <c r="B181">
        <v>3160</v>
      </c>
      <c r="C181" t="s">
        <v>263</v>
      </c>
      <c r="D181">
        <v>0.8</v>
      </c>
      <c r="E181" t="s">
        <v>228</v>
      </c>
    </row>
    <row r="182" spans="1:5">
      <c r="A182">
        <v>181</v>
      </c>
      <c r="B182">
        <v>3189</v>
      </c>
      <c r="C182" t="s">
        <v>264</v>
      </c>
      <c r="D182">
        <v>1.1000000000000001</v>
      </c>
      <c r="E182" t="s">
        <v>228</v>
      </c>
    </row>
    <row r="183" spans="1:5">
      <c r="A183">
        <v>182</v>
      </c>
      <c r="B183">
        <v>3221</v>
      </c>
      <c r="C183" t="s">
        <v>265</v>
      </c>
      <c r="D183">
        <v>0.4</v>
      </c>
      <c r="E183" t="s">
        <v>228</v>
      </c>
    </row>
    <row r="184" spans="1:5">
      <c r="A184">
        <v>183</v>
      </c>
      <c r="B184">
        <v>3237</v>
      </c>
      <c r="C184" t="s">
        <v>266</v>
      </c>
      <c r="D184">
        <v>0.8</v>
      </c>
      <c r="E184" t="s">
        <v>228</v>
      </c>
    </row>
    <row r="185" spans="1:5">
      <c r="A185">
        <v>184</v>
      </c>
      <c r="B185">
        <v>3266</v>
      </c>
      <c r="C185" t="s">
        <v>267</v>
      </c>
      <c r="D185">
        <v>1.3</v>
      </c>
      <c r="E185" t="s">
        <v>228</v>
      </c>
    </row>
    <row r="186" spans="1:5">
      <c r="A186">
        <v>185</v>
      </c>
      <c r="B186">
        <v>3314</v>
      </c>
      <c r="C186" t="s">
        <v>268</v>
      </c>
      <c r="D186">
        <v>0.9</v>
      </c>
      <c r="E186" t="s">
        <v>228</v>
      </c>
    </row>
    <row r="187" spans="1:5">
      <c r="A187">
        <v>186</v>
      </c>
      <c r="B187">
        <v>3330</v>
      </c>
      <c r="C187" t="s">
        <v>112</v>
      </c>
      <c r="D187">
        <v>0.8</v>
      </c>
      <c r="E187" t="s">
        <v>228</v>
      </c>
    </row>
    <row r="188" spans="1:5">
      <c r="A188">
        <v>187</v>
      </c>
      <c r="B188">
        <v>3346</v>
      </c>
      <c r="C188" t="s">
        <v>269</v>
      </c>
      <c r="D188">
        <v>0.5</v>
      </c>
      <c r="E188" t="s">
        <v>228</v>
      </c>
    </row>
    <row r="189" spans="1:5">
      <c r="A189">
        <v>188</v>
      </c>
      <c r="B189">
        <v>3362</v>
      </c>
      <c r="C189" t="s">
        <v>270</v>
      </c>
      <c r="D189">
        <v>0.8</v>
      </c>
      <c r="E189" t="s">
        <v>228</v>
      </c>
    </row>
    <row r="190" spans="1:5">
      <c r="A190">
        <v>189</v>
      </c>
      <c r="B190">
        <v>3378</v>
      </c>
      <c r="C190" t="s">
        <v>271</v>
      </c>
      <c r="D190">
        <v>1.7</v>
      </c>
      <c r="E190" t="s">
        <v>228</v>
      </c>
    </row>
    <row r="191" spans="1:5">
      <c r="A191">
        <v>190</v>
      </c>
      <c r="B191">
        <v>3394</v>
      </c>
      <c r="C191" t="s">
        <v>272</v>
      </c>
      <c r="D191">
        <v>2.2999999999999998</v>
      </c>
      <c r="E191" t="s">
        <v>228</v>
      </c>
    </row>
    <row r="192" spans="1:5">
      <c r="A192">
        <v>191</v>
      </c>
      <c r="B192">
        <v>3423</v>
      </c>
      <c r="C192" t="s">
        <v>273</v>
      </c>
      <c r="D192">
        <v>0.5</v>
      </c>
      <c r="E192" t="s">
        <v>228</v>
      </c>
    </row>
    <row r="193" spans="1:5">
      <c r="A193">
        <v>192</v>
      </c>
      <c r="B193">
        <v>3439</v>
      </c>
      <c r="C193" t="s">
        <v>274</v>
      </c>
      <c r="D193">
        <v>1</v>
      </c>
      <c r="E193" t="s">
        <v>228</v>
      </c>
    </row>
    <row r="194" spans="1:5">
      <c r="A194">
        <v>193</v>
      </c>
      <c r="B194">
        <v>3455</v>
      </c>
      <c r="C194" t="s">
        <v>101</v>
      </c>
      <c r="D194">
        <v>0.6</v>
      </c>
      <c r="E194" t="s">
        <v>228</v>
      </c>
    </row>
    <row r="195" spans="1:5">
      <c r="A195">
        <v>194</v>
      </c>
      <c r="B195">
        <v>3471</v>
      </c>
      <c r="C195" t="s">
        <v>275</v>
      </c>
      <c r="D195">
        <v>1.1000000000000001</v>
      </c>
      <c r="E195" t="s">
        <v>228</v>
      </c>
    </row>
    <row r="196" spans="1:5">
      <c r="A196">
        <v>195</v>
      </c>
      <c r="B196">
        <v>3487</v>
      </c>
      <c r="C196" t="s">
        <v>276</v>
      </c>
      <c r="D196">
        <v>1.7</v>
      </c>
      <c r="E196" t="s">
        <v>277</v>
      </c>
    </row>
    <row r="197" spans="1:5">
      <c r="A197">
        <v>196</v>
      </c>
      <c r="B197">
        <v>3503</v>
      </c>
      <c r="C197" t="s">
        <v>278</v>
      </c>
      <c r="D197">
        <v>1.4</v>
      </c>
      <c r="E197" t="s">
        <v>277</v>
      </c>
    </row>
    <row r="198" spans="1:5">
      <c r="A198">
        <v>197</v>
      </c>
      <c r="B198">
        <v>3519</v>
      </c>
      <c r="C198" t="s">
        <v>279</v>
      </c>
      <c r="D198">
        <v>1.3</v>
      </c>
      <c r="E198" t="s">
        <v>277</v>
      </c>
    </row>
    <row r="199" spans="1:5">
      <c r="A199">
        <v>198</v>
      </c>
      <c r="B199">
        <v>3535</v>
      </c>
      <c r="C199" t="s">
        <v>280</v>
      </c>
      <c r="D199">
        <v>1.2</v>
      </c>
      <c r="E199" t="s">
        <v>277</v>
      </c>
    </row>
    <row r="200" spans="1:5">
      <c r="A200">
        <v>199</v>
      </c>
      <c r="B200">
        <v>3564</v>
      </c>
      <c r="C200" t="s">
        <v>281</v>
      </c>
      <c r="D200">
        <v>1.2</v>
      </c>
      <c r="E200" t="s">
        <v>277</v>
      </c>
    </row>
    <row r="201" spans="1:5">
      <c r="A201">
        <v>200</v>
      </c>
      <c r="B201">
        <v>3580</v>
      </c>
      <c r="C201" t="s">
        <v>282</v>
      </c>
      <c r="D201">
        <v>1.2</v>
      </c>
      <c r="E201" t="s">
        <v>277</v>
      </c>
    </row>
    <row r="202" spans="1:5">
      <c r="A202">
        <v>201</v>
      </c>
      <c r="B202">
        <v>3596</v>
      </c>
      <c r="C202" t="s">
        <v>283</v>
      </c>
      <c r="D202">
        <v>1.1000000000000001</v>
      </c>
      <c r="E202" t="s">
        <v>277</v>
      </c>
    </row>
    <row r="203" spans="1:5">
      <c r="A203">
        <v>202</v>
      </c>
      <c r="B203">
        <v>3612</v>
      </c>
      <c r="C203" t="s">
        <v>284</v>
      </c>
      <c r="D203">
        <v>4.2</v>
      </c>
      <c r="E203" t="s">
        <v>277</v>
      </c>
    </row>
    <row r="204" spans="1:5">
      <c r="A204">
        <v>203</v>
      </c>
      <c r="B204">
        <v>3628</v>
      </c>
      <c r="C204" t="s">
        <v>285</v>
      </c>
      <c r="D204">
        <v>0.9</v>
      </c>
      <c r="E204" t="s">
        <v>277</v>
      </c>
    </row>
    <row r="205" spans="1:5">
      <c r="A205">
        <v>204</v>
      </c>
      <c r="B205">
        <v>3644</v>
      </c>
      <c r="C205" t="s">
        <v>286</v>
      </c>
      <c r="D205">
        <v>0.7</v>
      </c>
      <c r="E205" t="s">
        <v>277</v>
      </c>
    </row>
    <row r="206" spans="1:5">
      <c r="A206">
        <v>205</v>
      </c>
      <c r="B206">
        <v>3660</v>
      </c>
      <c r="C206" t="s">
        <v>287</v>
      </c>
      <c r="D206">
        <v>0.7</v>
      </c>
      <c r="E206" t="s">
        <v>277</v>
      </c>
    </row>
    <row r="207" spans="1:5">
      <c r="A207">
        <v>206</v>
      </c>
      <c r="B207">
        <v>3676</v>
      </c>
      <c r="C207" t="s">
        <v>288</v>
      </c>
      <c r="D207">
        <v>0.8</v>
      </c>
      <c r="E207" t="s">
        <v>277</v>
      </c>
    </row>
    <row r="208" spans="1:5">
      <c r="A208">
        <v>207</v>
      </c>
      <c r="B208">
        <v>3692</v>
      </c>
      <c r="C208" t="s">
        <v>289</v>
      </c>
      <c r="D208">
        <v>0.4</v>
      </c>
      <c r="E208" t="s">
        <v>277</v>
      </c>
    </row>
    <row r="209" spans="1:5">
      <c r="A209">
        <v>208</v>
      </c>
      <c r="B209">
        <v>3721</v>
      </c>
      <c r="C209" t="s">
        <v>290</v>
      </c>
      <c r="D209">
        <v>1.8</v>
      </c>
      <c r="E209" t="s">
        <v>277</v>
      </c>
    </row>
    <row r="210" spans="1:5">
      <c r="A210">
        <v>209</v>
      </c>
      <c r="B210">
        <v>3737</v>
      </c>
      <c r="C210" t="s">
        <v>291</v>
      </c>
      <c r="D210">
        <v>0.9</v>
      </c>
      <c r="E210" t="s">
        <v>277</v>
      </c>
    </row>
    <row r="211" spans="1:5">
      <c r="A211">
        <v>210</v>
      </c>
      <c r="B211">
        <v>3766</v>
      </c>
      <c r="C211" t="s">
        <v>292</v>
      </c>
      <c r="D211">
        <v>1.5</v>
      </c>
      <c r="E211" t="s">
        <v>277</v>
      </c>
    </row>
    <row r="212" spans="1:5">
      <c r="A212">
        <v>211</v>
      </c>
      <c r="B212">
        <v>3795</v>
      </c>
      <c r="C212" t="s">
        <v>293</v>
      </c>
      <c r="D212">
        <v>1</v>
      </c>
      <c r="E212" t="s">
        <v>277</v>
      </c>
    </row>
    <row r="213" spans="1:5">
      <c r="A213">
        <v>212</v>
      </c>
      <c r="B213">
        <v>3811</v>
      </c>
      <c r="C213" t="s">
        <v>294</v>
      </c>
      <c r="D213">
        <v>1</v>
      </c>
      <c r="E213" t="s">
        <v>277</v>
      </c>
    </row>
    <row r="214" spans="1:5">
      <c r="A214">
        <v>213</v>
      </c>
      <c r="B214">
        <v>3827</v>
      </c>
      <c r="C214" t="s">
        <v>295</v>
      </c>
      <c r="D214">
        <v>1.1000000000000001</v>
      </c>
      <c r="E214" t="s">
        <v>277</v>
      </c>
    </row>
    <row r="215" spans="1:5">
      <c r="A215">
        <v>214</v>
      </c>
      <c r="B215">
        <v>3843</v>
      </c>
      <c r="C215" t="s">
        <v>259</v>
      </c>
      <c r="D215">
        <v>1.1000000000000001</v>
      </c>
      <c r="E215" t="s">
        <v>277</v>
      </c>
    </row>
    <row r="216" spans="1:5">
      <c r="A216">
        <v>215</v>
      </c>
      <c r="B216">
        <v>3859</v>
      </c>
      <c r="C216" t="s">
        <v>296</v>
      </c>
      <c r="D216">
        <v>0.8</v>
      </c>
      <c r="E216" t="s">
        <v>277</v>
      </c>
    </row>
    <row r="217" spans="1:5">
      <c r="A217">
        <v>216</v>
      </c>
      <c r="B217">
        <v>3875</v>
      </c>
      <c r="C217" t="s">
        <v>102</v>
      </c>
      <c r="D217">
        <v>0.5</v>
      </c>
      <c r="E217" t="s">
        <v>277</v>
      </c>
    </row>
    <row r="218" spans="1:5">
      <c r="A218">
        <v>217</v>
      </c>
      <c r="B218">
        <v>3891</v>
      </c>
      <c r="C218" t="s">
        <v>297</v>
      </c>
      <c r="D218">
        <v>0.4</v>
      </c>
      <c r="E218" t="s">
        <v>277</v>
      </c>
    </row>
    <row r="219" spans="1:5">
      <c r="A219">
        <v>218</v>
      </c>
      <c r="B219">
        <v>3907</v>
      </c>
      <c r="C219" t="s">
        <v>100</v>
      </c>
      <c r="D219">
        <v>1.2</v>
      </c>
      <c r="E219" t="s">
        <v>277</v>
      </c>
    </row>
    <row r="220" spans="1:5">
      <c r="A220">
        <v>219</v>
      </c>
      <c r="B220">
        <v>3923</v>
      </c>
      <c r="C220" t="s">
        <v>298</v>
      </c>
      <c r="D220">
        <v>1.3</v>
      </c>
      <c r="E220" t="s">
        <v>277</v>
      </c>
    </row>
    <row r="221" spans="1:5">
      <c r="A221">
        <v>220</v>
      </c>
      <c r="B221">
        <v>3952</v>
      </c>
      <c r="C221" t="s">
        <v>299</v>
      </c>
      <c r="D221">
        <v>0.4</v>
      </c>
      <c r="E221" t="s">
        <v>277</v>
      </c>
    </row>
    <row r="222" spans="1:5">
      <c r="A222">
        <v>221</v>
      </c>
      <c r="B222">
        <v>3968</v>
      </c>
      <c r="C222" t="s">
        <v>300</v>
      </c>
      <c r="D222">
        <v>0.9</v>
      </c>
      <c r="E222" t="s">
        <v>277</v>
      </c>
    </row>
    <row r="223" spans="1:5">
      <c r="A223">
        <v>222</v>
      </c>
      <c r="B223">
        <v>3984</v>
      </c>
      <c r="C223" t="s">
        <v>301</v>
      </c>
      <c r="D223">
        <v>1</v>
      </c>
      <c r="E223" t="s">
        <v>277</v>
      </c>
    </row>
    <row r="224" spans="1:5">
      <c r="A224">
        <v>223</v>
      </c>
      <c r="B224">
        <v>4000</v>
      </c>
      <c r="C224" t="s">
        <v>302</v>
      </c>
      <c r="D224">
        <v>1.4</v>
      </c>
      <c r="E224" t="s">
        <v>277</v>
      </c>
    </row>
    <row r="225" spans="1:5">
      <c r="A225">
        <v>224</v>
      </c>
      <c r="B225">
        <v>4016</v>
      </c>
      <c r="C225" t="s">
        <v>303</v>
      </c>
      <c r="D225">
        <v>1.3</v>
      </c>
      <c r="E225" t="s">
        <v>277</v>
      </c>
    </row>
    <row r="226" spans="1:5">
      <c r="A226">
        <v>225</v>
      </c>
      <c r="B226">
        <v>4032</v>
      </c>
      <c r="C226" t="s">
        <v>304</v>
      </c>
      <c r="D226">
        <v>1.6</v>
      </c>
      <c r="E226" t="s">
        <v>277</v>
      </c>
    </row>
    <row r="227" spans="1:5">
      <c r="A227">
        <v>226</v>
      </c>
      <c r="B227">
        <v>4048</v>
      </c>
      <c r="C227" t="s">
        <v>305</v>
      </c>
      <c r="D227">
        <v>3</v>
      </c>
      <c r="E227" t="s">
        <v>277</v>
      </c>
    </row>
    <row r="228" spans="1:5">
      <c r="A228">
        <v>227</v>
      </c>
      <c r="B228">
        <v>4093</v>
      </c>
      <c r="C228" t="s">
        <v>306</v>
      </c>
      <c r="D228">
        <v>1.5</v>
      </c>
      <c r="E228" t="s">
        <v>277</v>
      </c>
    </row>
    <row r="229" spans="1:5">
      <c r="A229">
        <v>228</v>
      </c>
      <c r="B229">
        <v>4109</v>
      </c>
      <c r="C229" t="s">
        <v>282</v>
      </c>
      <c r="D229">
        <v>1.2</v>
      </c>
      <c r="E229" t="s">
        <v>277</v>
      </c>
    </row>
    <row r="230" spans="1:5">
      <c r="A230">
        <v>229</v>
      </c>
      <c r="B230">
        <v>4125</v>
      </c>
      <c r="C230" t="s">
        <v>307</v>
      </c>
      <c r="D230">
        <v>0.7</v>
      </c>
      <c r="E230" t="s">
        <v>277</v>
      </c>
    </row>
    <row r="231" spans="1:5">
      <c r="A231">
        <v>230</v>
      </c>
      <c r="B231">
        <v>4141</v>
      </c>
      <c r="C231" t="s">
        <v>308</v>
      </c>
      <c r="D231">
        <v>0.6</v>
      </c>
      <c r="E231" t="s">
        <v>277</v>
      </c>
    </row>
    <row r="232" spans="1:5">
      <c r="A232">
        <v>231</v>
      </c>
      <c r="B232">
        <v>4157</v>
      </c>
      <c r="C232" t="s">
        <v>309</v>
      </c>
      <c r="D232">
        <v>0.8</v>
      </c>
      <c r="E232" t="s">
        <v>277</v>
      </c>
    </row>
    <row r="233" spans="1:5">
      <c r="A233">
        <v>232</v>
      </c>
      <c r="B233">
        <v>4173</v>
      </c>
      <c r="C233" t="s">
        <v>310</v>
      </c>
      <c r="D233">
        <v>1.5</v>
      </c>
      <c r="E233" t="s">
        <v>277</v>
      </c>
    </row>
    <row r="234" spans="1:5">
      <c r="A234">
        <v>233</v>
      </c>
      <c r="B234">
        <v>4202</v>
      </c>
      <c r="C234" t="s">
        <v>311</v>
      </c>
      <c r="D234">
        <v>0.7</v>
      </c>
      <c r="E234" t="s">
        <v>277</v>
      </c>
    </row>
    <row r="235" spans="1:5">
      <c r="A235">
        <v>234</v>
      </c>
      <c r="B235">
        <v>4218</v>
      </c>
      <c r="C235" t="s">
        <v>312</v>
      </c>
      <c r="D235">
        <v>0.8</v>
      </c>
      <c r="E235" t="s">
        <v>277</v>
      </c>
    </row>
    <row r="236" spans="1:5">
      <c r="A236">
        <v>235</v>
      </c>
      <c r="B236">
        <v>4234</v>
      </c>
      <c r="C236" t="s">
        <v>313</v>
      </c>
      <c r="D236">
        <v>1.4</v>
      </c>
      <c r="E236" t="s">
        <v>277</v>
      </c>
    </row>
    <row r="237" spans="1:5">
      <c r="A237">
        <v>236</v>
      </c>
      <c r="B237">
        <v>4250</v>
      </c>
      <c r="C237" t="s">
        <v>148</v>
      </c>
      <c r="D237">
        <v>0.9</v>
      </c>
      <c r="E237" t="s">
        <v>277</v>
      </c>
    </row>
    <row r="238" spans="1:5">
      <c r="A238">
        <v>237</v>
      </c>
      <c r="B238">
        <v>4266</v>
      </c>
      <c r="C238" t="s">
        <v>314</v>
      </c>
      <c r="D238">
        <v>1.6</v>
      </c>
      <c r="E238" t="s">
        <v>277</v>
      </c>
    </row>
    <row r="239" spans="1:5">
      <c r="A239">
        <v>238</v>
      </c>
      <c r="B239">
        <v>4282</v>
      </c>
      <c r="C239" t="s">
        <v>315</v>
      </c>
      <c r="D239">
        <v>1.1000000000000001</v>
      </c>
      <c r="E239" t="s">
        <v>277</v>
      </c>
    </row>
    <row r="240" spans="1:5">
      <c r="A240">
        <v>239</v>
      </c>
      <c r="B240">
        <v>4298</v>
      </c>
      <c r="C240" t="s">
        <v>316</v>
      </c>
      <c r="D240">
        <v>0.9</v>
      </c>
      <c r="E240" t="s">
        <v>317</v>
      </c>
    </row>
    <row r="241" spans="1:5">
      <c r="A241">
        <v>240</v>
      </c>
      <c r="B241">
        <v>4314</v>
      </c>
      <c r="C241" t="s">
        <v>318</v>
      </c>
      <c r="D241">
        <v>0.5</v>
      </c>
      <c r="E241" t="s">
        <v>317</v>
      </c>
    </row>
    <row r="242" spans="1:5">
      <c r="A242">
        <v>241</v>
      </c>
      <c r="B242">
        <v>4330</v>
      </c>
      <c r="C242" t="s">
        <v>319</v>
      </c>
      <c r="D242">
        <v>1.6</v>
      </c>
      <c r="E242" t="s">
        <v>317</v>
      </c>
    </row>
    <row r="243" spans="1:5">
      <c r="A243">
        <v>242</v>
      </c>
      <c r="B243">
        <v>4359</v>
      </c>
      <c r="C243" t="s">
        <v>320</v>
      </c>
      <c r="D243">
        <v>1.1000000000000001</v>
      </c>
      <c r="E243" t="s">
        <v>317</v>
      </c>
    </row>
    <row r="244" spans="1:5">
      <c r="A244">
        <v>243</v>
      </c>
      <c r="B244">
        <v>4375</v>
      </c>
      <c r="C244" t="s">
        <v>321</v>
      </c>
      <c r="D244">
        <v>0.9</v>
      </c>
      <c r="E244" t="s">
        <v>317</v>
      </c>
    </row>
    <row r="245" spans="1:5">
      <c r="A245">
        <v>244</v>
      </c>
      <c r="B245">
        <v>4391</v>
      </c>
      <c r="C245" t="s">
        <v>322</v>
      </c>
      <c r="D245">
        <v>1</v>
      </c>
      <c r="E245" t="s">
        <v>317</v>
      </c>
    </row>
    <row r="246" spans="1:5">
      <c r="A246">
        <v>245</v>
      </c>
      <c r="B246">
        <v>4407</v>
      </c>
      <c r="C246" t="s">
        <v>132</v>
      </c>
      <c r="D246">
        <v>1.1000000000000001</v>
      </c>
      <c r="E246" t="s">
        <v>317</v>
      </c>
    </row>
    <row r="247" spans="1:5">
      <c r="A247">
        <v>246</v>
      </c>
      <c r="B247">
        <v>4423</v>
      </c>
      <c r="C247" t="s">
        <v>323</v>
      </c>
      <c r="D247">
        <v>1.2</v>
      </c>
      <c r="E247" t="s">
        <v>317</v>
      </c>
    </row>
    <row r="248" spans="1:5">
      <c r="A248">
        <v>247</v>
      </c>
      <c r="B248">
        <v>4439</v>
      </c>
      <c r="C248" t="s">
        <v>324</v>
      </c>
      <c r="D248">
        <v>0.6</v>
      </c>
      <c r="E248" t="s">
        <v>317</v>
      </c>
    </row>
    <row r="249" spans="1:5">
      <c r="A249">
        <v>248</v>
      </c>
      <c r="B249">
        <v>4455</v>
      </c>
      <c r="C249" t="s">
        <v>325</v>
      </c>
      <c r="D249">
        <v>1.3</v>
      </c>
      <c r="E249" t="s">
        <v>317</v>
      </c>
    </row>
    <row r="250" spans="1:5">
      <c r="A250">
        <v>249</v>
      </c>
      <c r="B250">
        <v>4471</v>
      </c>
      <c r="C250" t="s">
        <v>326</v>
      </c>
      <c r="D250">
        <v>1.3</v>
      </c>
      <c r="E250" t="s">
        <v>317</v>
      </c>
    </row>
    <row r="251" spans="1:5">
      <c r="A251">
        <v>250</v>
      </c>
      <c r="B251">
        <v>4487</v>
      </c>
      <c r="C251" t="s">
        <v>327</v>
      </c>
      <c r="D251">
        <v>1.1000000000000001</v>
      </c>
      <c r="E251" t="s">
        <v>317</v>
      </c>
    </row>
    <row r="252" spans="1:5">
      <c r="A252">
        <v>251</v>
      </c>
      <c r="B252">
        <v>4503</v>
      </c>
      <c r="C252" t="s">
        <v>328</v>
      </c>
      <c r="D252">
        <v>0.6</v>
      </c>
      <c r="E252" t="s">
        <v>317</v>
      </c>
    </row>
    <row r="253" spans="1:5">
      <c r="A253">
        <v>252</v>
      </c>
      <c r="B253">
        <v>4532</v>
      </c>
      <c r="C253" t="s">
        <v>329</v>
      </c>
      <c r="D253">
        <v>0.5</v>
      </c>
      <c r="E253" t="s">
        <v>317</v>
      </c>
    </row>
    <row r="254" spans="1:5">
      <c r="A254">
        <v>253</v>
      </c>
      <c r="B254">
        <v>4548</v>
      </c>
      <c r="C254" t="s">
        <v>330</v>
      </c>
      <c r="D254">
        <v>1</v>
      </c>
      <c r="E254" t="s">
        <v>317</v>
      </c>
    </row>
    <row r="255" spans="1:5">
      <c r="A255">
        <v>254</v>
      </c>
      <c r="B255">
        <v>4564</v>
      </c>
      <c r="C255" t="s">
        <v>331</v>
      </c>
      <c r="D255">
        <v>1.2</v>
      </c>
      <c r="E255" t="s">
        <v>317</v>
      </c>
    </row>
    <row r="256" spans="1:5">
      <c r="A256">
        <v>255</v>
      </c>
      <c r="B256">
        <v>4580</v>
      </c>
      <c r="C256" t="s">
        <v>332</v>
      </c>
      <c r="D256">
        <v>2</v>
      </c>
      <c r="E256" t="s">
        <v>317</v>
      </c>
    </row>
    <row r="257" spans="1:5">
      <c r="A257">
        <v>256</v>
      </c>
      <c r="B257">
        <v>4596</v>
      </c>
      <c r="C257" t="s">
        <v>333</v>
      </c>
      <c r="D257">
        <v>0.4</v>
      </c>
      <c r="E257" t="s">
        <v>317</v>
      </c>
    </row>
    <row r="258" spans="1:5">
      <c r="A258">
        <v>257</v>
      </c>
      <c r="B258">
        <v>4625</v>
      </c>
      <c r="C258" t="s">
        <v>334</v>
      </c>
      <c r="D258">
        <v>0.6</v>
      </c>
      <c r="E258" t="s">
        <v>335</v>
      </c>
    </row>
    <row r="259" spans="1:5">
      <c r="A259">
        <v>258</v>
      </c>
      <c r="B259">
        <v>4641</v>
      </c>
      <c r="C259" t="s">
        <v>336</v>
      </c>
      <c r="D259">
        <v>1</v>
      </c>
      <c r="E259" t="s">
        <v>335</v>
      </c>
    </row>
    <row r="260" spans="1:5">
      <c r="A260">
        <v>259</v>
      </c>
      <c r="B260">
        <v>4657</v>
      </c>
      <c r="C260" t="s">
        <v>337</v>
      </c>
      <c r="D260">
        <v>1.5</v>
      </c>
      <c r="E260" t="s">
        <v>335</v>
      </c>
    </row>
    <row r="261" spans="1:5">
      <c r="A261">
        <v>260</v>
      </c>
      <c r="B261">
        <v>4673</v>
      </c>
      <c r="C261" t="s">
        <v>338</v>
      </c>
      <c r="D261">
        <v>2.1</v>
      </c>
      <c r="E261" t="s">
        <v>335</v>
      </c>
    </row>
    <row r="262" spans="1:5">
      <c r="A262">
        <v>261</v>
      </c>
      <c r="B262">
        <v>4689</v>
      </c>
      <c r="C262" t="s">
        <v>189</v>
      </c>
      <c r="D262">
        <v>0.8</v>
      </c>
      <c r="E262" t="s">
        <v>335</v>
      </c>
    </row>
    <row r="263" spans="1:5">
      <c r="A263">
        <v>262</v>
      </c>
      <c r="B263">
        <v>4705</v>
      </c>
      <c r="C263" t="s">
        <v>339</v>
      </c>
      <c r="D263">
        <v>1.1000000000000001</v>
      </c>
      <c r="E263" t="s">
        <v>335</v>
      </c>
    </row>
    <row r="264" spans="1:5">
      <c r="A264">
        <v>263</v>
      </c>
      <c r="B264">
        <v>4734</v>
      </c>
      <c r="C264" t="s">
        <v>340</v>
      </c>
      <c r="D264">
        <v>2.2000000000000002</v>
      </c>
      <c r="E264" t="s">
        <v>335</v>
      </c>
    </row>
    <row r="265" spans="1:5">
      <c r="A265">
        <v>264</v>
      </c>
      <c r="B265">
        <v>4750</v>
      </c>
      <c r="C265" t="s">
        <v>341</v>
      </c>
      <c r="D265">
        <v>0.3</v>
      </c>
      <c r="E265" t="s">
        <v>335</v>
      </c>
    </row>
    <row r="266" spans="1:5">
      <c r="A266">
        <v>265</v>
      </c>
      <c r="B266">
        <v>4766</v>
      </c>
      <c r="C266" t="s">
        <v>342</v>
      </c>
      <c r="D266">
        <v>2.8</v>
      </c>
      <c r="E266" t="s">
        <v>335</v>
      </c>
    </row>
    <row r="267" spans="1:5">
      <c r="A267">
        <v>266</v>
      </c>
      <c r="B267">
        <v>4795</v>
      </c>
      <c r="C267" t="s">
        <v>343</v>
      </c>
      <c r="D267">
        <v>1</v>
      </c>
      <c r="E267" t="s">
        <v>335</v>
      </c>
    </row>
    <row r="268" spans="1:5">
      <c r="A268">
        <v>267</v>
      </c>
      <c r="B268">
        <v>4811</v>
      </c>
      <c r="C268" t="s">
        <v>344</v>
      </c>
      <c r="D268">
        <v>1.1000000000000001</v>
      </c>
      <c r="E268" t="s">
        <v>335</v>
      </c>
    </row>
    <row r="269" spans="1:5">
      <c r="A269">
        <v>268</v>
      </c>
      <c r="B269">
        <v>4827</v>
      </c>
      <c r="C269" t="s">
        <v>345</v>
      </c>
      <c r="D269">
        <v>0.5</v>
      </c>
      <c r="E269" t="s">
        <v>335</v>
      </c>
    </row>
    <row r="270" spans="1:5">
      <c r="A270">
        <v>269</v>
      </c>
      <c r="B270">
        <v>4843</v>
      </c>
      <c r="C270" t="s">
        <v>346</v>
      </c>
      <c r="D270">
        <v>1.3</v>
      </c>
      <c r="E270" t="s">
        <v>335</v>
      </c>
    </row>
    <row r="271" spans="1:5">
      <c r="A271">
        <v>270</v>
      </c>
      <c r="B271">
        <v>4859</v>
      </c>
      <c r="C271" t="s">
        <v>347</v>
      </c>
      <c r="D271">
        <v>1.2</v>
      </c>
      <c r="E271" t="s">
        <v>335</v>
      </c>
    </row>
    <row r="272" spans="1:5">
      <c r="A272">
        <v>271</v>
      </c>
      <c r="B272">
        <v>4875</v>
      </c>
      <c r="C272" t="s">
        <v>348</v>
      </c>
      <c r="D272">
        <v>1.5</v>
      </c>
      <c r="E272" t="s">
        <v>335</v>
      </c>
    </row>
    <row r="273" spans="1:5">
      <c r="A273">
        <v>272</v>
      </c>
      <c r="B273">
        <v>4891</v>
      </c>
      <c r="C273" t="s">
        <v>349</v>
      </c>
      <c r="D273">
        <v>1.5</v>
      </c>
      <c r="E273" t="s">
        <v>335</v>
      </c>
    </row>
    <row r="274" spans="1:5">
      <c r="A274">
        <v>273</v>
      </c>
      <c r="B274">
        <v>4920</v>
      </c>
      <c r="C274" t="s">
        <v>350</v>
      </c>
      <c r="D274">
        <v>0.7</v>
      </c>
      <c r="E274" t="s">
        <v>335</v>
      </c>
    </row>
    <row r="275" spans="1:5">
      <c r="A275">
        <v>274</v>
      </c>
      <c r="B275">
        <v>4936</v>
      </c>
      <c r="C275" t="s">
        <v>351</v>
      </c>
      <c r="D275">
        <v>1</v>
      </c>
      <c r="E275" t="s">
        <v>335</v>
      </c>
    </row>
    <row r="276" spans="1:5">
      <c r="A276">
        <v>275</v>
      </c>
      <c r="B276">
        <v>4952</v>
      </c>
      <c r="C276" t="s">
        <v>352</v>
      </c>
      <c r="D276">
        <v>1.1000000000000001</v>
      </c>
      <c r="E276" t="s">
        <v>335</v>
      </c>
    </row>
    <row r="277" spans="1:5">
      <c r="A277">
        <v>276</v>
      </c>
      <c r="B277">
        <v>4968</v>
      </c>
      <c r="C277" t="s">
        <v>178</v>
      </c>
      <c r="D277">
        <v>0.6</v>
      </c>
      <c r="E277" t="s">
        <v>335</v>
      </c>
    </row>
    <row r="278" spans="1:5">
      <c r="A278">
        <v>277</v>
      </c>
      <c r="B278">
        <v>4984</v>
      </c>
      <c r="C278" t="s">
        <v>353</v>
      </c>
      <c r="D278">
        <v>0.8</v>
      </c>
      <c r="E278" t="s">
        <v>335</v>
      </c>
    </row>
    <row r="279" spans="1:5">
      <c r="A279">
        <v>278</v>
      </c>
      <c r="B279">
        <v>5000</v>
      </c>
      <c r="C279" t="s">
        <v>354</v>
      </c>
      <c r="D279">
        <v>0.6</v>
      </c>
      <c r="E279" t="s">
        <v>335</v>
      </c>
    </row>
    <row r="280" spans="1:5">
      <c r="A280">
        <v>279</v>
      </c>
      <c r="B280">
        <v>5016</v>
      </c>
      <c r="C280" t="s">
        <v>355</v>
      </c>
      <c r="D280">
        <v>1.4</v>
      </c>
      <c r="E280" t="s">
        <v>335</v>
      </c>
    </row>
    <row r="281" spans="1:5">
      <c r="A281">
        <v>280</v>
      </c>
      <c r="B281">
        <v>5045</v>
      </c>
      <c r="C281" t="s">
        <v>356</v>
      </c>
      <c r="D281">
        <v>0.9</v>
      </c>
      <c r="E281" t="s">
        <v>335</v>
      </c>
    </row>
    <row r="282" spans="1:5">
      <c r="A282">
        <v>281</v>
      </c>
      <c r="B282">
        <v>5061</v>
      </c>
      <c r="C282" t="s">
        <v>357</v>
      </c>
      <c r="D282">
        <v>1.2</v>
      </c>
      <c r="E282" t="s">
        <v>335</v>
      </c>
    </row>
    <row r="283" spans="1:5">
      <c r="A283">
        <v>282</v>
      </c>
      <c r="B283">
        <v>5077</v>
      </c>
      <c r="C283" t="s">
        <v>358</v>
      </c>
      <c r="D283">
        <v>1.1000000000000001</v>
      </c>
      <c r="E283" t="s">
        <v>335</v>
      </c>
    </row>
    <row r="284" spans="1:5">
      <c r="A284">
        <v>283</v>
      </c>
      <c r="B284">
        <v>5093</v>
      </c>
      <c r="C284" t="s">
        <v>261</v>
      </c>
      <c r="D284">
        <v>0.5</v>
      </c>
      <c r="E284" t="s">
        <v>335</v>
      </c>
    </row>
    <row r="285" spans="1:5">
      <c r="A285">
        <v>284</v>
      </c>
      <c r="B285">
        <v>5109</v>
      </c>
      <c r="C285" t="s">
        <v>359</v>
      </c>
      <c r="D285">
        <v>0.9</v>
      </c>
      <c r="E285" t="s">
        <v>335</v>
      </c>
    </row>
    <row r="286" spans="1:5">
      <c r="A286">
        <v>285</v>
      </c>
      <c r="B286">
        <v>5125</v>
      </c>
      <c r="C286" t="s">
        <v>360</v>
      </c>
      <c r="D286">
        <v>0.3</v>
      </c>
      <c r="E286" t="s">
        <v>335</v>
      </c>
    </row>
    <row r="287" spans="1:5">
      <c r="A287">
        <v>286</v>
      </c>
      <c r="B287">
        <v>5141</v>
      </c>
      <c r="C287" t="s">
        <v>112</v>
      </c>
      <c r="D287">
        <v>0.8</v>
      </c>
      <c r="E287" t="s">
        <v>335</v>
      </c>
    </row>
    <row r="288" spans="1:5">
      <c r="A288">
        <v>287</v>
      </c>
      <c r="B288">
        <v>5170</v>
      </c>
      <c r="C288" t="s">
        <v>361</v>
      </c>
      <c r="D288">
        <v>0.8</v>
      </c>
      <c r="E288" t="s">
        <v>335</v>
      </c>
    </row>
    <row r="289" spans="1:5">
      <c r="A289">
        <v>288</v>
      </c>
      <c r="B289">
        <v>5186</v>
      </c>
      <c r="C289" t="s">
        <v>362</v>
      </c>
      <c r="D289">
        <v>1.1000000000000001</v>
      </c>
      <c r="E289" t="s">
        <v>335</v>
      </c>
    </row>
    <row r="290" spans="1:5">
      <c r="A290">
        <v>289</v>
      </c>
      <c r="B290">
        <v>5202</v>
      </c>
      <c r="C290" t="s">
        <v>350</v>
      </c>
      <c r="D290">
        <v>0.7</v>
      </c>
      <c r="E290" t="s">
        <v>335</v>
      </c>
    </row>
    <row r="291" spans="1:5">
      <c r="A291">
        <v>290</v>
      </c>
      <c r="B291">
        <v>5231</v>
      </c>
      <c r="C291" t="s">
        <v>75</v>
      </c>
      <c r="D291">
        <v>0.8</v>
      </c>
      <c r="E291" t="s">
        <v>335</v>
      </c>
    </row>
    <row r="292" spans="1:5">
      <c r="A292">
        <v>291</v>
      </c>
      <c r="B292">
        <v>5247</v>
      </c>
      <c r="C292" t="s">
        <v>363</v>
      </c>
      <c r="D292">
        <v>0.5</v>
      </c>
      <c r="E292" t="s">
        <v>335</v>
      </c>
    </row>
    <row r="293" spans="1:5">
      <c r="A293">
        <v>292</v>
      </c>
      <c r="B293">
        <v>5263</v>
      </c>
      <c r="C293" t="s">
        <v>364</v>
      </c>
      <c r="D293">
        <v>0.6</v>
      </c>
      <c r="E293" t="s">
        <v>335</v>
      </c>
    </row>
    <row r="294" spans="1:5">
      <c r="A294">
        <v>293</v>
      </c>
      <c r="B294">
        <v>5279</v>
      </c>
      <c r="C294" t="s">
        <v>365</v>
      </c>
      <c r="D294">
        <v>0.8</v>
      </c>
      <c r="E294" t="s">
        <v>335</v>
      </c>
    </row>
    <row r="295" spans="1:5">
      <c r="A295">
        <v>294</v>
      </c>
      <c r="B295">
        <v>5295</v>
      </c>
      <c r="C295" t="s">
        <v>366</v>
      </c>
      <c r="D295">
        <v>0.9</v>
      </c>
      <c r="E295" t="s">
        <v>335</v>
      </c>
    </row>
    <row r="296" spans="1:5">
      <c r="A296">
        <v>295</v>
      </c>
      <c r="B296">
        <v>5324</v>
      </c>
      <c r="C296" t="s">
        <v>232</v>
      </c>
      <c r="D296">
        <v>0.7</v>
      </c>
      <c r="E296" t="s">
        <v>335</v>
      </c>
    </row>
    <row r="297" spans="1:5">
      <c r="A297">
        <v>296</v>
      </c>
      <c r="B297">
        <v>5340</v>
      </c>
      <c r="C297" t="s">
        <v>367</v>
      </c>
      <c r="D297">
        <v>1.6</v>
      </c>
      <c r="E297" t="s">
        <v>335</v>
      </c>
    </row>
    <row r="298" spans="1:5">
      <c r="A298">
        <v>297</v>
      </c>
      <c r="B298">
        <v>5356</v>
      </c>
      <c r="C298" t="s">
        <v>299</v>
      </c>
      <c r="D298">
        <v>0.4</v>
      </c>
      <c r="E298" t="s">
        <v>335</v>
      </c>
    </row>
    <row r="299" spans="1:5">
      <c r="A299">
        <v>298</v>
      </c>
      <c r="B299">
        <v>5372</v>
      </c>
      <c r="C299" t="s">
        <v>368</v>
      </c>
      <c r="D299">
        <v>0.5</v>
      </c>
      <c r="E299" t="s">
        <v>335</v>
      </c>
    </row>
    <row r="300" spans="1:5">
      <c r="A300">
        <v>299</v>
      </c>
      <c r="B300">
        <v>5401</v>
      </c>
      <c r="C300" t="s">
        <v>369</v>
      </c>
      <c r="D300">
        <v>0.6</v>
      </c>
      <c r="E300" t="s">
        <v>335</v>
      </c>
    </row>
    <row r="301" spans="1:5">
      <c r="A301">
        <v>300</v>
      </c>
      <c r="B301">
        <v>5417</v>
      </c>
      <c r="C301" t="s">
        <v>370</v>
      </c>
      <c r="D301">
        <v>0.6</v>
      </c>
      <c r="E301" t="s">
        <v>335</v>
      </c>
    </row>
    <row r="302" spans="1:5">
      <c r="A302">
        <v>301</v>
      </c>
      <c r="B302">
        <v>5433</v>
      </c>
      <c r="C302" t="s">
        <v>371</v>
      </c>
      <c r="D302">
        <v>1.5</v>
      </c>
      <c r="E302" t="s">
        <v>335</v>
      </c>
    </row>
    <row r="303" spans="1:5">
      <c r="A303">
        <v>302</v>
      </c>
      <c r="B303">
        <v>5449</v>
      </c>
      <c r="C303" t="s">
        <v>372</v>
      </c>
      <c r="D303">
        <v>1</v>
      </c>
      <c r="E303" t="s">
        <v>335</v>
      </c>
    </row>
    <row r="304" spans="1:5">
      <c r="A304">
        <v>303</v>
      </c>
      <c r="B304">
        <v>5465</v>
      </c>
      <c r="C304" t="s">
        <v>373</v>
      </c>
      <c r="D304">
        <v>1.2</v>
      </c>
      <c r="E304" t="s">
        <v>335</v>
      </c>
    </row>
    <row r="305" spans="1:5">
      <c r="A305">
        <v>304</v>
      </c>
      <c r="B305">
        <v>5481</v>
      </c>
      <c r="C305" t="s">
        <v>374</v>
      </c>
      <c r="D305">
        <v>1.5</v>
      </c>
      <c r="E305" t="s">
        <v>335</v>
      </c>
    </row>
    <row r="306" spans="1:5">
      <c r="A306">
        <v>305</v>
      </c>
      <c r="B306">
        <v>5497</v>
      </c>
      <c r="C306" t="s">
        <v>347</v>
      </c>
      <c r="D306">
        <v>1.2</v>
      </c>
      <c r="E306" t="s">
        <v>335</v>
      </c>
    </row>
    <row r="307" spans="1:5">
      <c r="A307">
        <v>306</v>
      </c>
      <c r="B307">
        <v>5513</v>
      </c>
      <c r="C307" t="s">
        <v>375</v>
      </c>
      <c r="D307">
        <v>0.8</v>
      </c>
      <c r="E307" t="s">
        <v>335</v>
      </c>
    </row>
    <row r="308" spans="1:5">
      <c r="A308">
        <v>307</v>
      </c>
      <c r="B308">
        <v>5529</v>
      </c>
      <c r="C308" t="s">
        <v>376</v>
      </c>
      <c r="D308">
        <v>1</v>
      </c>
      <c r="E308" t="s">
        <v>335</v>
      </c>
    </row>
    <row r="309" spans="1:5">
      <c r="A309">
        <v>308</v>
      </c>
      <c r="B309">
        <v>5545</v>
      </c>
      <c r="C309" t="s">
        <v>377</v>
      </c>
      <c r="D309">
        <v>2</v>
      </c>
      <c r="E309" t="s">
        <v>335</v>
      </c>
    </row>
    <row r="310" spans="1:5">
      <c r="A310">
        <v>309</v>
      </c>
      <c r="B310">
        <v>5574</v>
      </c>
      <c r="C310" t="s">
        <v>378</v>
      </c>
      <c r="D310">
        <v>0.5</v>
      </c>
      <c r="E310" t="s">
        <v>335</v>
      </c>
    </row>
    <row r="311" spans="1:5">
      <c r="A311">
        <v>310</v>
      </c>
      <c r="B311">
        <v>5590</v>
      </c>
      <c r="C311" t="s">
        <v>379</v>
      </c>
      <c r="D311">
        <v>1.6</v>
      </c>
      <c r="E311" t="s">
        <v>335</v>
      </c>
    </row>
    <row r="312" spans="1:5">
      <c r="A312">
        <v>311</v>
      </c>
      <c r="B312">
        <v>5606</v>
      </c>
      <c r="C312" t="s">
        <v>380</v>
      </c>
      <c r="D312">
        <v>0.2</v>
      </c>
      <c r="E312" t="s">
        <v>335</v>
      </c>
    </row>
    <row r="313" spans="1:5">
      <c r="A313">
        <v>312</v>
      </c>
      <c r="B313">
        <v>5622</v>
      </c>
      <c r="C313" t="s">
        <v>381</v>
      </c>
      <c r="D313">
        <v>0.3</v>
      </c>
      <c r="E313" t="s">
        <v>335</v>
      </c>
    </row>
    <row r="314" spans="1:5">
      <c r="A314">
        <v>313</v>
      </c>
      <c r="B314">
        <v>5638</v>
      </c>
      <c r="C314" t="s">
        <v>382</v>
      </c>
      <c r="D314">
        <v>0.8</v>
      </c>
      <c r="E314" t="s">
        <v>335</v>
      </c>
    </row>
    <row r="315" spans="1:5">
      <c r="A315">
        <v>314</v>
      </c>
      <c r="B315">
        <v>5654</v>
      </c>
      <c r="C315" t="s">
        <v>383</v>
      </c>
      <c r="D315">
        <v>1.1000000000000001</v>
      </c>
      <c r="E315" t="s">
        <v>335</v>
      </c>
    </row>
    <row r="316" spans="1:5">
      <c r="A316">
        <v>315</v>
      </c>
      <c r="B316">
        <v>5670</v>
      </c>
      <c r="C316" t="s">
        <v>384</v>
      </c>
      <c r="D316">
        <v>1.3</v>
      </c>
      <c r="E316" t="s">
        <v>335</v>
      </c>
    </row>
    <row r="317" spans="1:5">
      <c r="A317">
        <v>316</v>
      </c>
      <c r="B317">
        <v>5686</v>
      </c>
      <c r="C317" t="s">
        <v>75</v>
      </c>
      <c r="D317">
        <v>0.8</v>
      </c>
      <c r="E317" t="s">
        <v>335</v>
      </c>
    </row>
    <row r="318" spans="1:5">
      <c r="A318">
        <v>317</v>
      </c>
      <c r="B318">
        <v>5715</v>
      </c>
      <c r="C318" t="s">
        <v>385</v>
      </c>
      <c r="D318">
        <v>1.2</v>
      </c>
      <c r="E318" t="s">
        <v>335</v>
      </c>
    </row>
    <row r="319" spans="1:5">
      <c r="A319">
        <v>318</v>
      </c>
      <c r="B319">
        <v>5731</v>
      </c>
      <c r="C319" t="s">
        <v>386</v>
      </c>
      <c r="D319">
        <v>0.8</v>
      </c>
      <c r="E319" t="s">
        <v>335</v>
      </c>
    </row>
    <row r="320" spans="1:5">
      <c r="A320">
        <v>319</v>
      </c>
      <c r="B320">
        <v>5747</v>
      </c>
      <c r="C320" t="s">
        <v>387</v>
      </c>
      <c r="D320">
        <v>0.8</v>
      </c>
      <c r="E320" t="s">
        <v>335</v>
      </c>
    </row>
    <row r="321" spans="1:5">
      <c r="A321">
        <v>320</v>
      </c>
      <c r="B321">
        <v>5763</v>
      </c>
      <c r="C321" t="s">
        <v>337</v>
      </c>
      <c r="D321">
        <v>1.5</v>
      </c>
      <c r="E321" t="s">
        <v>335</v>
      </c>
    </row>
    <row r="322" spans="1:5">
      <c r="A322">
        <v>321</v>
      </c>
      <c r="B322">
        <v>5779</v>
      </c>
      <c r="C322" t="s">
        <v>225</v>
      </c>
      <c r="D322">
        <v>1.2</v>
      </c>
      <c r="E322" t="s">
        <v>335</v>
      </c>
    </row>
    <row r="323" spans="1:5">
      <c r="A323">
        <v>322</v>
      </c>
      <c r="B323">
        <v>5795</v>
      </c>
      <c r="C323" t="s">
        <v>388</v>
      </c>
      <c r="D323">
        <v>0.3</v>
      </c>
      <c r="E323" t="s">
        <v>335</v>
      </c>
    </row>
    <row r="324" spans="1:5">
      <c r="A324">
        <v>323</v>
      </c>
      <c r="B324">
        <v>5824</v>
      </c>
      <c r="C324" t="s">
        <v>369</v>
      </c>
      <c r="D324">
        <v>0.6</v>
      </c>
      <c r="E324" t="s">
        <v>335</v>
      </c>
    </row>
    <row r="325" spans="1:5">
      <c r="A325">
        <v>324</v>
      </c>
      <c r="B325">
        <v>5840</v>
      </c>
      <c r="C325" t="s">
        <v>389</v>
      </c>
      <c r="D325">
        <v>2.6</v>
      </c>
      <c r="E325" t="s">
        <v>335</v>
      </c>
    </row>
    <row r="326" spans="1:5">
      <c r="A326">
        <v>325</v>
      </c>
      <c r="B326">
        <v>5856</v>
      </c>
      <c r="C326" t="s">
        <v>390</v>
      </c>
      <c r="D326">
        <v>0.7</v>
      </c>
      <c r="E326" t="s">
        <v>335</v>
      </c>
    </row>
    <row r="327" spans="1:5">
      <c r="A327">
        <v>326</v>
      </c>
      <c r="B327">
        <v>5872</v>
      </c>
      <c r="C327" t="s">
        <v>391</v>
      </c>
      <c r="D327">
        <v>1.2</v>
      </c>
      <c r="E327" t="s">
        <v>335</v>
      </c>
    </row>
    <row r="328" spans="1:5">
      <c r="A328">
        <v>327</v>
      </c>
      <c r="B328">
        <v>5888</v>
      </c>
      <c r="C328" t="s">
        <v>392</v>
      </c>
      <c r="D328">
        <v>1.2</v>
      </c>
      <c r="E328" t="s">
        <v>335</v>
      </c>
    </row>
    <row r="329" spans="1:5">
      <c r="A329">
        <v>328</v>
      </c>
      <c r="B329">
        <v>5904</v>
      </c>
      <c r="C329" t="s">
        <v>393</v>
      </c>
      <c r="D329">
        <v>0.5</v>
      </c>
      <c r="E329" t="s">
        <v>335</v>
      </c>
    </row>
    <row r="330" spans="1:5">
      <c r="A330">
        <v>329</v>
      </c>
      <c r="B330">
        <v>5933</v>
      </c>
      <c r="C330" t="s">
        <v>394</v>
      </c>
      <c r="D330">
        <v>1.5</v>
      </c>
      <c r="E330" t="s">
        <v>335</v>
      </c>
    </row>
    <row r="331" spans="1:5">
      <c r="A331">
        <v>330</v>
      </c>
      <c r="B331">
        <v>5949</v>
      </c>
      <c r="C331" t="s">
        <v>395</v>
      </c>
      <c r="D331">
        <v>1</v>
      </c>
      <c r="E331" t="s">
        <v>335</v>
      </c>
    </row>
    <row r="332" spans="1:5">
      <c r="A332">
        <v>331</v>
      </c>
      <c r="B332">
        <v>5965</v>
      </c>
      <c r="C332" t="s">
        <v>396</v>
      </c>
      <c r="D332">
        <v>1.5</v>
      </c>
      <c r="E332" t="s">
        <v>335</v>
      </c>
    </row>
    <row r="333" spans="1:5">
      <c r="A333">
        <v>332</v>
      </c>
      <c r="B333">
        <v>5981</v>
      </c>
      <c r="C333" t="s">
        <v>397</v>
      </c>
      <c r="D333">
        <v>1</v>
      </c>
      <c r="E333" t="s">
        <v>335</v>
      </c>
    </row>
    <row r="334" spans="1:5">
      <c r="A334">
        <v>333</v>
      </c>
      <c r="B334">
        <v>5997</v>
      </c>
      <c r="C334" t="s">
        <v>398</v>
      </c>
      <c r="D334">
        <v>1.1000000000000001</v>
      </c>
      <c r="E334" t="s">
        <v>335</v>
      </c>
    </row>
    <row r="335" spans="1:5">
      <c r="A335">
        <v>334</v>
      </c>
      <c r="B335">
        <v>6013</v>
      </c>
      <c r="C335" t="s">
        <v>399</v>
      </c>
      <c r="D335">
        <v>0.5</v>
      </c>
      <c r="E335" t="s">
        <v>335</v>
      </c>
    </row>
    <row r="336" spans="1:5">
      <c r="A336">
        <v>335</v>
      </c>
      <c r="B336">
        <v>6029</v>
      </c>
      <c r="C336" t="s">
        <v>189</v>
      </c>
      <c r="D336">
        <v>0.8</v>
      </c>
      <c r="E336" t="s">
        <v>335</v>
      </c>
    </row>
    <row r="337" spans="1:5">
      <c r="A337">
        <v>336</v>
      </c>
      <c r="B337">
        <v>6045</v>
      </c>
      <c r="C337" t="s">
        <v>400</v>
      </c>
      <c r="D337">
        <v>0.4</v>
      </c>
      <c r="E337" t="s">
        <v>335</v>
      </c>
    </row>
    <row r="338" spans="1:5">
      <c r="A338">
        <v>337</v>
      </c>
      <c r="B338">
        <v>6061</v>
      </c>
      <c r="C338" t="s">
        <v>401</v>
      </c>
      <c r="D338">
        <v>0.8</v>
      </c>
      <c r="E338" t="s">
        <v>335</v>
      </c>
    </row>
    <row r="339" spans="1:5">
      <c r="A339">
        <v>338</v>
      </c>
      <c r="B339">
        <v>6090</v>
      </c>
      <c r="C339" t="s">
        <v>402</v>
      </c>
      <c r="D339">
        <v>0.6</v>
      </c>
      <c r="E339" t="s">
        <v>335</v>
      </c>
    </row>
    <row r="340" spans="1:5">
      <c r="A340">
        <v>339</v>
      </c>
      <c r="B340">
        <v>6106</v>
      </c>
      <c r="C340" t="s">
        <v>403</v>
      </c>
      <c r="D340">
        <v>1.2</v>
      </c>
      <c r="E340" t="s">
        <v>335</v>
      </c>
    </row>
    <row r="341" spans="1:5">
      <c r="A341">
        <v>340</v>
      </c>
      <c r="B341">
        <v>6122</v>
      </c>
      <c r="C341" t="s">
        <v>248</v>
      </c>
      <c r="D341">
        <v>1.2</v>
      </c>
      <c r="E341" t="s">
        <v>335</v>
      </c>
    </row>
    <row r="342" spans="1:5">
      <c r="A342">
        <v>341</v>
      </c>
      <c r="B342">
        <v>6138</v>
      </c>
      <c r="C342" t="s">
        <v>404</v>
      </c>
      <c r="D342">
        <v>1.4</v>
      </c>
      <c r="E342" t="s">
        <v>335</v>
      </c>
    </row>
    <row r="343" spans="1:5">
      <c r="A343">
        <v>342</v>
      </c>
      <c r="B343">
        <v>6154</v>
      </c>
      <c r="C343" t="s">
        <v>405</v>
      </c>
      <c r="D343">
        <v>0.9</v>
      </c>
      <c r="E343" t="s">
        <v>335</v>
      </c>
    </row>
    <row r="344" spans="1:5">
      <c r="A344">
        <v>343</v>
      </c>
      <c r="B344">
        <v>6170</v>
      </c>
      <c r="C344" t="s">
        <v>406</v>
      </c>
      <c r="D344">
        <v>0.6</v>
      </c>
      <c r="E344" t="s">
        <v>335</v>
      </c>
    </row>
    <row r="345" spans="1:5">
      <c r="A345">
        <v>344</v>
      </c>
      <c r="B345">
        <v>6186</v>
      </c>
      <c r="C345" t="s">
        <v>407</v>
      </c>
      <c r="D345">
        <v>2.2000000000000002</v>
      </c>
      <c r="E345" t="s">
        <v>335</v>
      </c>
    </row>
    <row r="346" spans="1:5">
      <c r="A346">
        <v>345</v>
      </c>
      <c r="B346">
        <v>6202</v>
      </c>
      <c r="C346" t="s">
        <v>408</v>
      </c>
      <c r="D346">
        <v>1.7</v>
      </c>
      <c r="E346" t="s">
        <v>335</v>
      </c>
    </row>
    <row r="347" spans="1:5">
      <c r="A347">
        <v>346</v>
      </c>
      <c r="B347">
        <v>6218</v>
      </c>
      <c r="C347" t="s">
        <v>409</v>
      </c>
      <c r="D347">
        <v>1.6</v>
      </c>
      <c r="E347" t="s">
        <v>335</v>
      </c>
    </row>
    <row r="348" spans="1:5">
      <c r="A348">
        <v>347</v>
      </c>
      <c r="B348">
        <v>6263</v>
      </c>
      <c r="C348" t="s">
        <v>98</v>
      </c>
      <c r="D348">
        <v>0.8</v>
      </c>
      <c r="E348" t="s">
        <v>335</v>
      </c>
    </row>
    <row r="349" spans="1:5">
      <c r="A349">
        <v>348</v>
      </c>
      <c r="B349">
        <v>6279</v>
      </c>
      <c r="C349" t="s">
        <v>410</v>
      </c>
      <c r="D349">
        <v>1.1000000000000001</v>
      </c>
      <c r="E349" t="s">
        <v>335</v>
      </c>
    </row>
    <row r="350" spans="1:5">
      <c r="A350">
        <v>349</v>
      </c>
      <c r="B350">
        <v>6295</v>
      </c>
      <c r="C350" t="s">
        <v>411</v>
      </c>
      <c r="D350">
        <v>0.2</v>
      </c>
      <c r="E350" t="s">
        <v>335</v>
      </c>
    </row>
    <row r="351" spans="1:5">
      <c r="A351">
        <v>350</v>
      </c>
      <c r="B351">
        <v>6311</v>
      </c>
      <c r="C351" t="s">
        <v>412</v>
      </c>
      <c r="D351">
        <v>0.7</v>
      </c>
      <c r="E351" t="s">
        <v>335</v>
      </c>
    </row>
    <row r="352" spans="1:5">
      <c r="A352">
        <v>351</v>
      </c>
      <c r="B352">
        <v>6340</v>
      </c>
      <c r="C352" t="s">
        <v>402</v>
      </c>
      <c r="D352">
        <v>0.6</v>
      </c>
      <c r="E352" t="s">
        <v>335</v>
      </c>
    </row>
    <row r="353" spans="1:5">
      <c r="A353">
        <v>352</v>
      </c>
      <c r="B353">
        <v>6356</v>
      </c>
      <c r="C353" t="s">
        <v>413</v>
      </c>
      <c r="D353">
        <v>1.1000000000000001</v>
      </c>
      <c r="E353" t="s">
        <v>335</v>
      </c>
    </row>
    <row r="354" spans="1:5">
      <c r="A354">
        <v>353</v>
      </c>
      <c r="B354">
        <v>6372</v>
      </c>
      <c r="C354" t="s">
        <v>414</v>
      </c>
      <c r="D354">
        <v>0.5</v>
      </c>
      <c r="E354" t="s">
        <v>335</v>
      </c>
    </row>
    <row r="355" spans="1:5">
      <c r="A355">
        <v>354</v>
      </c>
      <c r="B355">
        <v>6388</v>
      </c>
      <c r="C355" t="s">
        <v>354</v>
      </c>
      <c r="D355">
        <v>0.6</v>
      </c>
      <c r="E355" t="s">
        <v>335</v>
      </c>
    </row>
    <row r="356" spans="1:5">
      <c r="A356">
        <v>355</v>
      </c>
      <c r="B356">
        <v>6404</v>
      </c>
      <c r="C356" t="s">
        <v>415</v>
      </c>
      <c r="D356">
        <v>0.6</v>
      </c>
      <c r="E356" t="s">
        <v>335</v>
      </c>
    </row>
    <row r="357" spans="1:5">
      <c r="A357">
        <v>356</v>
      </c>
      <c r="B357">
        <v>6420</v>
      </c>
      <c r="C357" t="s">
        <v>416</v>
      </c>
      <c r="D357">
        <v>0.9</v>
      </c>
      <c r="E357" t="s">
        <v>335</v>
      </c>
    </row>
    <row r="358" spans="1:5">
      <c r="A358">
        <v>357</v>
      </c>
      <c r="B358">
        <v>6436</v>
      </c>
      <c r="C358" t="s">
        <v>417</v>
      </c>
      <c r="D358">
        <v>0.7</v>
      </c>
      <c r="E358" t="s">
        <v>335</v>
      </c>
    </row>
    <row r="359" spans="1:5">
      <c r="A359">
        <v>358</v>
      </c>
      <c r="B359">
        <v>6452</v>
      </c>
      <c r="C359" t="s">
        <v>418</v>
      </c>
      <c r="D359">
        <v>1.1000000000000001</v>
      </c>
      <c r="E359" t="s">
        <v>335</v>
      </c>
    </row>
    <row r="360" spans="1:5">
      <c r="A360">
        <v>359</v>
      </c>
      <c r="B360">
        <v>6468</v>
      </c>
      <c r="C360" t="s">
        <v>419</v>
      </c>
      <c r="D360">
        <v>1</v>
      </c>
      <c r="E360" t="s">
        <v>335</v>
      </c>
    </row>
    <row r="361" spans="1:5">
      <c r="A361">
        <v>360</v>
      </c>
      <c r="B361">
        <v>6497</v>
      </c>
      <c r="C361" t="s">
        <v>420</v>
      </c>
      <c r="D361">
        <v>1.4</v>
      </c>
      <c r="E361" t="s">
        <v>335</v>
      </c>
    </row>
    <row r="362" spans="1:5">
      <c r="A362">
        <v>361</v>
      </c>
      <c r="B362">
        <v>6513</v>
      </c>
      <c r="C362" t="s">
        <v>421</v>
      </c>
      <c r="D362">
        <v>1.3</v>
      </c>
      <c r="E362" t="s">
        <v>335</v>
      </c>
    </row>
    <row r="363" spans="1:5">
      <c r="A363">
        <v>362</v>
      </c>
      <c r="B363">
        <v>6529</v>
      </c>
      <c r="C363" t="s">
        <v>245</v>
      </c>
      <c r="D363">
        <v>1.2</v>
      </c>
      <c r="E363" t="s">
        <v>335</v>
      </c>
    </row>
    <row r="364" spans="1:5">
      <c r="A364">
        <v>363</v>
      </c>
      <c r="B364">
        <v>6545</v>
      </c>
      <c r="C364" t="s">
        <v>422</v>
      </c>
      <c r="D364">
        <v>0.8</v>
      </c>
      <c r="E364" t="s">
        <v>335</v>
      </c>
    </row>
    <row r="365" spans="1:5">
      <c r="A365">
        <v>364</v>
      </c>
      <c r="B365">
        <v>6561</v>
      </c>
      <c r="C365" t="s">
        <v>423</v>
      </c>
      <c r="D365">
        <v>0.7</v>
      </c>
      <c r="E365" t="s">
        <v>335</v>
      </c>
    </row>
    <row r="366" spans="1:5">
      <c r="A366">
        <v>365</v>
      </c>
      <c r="B366">
        <v>6590</v>
      </c>
      <c r="C366" t="s">
        <v>424</v>
      </c>
      <c r="D366">
        <v>1.2</v>
      </c>
      <c r="E366" t="s">
        <v>335</v>
      </c>
    </row>
    <row r="367" spans="1:5">
      <c r="A367">
        <v>366</v>
      </c>
      <c r="B367">
        <v>6606</v>
      </c>
      <c r="C367" t="s">
        <v>425</v>
      </c>
      <c r="D367">
        <v>0.6</v>
      </c>
      <c r="E367" t="s">
        <v>335</v>
      </c>
    </row>
    <row r="368" spans="1:5">
      <c r="A368">
        <v>367</v>
      </c>
      <c r="B368">
        <v>6622</v>
      </c>
      <c r="C368" t="s">
        <v>426</v>
      </c>
      <c r="D368">
        <v>0.8</v>
      </c>
      <c r="E368" t="s">
        <v>335</v>
      </c>
    </row>
    <row r="369" spans="1:5">
      <c r="A369">
        <v>368</v>
      </c>
      <c r="B369">
        <v>6638</v>
      </c>
      <c r="C369" t="s">
        <v>427</v>
      </c>
      <c r="D369">
        <v>1.2</v>
      </c>
      <c r="E369" t="s">
        <v>335</v>
      </c>
    </row>
    <row r="370" spans="1:5">
      <c r="A370">
        <v>369</v>
      </c>
      <c r="B370">
        <v>6670</v>
      </c>
      <c r="C370" t="s">
        <v>428</v>
      </c>
      <c r="D370">
        <v>0.6</v>
      </c>
      <c r="E370" t="s">
        <v>335</v>
      </c>
    </row>
    <row r="371" spans="1:5">
      <c r="A371">
        <v>370</v>
      </c>
      <c r="B371">
        <v>6686</v>
      </c>
      <c r="C371" t="s">
        <v>429</v>
      </c>
      <c r="D371">
        <v>0.6</v>
      </c>
      <c r="E371" t="s">
        <v>335</v>
      </c>
    </row>
    <row r="372" spans="1:5">
      <c r="A372">
        <v>371</v>
      </c>
      <c r="B372">
        <v>6702</v>
      </c>
      <c r="C372" t="s">
        <v>430</v>
      </c>
      <c r="D372">
        <v>0.7</v>
      </c>
      <c r="E372" t="s">
        <v>335</v>
      </c>
    </row>
    <row r="373" spans="1:5">
      <c r="A373">
        <v>372</v>
      </c>
      <c r="B373">
        <v>6718</v>
      </c>
      <c r="C373" t="s">
        <v>97</v>
      </c>
      <c r="D373">
        <v>0.6</v>
      </c>
      <c r="E373" t="s">
        <v>335</v>
      </c>
    </row>
    <row r="374" spans="1:5">
      <c r="A374">
        <v>373</v>
      </c>
      <c r="B374">
        <v>6747</v>
      </c>
      <c r="C374" t="s">
        <v>431</v>
      </c>
      <c r="D374">
        <v>1.1000000000000001</v>
      </c>
      <c r="E374" t="s">
        <v>335</v>
      </c>
    </row>
    <row r="375" spans="1:5">
      <c r="A375">
        <v>374</v>
      </c>
      <c r="B375">
        <v>6763</v>
      </c>
      <c r="C375" t="s">
        <v>432</v>
      </c>
      <c r="D375">
        <v>0.9</v>
      </c>
      <c r="E375" t="s">
        <v>335</v>
      </c>
    </row>
    <row r="376" spans="1:5">
      <c r="A376">
        <v>375</v>
      </c>
      <c r="B376">
        <v>6779</v>
      </c>
      <c r="C376" t="s">
        <v>433</v>
      </c>
      <c r="D376">
        <v>0.8</v>
      </c>
      <c r="E376" t="s">
        <v>335</v>
      </c>
    </row>
    <row r="377" spans="1:5">
      <c r="A377">
        <v>376</v>
      </c>
      <c r="B377">
        <v>6795</v>
      </c>
      <c r="C377" t="s">
        <v>434</v>
      </c>
      <c r="D377">
        <v>0.9</v>
      </c>
      <c r="E377" t="s">
        <v>335</v>
      </c>
    </row>
    <row r="378" spans="1:5">
      <c r="A378">
        <v>377</v>
      </c>
      <c r="B378">
        <v>6840</v>
      </c>
      <c r="C378" t="s">
        <v>390</v>
      </c>
      <c r="D378">
        <v>0.7</v>
      </c>
      <c r="E378" t="s">
        <v>335</v>
      </c>
    </row>
    <row r="379" spans="1:5">
      <c r="A379">
        <v>378</v>
      </c>
      <c r="B379">
        <v>6856</v>
      </c>
      <c r="C379" t="s">
        <v>435</v>
      </c>
      <c r="D379">
        <v>0.4</v>
      </c>
      <c r="E379" t="s">
        <v>335</v>
      </c>
    </row>
    <row r="380" spans="1:5">
      <c r="A380">
        <v>379</v>
      </c>
      <c r="B380">
        <v>6872</v>
      </c>
      <c r="C380" t="s">
        <v>177</v>
      </c>
      <c r="D380">
        <v>1.4</v>
      </c>
      <c r="E380" t="s">
        <v>335</v>
      </c>
    </row>
    <row r="381" spans="1:5">
      <c r="A381">
        <v>380</v>
      </c>
      <c r="B381">
        <v>6888</v>
      </c>
      <c r="C381" t="s">
        <v>436</v>
      </c>
      <c r="D381">
        <v>0.5</v>
      </c>
      <c r="E381" t="s">
        <v>335</v>
      </c>
    </row>
    <row r="382" spans="1:5">
      <c r="A382">
        <v>381</v>
      </c>
      <c r="B382">
        <v>6904</v>
      </c>
      <c r="C382" t="s">
        <v>437</v>
      </c>
      <c r="D382">
        <v>1.1000000000000001</v>
      </c>
      <c r="E382" t="s">
        <v>335</v>
      </c>
    </row>
    <row r="383" spans="1:5">
      <c r="A383">
        <v>382</v>
      </c>
      <c r="B383">
        <v>6920</v>
      </c>
      <c r="C383" t="s">
        <v>321</v>
      </c>
      <c r="D383">
        <v>0.9</v>
      </c>
      <c r="E383" t="s">
        <v>335</v>
      </c>
    </row>
    <row r="384" spans="1:5">
      <c r="A384">
        <v>383</v>
      </c>
      <c r="B384">
        <v>6936</v>
      </c>
      <c r="C384" t="s">
        <v>438</v>
      </c>
      <c r="D384">
        <v>1</v>
      </c>
      <c r="E384" t="s">
        <v>335</v>
      </c>
    </row>
    <row r="385" spans="1:5">
      <c r="A385">
        <v>384</v>
      </c>
      <c r="B385">
        <v>6952</v>
      </c>
      <c r="C385" t="s">
        <v>439</v>
      </c>
      <c r="D385">
        <v>0.6</v>
      </c>
      <c r="E385" t="s">
        <v>335</v>
      </c>
    </row>
    <row r="386" spans="1:5">
      <c r="A386">
        <v>385</v>
      </c>
      <c r="B386">
        <v>6968</v>
      </c>
      <c r="C386" t="s">
        <v>440</v>
      </c>
      <c r="D386">
        <v>0.9</v>
      </c>
      <c r="E386" t="s">
        <v>335</v>
      </c>
    </row>
    <row r="387" spans="1:5">
      <c r="A387">
        <v>386</v>
      </c>
      <c r="B387">
        <v>6984</v>
      </c>
      <c r="C387" t="s">
        <v>441</v>
      </c>
      <c r="D387">
        <v>1.6</v>
      </c>
      <c r="E387" t="s">
        <v>335</v>
      </c>
    </row>
    <row r="388" spans="1:5">
      <c r="A388">
        <v>387</v>
      </c>
      <c r="B388">
        <v>7013</v>
      </c>
      <c r="C388" t="s">
        <v>442</v>
      </c>
      <c r="D388">
        <v>1.3</v>
      </c>
      <c r="E388" t="s">
        <v>335</v>
      </c>
    </row>
    <row r="389" spans="1:5">
      <c r="A389">
        <v>388</v>
      </c>
      <c r="B389">
        <v>7029</v>
      </c>
      <c r="C389" t="s">
        <v>443</v>
      </c>
      <c r="D389">
        <v>1</v>
      </c>
      <c r="E389" t="s">
        <v>335</v>
      </c>
    </row>
    <row r="390" spans="1:5">
      <c r="A390">
        <v>389</v>
      </c>
      <c r="B390">
        <v>7045</v>
      </c>
      <c r="C390" t="s">
        <v>444</v>
      </c>
      <c r="D390">
        <v>2.1</v>
      </c>
      <c r="E390" t="s">
        <v>335</v>
      </c>
    </row>
    <row r="391" spans="1:5">
      <c r="A391">
        <v>390</v>
      </c>
      <c r="B391">
        <v>7074</v>
      </c>
      <c r="C391" t="s">
        <v>445</v>
      </c>
      <c r="D391">
        <v>0.8</v>
      </c>
      <c r="E391" t="s">
        <v>335</v>
      </c>
    </row>
    <row r="392" spans="1:5">
      <c r="A392">
        <v>391</v>
      </c>
      <c r="B392">
        <v>7090</v>
      </c>
      <c r="C392" t="s">
        <v>328</v>
      </c>
      <c r="D392">
        <v>0.6</v>
      </c>
      <c r="E392" t="s">
        <v>335</v>
      </c>
    </row>
    <row r="393" spans="1:5">
      <c r="A393">
        <v>392</v>
      </c>
      <c r="B393">
        <v>7106</v>
      </c>
      <c r="C393" t="s">
        <v>446</v>
      </c>
      <c r="D393">
        <v>0.8</v>
      </c>
      <c r="E393" t="s">
        <v>335</v>
      </c>
    </row>
    <row r="394" spans="1:5">
      <c r="A394">
        <v>393</v>
      </c>
      <c r="B394">
        <v>7138</v>
      </c>
      <c r="C394" t="s">
        <v>447</v>
      </c>
      <c r="D394">
        <v>0.7</v>
      </c>
      <c r="E394" t="s">
        <v>335</v>
      </c>
    </row>
    <row r="395" spans="1:5">
      <c r="A395">
        <v>394</v>
      </c>
      <c r="B395">
        <v>7154</v>
      </c>
      <c r="C395" t="s">
        <v>448</v>
      </c>
      <c r="D395">
        <v>0.6</v>
      </c>
      <c r="E395" t="s">
        <v>335</v>
      </c>
    </row>
    <row r="396" spans="1:5">
      <c r="A396">
        <v>395</v>
      </c>
      <c r="B396">
        <v>7170</v>
      </c>
      <c r="C396" t="s">
        <v>449</v>
      </c>
      <c r="D396">
        <v>0.8</v>
      </c>
      <c r="E396" t="s">
        <v>335</v>
      </c>
    </row>
    <row r="397" spans="1:5">
      <c r="A397">
        <v>396</v>
      </c>
      <c r="B397">
        <v>7186</v>
      </c>
      <c r="C397" t="s">
        <v>450</v>
      </c>
      <c r="D397">
        <v>0.6</v>
      </c>
      <c r="E397" t="s">
        <v>335</v>
      </c>
    </row>
    <row r="398" spans="1:5">
      <c r="A398">
        <v>397</v>
      </c>
      <c r="B398">
        <v>7202</v>
      </c>
      <c r="C398" t="s">
        <v>451</v>
      </c>
      <c r="D398">
        <v>0.6</v>
      </c>
      <c r="E398" t="s">
        <v>335</v>
      </c>
    </row>
    <row r="399" spans="1:5">
      <c r="A399">
        <v>398</v>
      </c>
      <c r="B399">
        <v>7218</v>
      </c>
      <c r="C399" t="s">
        <v>433</v>
      </c>
      <c r="D399">
        <v>0.8</v>
      </c>
      <c r="E399" t="s">
        <v>335</v>
      </c>
    </row>
    <row r="400" spans="1:5">
      <c r="A400">
        <v>399</v>
      </c>
      <c r="B400">
        <v>7247</v>
      </c>
      <c r="C400" t="s">
        <v>452</v>
      </c>
      <c r="D400">
        <v>1</v>
      </c>
      <c r="E400" t="s">
        <v>335</v>
      </c>
    </row>
    <row r="401" spans="1:5">
      <c r="A401">
        <v>400</v>
      </c>
      <c r="B401">
        <v>7263</v>
      </c>
      <c r="C401" t="s">
        <v>453</v>
      </c>
      <c r="D401">
        <v>0.8</v>
      </c>
      <c r="E401" t="s">
        <v>335</v>
      </c>
    </row>
    <row r="402" spans="1:5">
      <c r="A402">
        <v>401</v>
      </c>
      <c r="B402">
        <v>7279</v>
      </c>
      <c r="C402" t="s">
        <v>454</v>
      </c>
      <c r="D402">
        <v>0.9</v>
      </c>
      <c r="E402" t="s">
        <v>335</v>
      </c>
    </row>
    <row r="403" spans="1:5">
      <c r="A403">
        <v>402</v>
      </c>
      <c r="B403">
        <v>7295</v>
      </c>
      <c r="C403" t="s">
        <v>455</v>
      </c>
      <c r="D403">
        <v>1.2</v>
      </c>
      <c r="E403" t="s">
        <v>335</v>
      </c>
    </row>
    <row r="404" spans="1:5">
      <c r="A404">
        <v>403</v>
      </c>
      <c r="B404">
        <v>7311</v>
      </c>
      <c r="C404" t="s">
        <v>456</v>
      </c>
      <c r="D404">
        <v>0.9</v>
      </c>
      <c r="E404" t="s">
        <v>335</v>
      </c>
    </row>
    <row r="405" spans="1:5">
      <c r="A405">
        <v>404</v>
      </c>
      <c r="B405">
        <v>7327</v>
      </c>
      <c r="C405" t="s">
        <v>208</v>
      </c>
      <c r="D405">
        <v>0.4</v>
      </c>
      <c r="E405" t="s">
        <v>335</v>
      </c>
    </row>
    <row r="406" spans="1:5">
      <c r="A406">
        <v>405</v>
      </c>
      <c r="B406">
        <v>7343</v>
      </c>
      <c r="C406" t="s">
        <v>457</v>
      </c>
      <c r="D406">
        <v>0.8</v>
      </c>
      <c r="E406" t="s">
        <v>335</v>
      </c>
    </row>
    <row r="407" spans="1:5">
      <c r="A407">
        <v>406</v>
      </c>
      <c r="B407">
        <v>7372</v>
      </c>
      <c r="C407" t="s">
        <v>458</v>
      </c>
      <c r="D407">
        <v>1.8</v>
      </c>
      <c r="E407" t="s">
        <v>335</v>
      </c>
    </row>
    <row r="408" spans="1:5">
      <c r="A408">
        <v>407</v>
      </c>
      <c r="B408">
        <v>7401</v>
      </c>
      <c r="C408" t="s">
        <v>287</v>
      </c>
      <c r="D408">
        <v>0.7</v>
      </c>
      <c r="E408" t="s">
        <v>335</v>
      </c>
    </row>
    <row r="409" spans="1:5">
      <c r="A409">
        <v>408</v>
      </c>
      <c r="B409">
        <v>7417</v>
      </c>
      <c r="C409" t="s">
        <v>216</v>
      </c>
      <c r="D409">
        <v>0.9</v>
      </c>
      <c r="E409" t="s">
        <v>335</v>
      </c>
    </row>
    <row r="410" spans="1:5">
      <c r="A410">
        <v>409</v>
      </c>
      <c r="B410">
        <v>7433</v>
      </c>
      <c r="C410" t="s">
        <v>459</v>
      </c>
      <c r="D410">
        <v>1.1000000000000001</v>
      </c>
      <c r="E410" t="s">
        <v>335</v>
      </c>
    </row>
    <row r="411" spans="1:5">
      <c r="A411">
        <v>410</v>
      </c>
      <c r="B411">
        <v>7449</v>
      </c>
      <c r="C411" t="s">
        <v>460</v>
      </c>
      <c r="D411">
        <v>1.2</v>
      </c>
      <c r="E411" t="s">
        <v>335</v>
      </c>
    </row>
    <row r="412" spans="1:5">
      <c r="A412">
        <v>411</v>
      </c>
      <c r="B412">
        <v>7481</v>
      </c>
      <c r="C412" t="s">
        <v>461</v>
      </c>
      <c r="D412">
        <v>0.4</v>
      </c>
      <c r="E412" t="s">
        <v>335</v>
      </c>
    </row>
    <row r="413" spans="1:5">
      <c r="A413">
        <v>412</v>
      </c>
      <c r="B413">
        <v>7510</v>
      </c>
      <c r="C413" t="s">
        <v>462</v>
      </c>
      <c r="D413">
        <v>1.4</v>
      </c>
      <c r="E413" t="s">
        <v>335</v>
      </c>
    </row>
    <row r="414" spans="1:5">
      <c r="A414">
        <v>413</v>
      </c>
      <c r="B414">
        <v>7526</v>
      </c>
      <c r="C414" t="s">
        <v>463</v>
      </c>
      <c r="D414">
        <v>0.4</v>
      </c>
      <c r="E414" t="s">
        <v>335</v>
      </c>
    </row>
    <row r="415" spans="1:5">
      <c r="A415">
        <v>414</v>
      </c>
      <c r="B415">
        <v>7542</v>
      </c>
      <c r="C415" t="s">
        <v>464</v>
      </c>
      <c r="D415">
        <v>1.7</v>
      </c>
      <c r="E415" t="s">
        <v>335</v>
      </c>
    </row>
    <row r="416" spans="1:5">
      <c r="A416">
        <v>415</v>
      </c>
      <c r="B416">
        <v>7558</v>
      </c>
      <c r="C416" t="s">
        <v>465</v>
      </c>
      <c r="D416">
        <v>1</v>
      </c>
      <c r="E416" t="s">
        <v>335</v>
      </c>
    </row>
    <row r="417" spans="1:5">
      <c r="A417">
        <v>416</v>
      </c>
      <c r="B417">
        <v>7574</v>
      </c>
      <c r="C417" t="s">
        <v>466</v>
      </c>
      <c r="D417">
        <v>1.2</v>
      </c>
      <c r="E417" t="s">
        <v>335</v>
      </c>
    </row>
    <row r="418" spans="1:5">
      <c r="A418">
        <v>417</v>
      </c>
      <c r="B418">
        <v>7590</v>
      </c>
      <c r="C418" t="s">
        <v>467</v>
      </c>
      <c r="D418">
        <v>0.5</v>
      </c>
      <c r="E418" t="s">
        <v>335</v>
      </c>
    </row>
    <row r="419" spans="1:5">
      <c r="A419">
        <v>418</v>
      </c>
      <c r="B419">
        <v>7606</v>
      </c>
      <c r="C419" t="s">
        <v>468</v>
      </c>
      <c r="D419">
        <v>1.5</v>
      </c>
      <c r="E419" t="s">
        <v>335</v>
      </c>
    </row>
    <row r="420" spans="1:5">
      <c r="A420">
        <v>419</v>
      </c>
      <c r="B420">
        <v>7635</v>
      </c>
      <c r="C420" t="s">
        <v>80</v>
      </c>
      <c r="D420">
        <v>0.2</v>
      </c>
      <c r="E420" t="s">
        <v>335</v>
      </c>
    </row>
    <row r="421" spans="1:5">
      <c r="A421">
        <v>420</v>
      </c>
      <c r="B421">
        <v>7651</v>
      </c>
      <c r="C421" t="s">
        <v>469</v>
      </c>
      <c r="D421">
        <v>1.2</v>
      </c>
      <c r="E421" t="s">
        <v>335</v>
      </c>
    </row>
    <row r="422" spans="1:5">
      <c r="A422">
        <v>421</v>
      </c>
      <c r="B422">
        <v>7667</v>
      </c>
      <c r="C422" t="s">
        <v>470</v>
      </c>
      <c r="D422">
        <v>0.4</v>
      </c>
      <c r="E422" t="s">
        <v>335</v>
      </c>
    </row>
    <row r="423" spans="1:5">
      <c r="A423">
        <v>422</v>
      </c>
      <c r="B423">
        <v>7683</v>
      </c>
      <c r="C423" t="s">
        <v>471</v>
      </c>
      <c r="D423">
        <v>0.9</v>
      </c>
      <c r="E423" t="s">
        <v>335</v>
      </c>
    </row>
    <row r="424" spans="1:5">
      <c r="A424">
        <v>423</v>
      </c>
      <c r="B424">
        <v>7712</v>
      </c>
      <c r="C424" t="s">
        <v>472</v>
      </c>
      <c r="D424">
        <v>3</v>
      </c>
      <c r="E424" t="s">
        <v>335</v>
      </c>
    </row>
    <row r="425" spans="1:5">
      <c r="A425">
        <v>424</v>
      </c>
      <c r="B425">
        <v>7728</v>
      </c>
      <c r="C425" t="s">
        <v>473</v>
      </c>
      <c r="D425">
        <v>0.7</v>
      </c>
      <c r="E425" t="s">
        <v>335</v>
      </c>
    </row>
    <row r="426" spans="1:5">
      <c r="A426">
        <v>425</v>
      </c>
      <c r="B426">
        <v>7744</v>
      </c>
      <c r="C426" t="s">
        <v>474</v>
      </c>
      <c r="D426">
        <v>0.5</v>
      </c>
      <c r="E426" t="s">
        <v>475</v>
      </c>
    </row>
    <row r="427" spans="1:5">
      <c r="A427">
        <v>426</v>
      </c>
      <c r="B427">
        <v>7760</v>
      </c>
      <c r="C427" t="s">
        <v>476</v>
      </c>
      <c r="D427">
        <v>0.5</v>
      </c>
      <c r="E427" t="s">
        <v>475</v>
      </c>
    </row>
    <row r="428" spans="1:5">
      <c r="A428">
        <v>427</v>
      </c>
      <c r="B428">
        <v>7776</v>
      </c>
      <c r="C428" t="s">
        <v>477</v>
      </c>
      <c r="D428">
        <v>0.2</v>
      </c>
      <c r="E428" t="s">
        <v>475</v>
      </c>
    </row>
    <row r="429" spans="1:5">
      <c r="A429">
        <v>428</v>
      </c>
      <c r="B429">
        <v>7792</v>
      </c>
      <c r="C429" t="s">
        <v>478</v>
      </c>
      <c r="D429">
        <v>0.6</v>
      </c>
      <c r="E429" t="s">
        <v>475</v>
      </c>
    </row>
    <row r="430" spans="1:5">
      <c r="A430">
        <v>429</v>
      </c>
      <c r="B430">
        <v>7808</v>
      </c>
      <c r="C430" t="s">
        <v>479</v>
      </c>
      <c r="D430">
        <v>1.4</v>
      </c>
      <c r="E430" t="s">
        <v>475</v>
      </c>
    </row>
    <row r="431" spans="1:5">
      <c r="A431">
        <v>430</v>
      </c>
      <c r="B431">
        <v>7837</v>
      </c>
      <c r="C431" t="s">
        <v>480</v>
      </c>
      <c r="D431">
        <v>0.9</v>
      </c>
      <c r="E431" t="s">
        <v>475</v>
      </c>
    </row>
    <row r="432" spans="1:5">
      <c r="A432">
        <v>431</v>
      </c>
      <c r="B432">
        <v>7853</v>
      </c>
      <c r="C432" t="s">
        <v>203</v>
      </c>
      <c r="D432">
        <v>1</v>
      </c>
      <c r="E432" t="s">
        <v>475</v>
      </c>
    </row>
    <row r="433" spans="1:5">
      <c r="A433">
        <v>432</v>
      </c>
      <c r="B433">
        <v>7869</v>
      </c>
      <c r="C433" t="s">
        <v>481</v>
      </c>
      <c r="D433">
        <v>0.7</v>
      </c>
      <c r="E433" t="s">
        <v>475</v>
      </c>
    </row>
    <row r="434" spans="1:5">
      <c r="A434">
        <v>433</v>
      </c>
      <c r="B434">
        <v>7885</v>
      </c>
      <c r="C434" t="s">
        <v>482</v>
      </c>
      <c r="D434">
        <v>0.4</v>
      </c>
      <c r="E434" t="s">
        <v>475</v>
      </c>
    </row>
    <row r="435" spans="1:5">
      <c r="A435">
        <v>434</v>
      </c>
      <c r="B435">
        <v>7901</v>
      </c>
      <c r="C435" t="s">
        <v>483</v>
      </c>
      <c r="D435">
        <v>1.4</v>
      </c>
      <c r="E435" t="s">
        <v>475</v>
      </c>
    </row>
    <row r="436" spans="1:5">
      <c r="A436">
        <v>435</v>
      </c>
      <c r="B436">
        <v>7917</v>
      </c>
      <c r="C436" t="s">
        <v>484</v>
      </c>
      <c r="D436">
        <v>0.8</v>
      </c>
      <c r="E436" t="s">
        <v>475</v>
      </c>
    </row>
    <row r="437" spans="1:5">
      <c r="A437">
        <v>436</v>
      </c>
      <c r="B437">
        <v>7933</v>
      </c>
      <c r="C437" t="s">
        <v>485</v>
      </c>
      <c r="D437">
        <v>1.4</v>
      </c>
      <c r="E437" t="s">
        <v>475</v>
      </c>
    </row>
    <row r="438" spans="1:5">
      <c r="A438">
        <v>437</v>
      </c>
      <c r="B438">
        <v>7949</v>
      </c>
      <c r="C438" t="s">
        <v>486</v>
      </c>
      <c r="D438">
        <v>1</v>
      </c>
      <c r="E438" t="s">
        <v>475</v>
      </c>
    </row>
    <row r="439" spans="1:5">
      <c r="A439">
        <v>438</v>
      </c>
      <c r="B439">
        <v>7965</v>
      </c>
      <c r="C439" t="s">
        <v>161</v>
      </c>
      <c r="D439">
        <v>0.8</v>
      </c>
      <c r="E439" t="s">
        <v>475</v>
      </c>
    </row>
    <row r="440" spans="1:5">
      <c r="A440">
        <v>439</v>
      </c>
      <c r="B440">
        <v>7994</v>
      </c>
      <c r="C440" t="s">
        <v>148</v>
      </c>
      <c r="D440">
        <v>0.9</v>
      </c>
      <c r="E440" t="s">
        <v>475</v>
      </c>
    </row>
    <row r="441" spans="1:5">
      <c r="A441">
        <v>440</v>
      </c>
      <c r="B441">
        <v>8026</v>
      </c>
      <c r="C441" t="s">
        <v>481</v>
      </c>
      <c r="D441">
        <v>0.7</v>
      </c>
      <c r="E441" t="s">
        <v>475</v>
      </c>
    </row>
    <row r="442" spans="1:5">
      <c r="A442">
        <v>441</v>
      </c>
      <c r="B442">
        <v>8042</v>
      </c>
      <c r="C442" t="s">
        <v>487</v>
      </c>
      <c r="D442">
        <v>0.4</v>
      </c>
      <c r="E442" t="s">
        <v>475</v>
      </c>
    </row>
    <row r="443" spans="1:5">
      <c r="A443">
        <v>442</v>
      </c>
      <c r="B443">
        <v>8071</v>
      </c>
      <c r="C443" t="s">
        <v>488</v>
      </c>
      <c r="D443">
        <v>0.9</v>
      </c>
      <c r="E443" t="s">
        <v>475</v>
      </c>
    </row>
    <row r="444" spans="1:5">
      <c r="A444">
        <v>443</v>
      </c>
      <c r="B444">
        <v>8087</v>
      </c>
      <c r="C444" t="s">
        <v>489</v>
      </c>
      <c r="D444">
        <v>0.6</v>
      </c>
      <c r="E444" t="s">
        <v>475</v>
      </c>
    </row>
    <row r="445" spans="1:5">
      <c r="A445">
        <v>444</v>
      </c>
      <c r="B445">
        <v>8103</v>
      </c>
      <c r="C445" t="s">
        <v>490</v>
      </c>
      <c r="D445">
        <v>0.3</v>
      </c>
      <c r="E445" t="s">
        <v>475</v>
      </c>
    </row>
    <row r="446" spans="1:5">
      <c r="A446">
        <v>445</v>
      </c>
      <c r="B446">
        <v>8119</v>
      </c>
      <c r="C446" t="s">
        <v>491</v>
      </c>
      <c r="D446">
        <v>0.6</v>
      </c>
      <c r="E446" t="s">
        <v>475</v>
      </c>
    </row>
    <row r="447" spans="1:5">
      <c r="A447">
        <v>446</v>
      </c>
      <c r="B447">
        <v>8135</v>
      </c>
      <c r="C447" t="s">
        <v>492</v>
      </c>
      <c r="D447">
        <v>1.1000000000000001</v>
      </c>
      <c r="E447" t="s">
        <v>475</v>
      </c>
    </row>
    <row r="448" spans="1:5">
      <c r="A448">
        <v>447</v>
      </c>
      <c r="B448">
        <v>8151</v>
      </c>
      <c r="C448" t="s">
        <v>493</v>
      </c>
      <c r="D448">
        <v>1.1000000000000001</v>
      </c>
      <c r="E448" t="s">
        <v>475</v>
      </c>
    </row>
    <row r="449" spans="1:5">
      <c r="A449">
        <v>448</v>
      </c>
      <c r="B449">
        <v>8167</v>
      </c>
      <c r="C449" t="s">
        <v>494</v>
      </c>
      <c r="D449">
        <v>0.3</v>
      </c>
      <c r="E449" t="s">
        <v>475</v>
      </c>
    </row>
    <row r="450" spans="1:5">
      <c r="A450">
        <v>449</v>
      </c>
      <c r="B450">
        <v>8196</v>
      </c>
      <c r="C450" t="s">
        <v>495</v>
      </c>
      <c r="D450">
        <v>1</v>
      </c>
      <c r="E450" t="s">
        <v>475</v>
      </c>
    </row>
    <row r="451" spans="1:5">
      <c r="A451">
        <v>450</v>
      </c>
      <c r="B451">
        <v>8212</v>
      </c>
      <c r="C451" t="s">
        <v>496</v>
      </c>
      <c r="D451">
        <v>1.8</v>
      </c>
      <c r="E451" t="s">
        <v>475</v>
      </c>
    </row>
    <row r="452" spans="1:5">
      <c r="A452">
        <v>451</v>
      </c>
      <c r="B452">
        <v>8228</v>
      </c>
      <c r="C452" t="s">
        <v>497</v>
      </c>
      <c r="D452">
        <v>0.9</v>
      </c>
      <c r="E452" t="s">
        <v>475</v>
      </c>
    </row>
    <row r="453" spans="1:5">
      <c r="A453">
        <v>452</v>
      </c>
      <c r="B453">
        <v>8244</v>
      </c>
      <c r="C453" t="s">
        <v>498</v>
      </c>
      <c r="D453">
        <v>1</v>
      </c>
      <c r="E453" t="s">
        <v>475</v>
      </c>
    </row>
    <row r="454" spans="1:5">
      <c r="A454">
        <v>453</v>
      </c>
      <c r="B454">
        <v>8260</v>
      </c>
      <c r="C454" t="s">
        <v>499</v>
      </c>
      <c r="D454">
        <v>0.8</v>
      </c>
      <c r="E454" t="s">
        <v>475</v>
      </c>
    </row>
    <row r="455" spans="1:5">
      <c r="A455">
        <v>454</v>
      </c>
      <c r="B455">
        <v>8276</v>
      </c>
      <c r="C455" t="s">
        <v>500</v>
      </c>
      <c r="D455">
        <v>1.4</v>
      </c>
      <c r="E455" t="s">
        <v>475</v>
      </c>
    </row>
    <row r="456" spans="1:5">
      <c r="A456">
        <v>455</v>
      </c>
      <c r="B456">
        <v>8292</v>
      </c>
      <c r="C456" t="s">
        <v>156</v>
      </c>
      <c r="D456">
        <v>0.5</v>
      </c>
      <c r="E456" t="s">
        <v>475</v>
      </c>
    </row>
    <row r="457" spans="1:5">
      <c r="A457">
        <v>456</v>
      </c>
      <c r="B457">
        <v>8308</v>
      </c>
      <c r="C457" t="s">
        <v>501</v>
      </c>
      <c r="D457">
        <v>0.4</v>
      </c>
      <c r="E457" t="s">
        <v>475</v>
      </c>
    </row>
    <row r="458" spans="1:5">
      <c r="A458">
        <v>457</v>
      </c>
      <c r="B458">
        <v>8324</v>
      </c>
      <c r="C458" t="s">
        <v>384</v>
      </c>
      <c r="D458">
        <v>1.3</v>
      </c>
      <c r="E458" t="s">
        <v>475</v>
      </c>
    </row>
    <row r="459" spans="1:5">
      <c r="A459">
        <v>458</v>
      </c>
      <c r="B459">
        <v>8340</v>
      </c>
      <c r="C459" t="s">
        <v>502</v>
      </c>
      <c r="D459">
        <v>1.2</v>
      </c>
      <c r="E459" t="s">
        <v>475</v>
      </c>
    </row>
    <row r="460" spans="1:5">
      <c r="A460">
        <v>459</v>
      </c>
      <c r="B460">
        <v>8356</v>
      </c>
      <c r="C460" t="s">
        <v>503</v>
      </c>
      <c r="D460">
        <v>0.9</v>
      </c>
      <c r="E460" t="s">
        <v>475</v>
      </c>
    </row>
    <row r="461" spans="1:5">
      <c r="A461">
        <v>460</v>
      </c>
      <c r="B461">
        <v>8385</v>
      </c>
      <c r="C461" t="s">
        <v>504</v>
      </c>
      <c r="D461">
        <v>0.8</v>
      </c>
      <c r="E461" t="s">
        <v>475</v>
      </c>
    </row>
    <row r="462" spans="1:5">
      <c r="A462">
        <v>461</v>
      </c>
      <c r="B462">
        <v>8401</v>
      </c>
      <c r="C462" t="s">
        <v>361</v>
      </c>
      <c r="D462">
        <v>0.8</v>
      </c>
      <c r="E462" t="s">
        <v>475</v>
      </c>
    </row>
    <row r="463" spans="1:5">
      <c r="A463">
        <v>462</v>
      </c>
      <c r="B463">
        <v>8417</v>
      </c>
      <c r="C463" t="s">
        <v>505</v>
      </c>
      <c r="D463">
        <v>1</v>
      </c>
      <c r="E463" t="s">
        <v>475</v>
      </c>
    </row>
    <row r="464" spans="1:5">
      <c r="A464">
        <v>463</v>
      </c>
      <c r="B464">
        <v>8433</v>
      </c>
      <c r="C464" t="s">
        <v>506</v>
      </c>
      <c r="D464">
        <v>2</v>
      </c>
      <c r="E464" t="s">
        <v>475</v>
      </c>
    </row>
    <row r="465" spans="1:5">
      <c r="A465">
        <v>464</v>
      </c>
      <c r="B465">
        <v>8449</v>
      </c>
      <c r="C465" t="s">
        <v>507</v>
      </c>
      <c r="D465">
        <v>6</v>
      </c>
      <c r="E465" t="s">
        <v>475</v>
      </c>
    </row>
    <row r="466" spans="1:5">
      <c r="A466">
        <v>465</v>
      </c>
      <c r="B466">
        <v>8465</v>
      </c>
      <c r="C466" t="s">
        <v>508</v>
      </c>
      <c r="D466">
        <v>0.8</v>
      </c>
      <c r="E466" t="s">
        <v>475</v>
      </c>
    </row>
    <row r="467" spans="1:5">
      <c r="A467">
        <v>466</v>
      </c>
      <c r="B467">
        <v>8481</v>
      </c>
      <c r="C467" t="s">
        <v>509</v>
      </c>
      <c r="D467">
        <v>0.8</v>
      </c>
      <c r="E467" t="s">
        <v>475</v>
      </c>
    </row>
    <row r="468" spans="1:5">
      <c r="A468">
        <v>467</v>
      </c>
      <c r="B468">
        <v>8497</v>
      </c>
      <c r="C468" t="s">
        <v>510</v>
      </c>
      <c r="D468">
        <v>0.9</v>
      </c>
      <c r="E468" t="s">
        <v>475</v>
      </c>
    </row>
    <row r="469" spans="1:5">
      <c r="A469">
        <v>468</v>
      </c>
      <c r="B469">
        <v>8513</v>
      </c>
      <c r="C469" t="s">
        <v>218</v>
      </c>
      <c r="D469">
        <v>0.7</v>
      </c>
      <c r="E469" t="s">
        <v>475</v>
      </c>
    </row>
    <row r="470" spans="1:5">
      <c r="A470">
        <v>469</v>
      </c>
      <c r="B470">
        <v>8542</v>
      </c>
      <c r="C470" t="s">
        <v>511</v>
      </c>
      <c r="D470">
        <v>0.7</v>
      </c>
      <c r="E470" t="s">
        <v>475</v>
      </c>
    </row>
    <row r="471" spans="1:5">
      <c r="A471">
        <v>470</v>
      </c>
      <c r="B471">
        <v>8558</v>
      </c>
      <c r="C471" t="s">
        <v>512</v>
      </c>
      <c r="D471">
        <v>1.1000000000000001</v>
      </c>
      <c r="E471" t="s">
        <v>475</v>
      </c>
    </row>
    <row r="472" spans="1:5">
      <c r="A472">
        <v>471</v>
      </c>
      <c r="B472">
        <v>8574</v>
      </c>
      <c r="C472" t="s">
        <v>513</v>
      </c>
      <c r="D472">
        <v>1.2</v>
      </c>
      <c r="E472" t="s">
        <v>475</v>
      </c>
    </row>
    <row r="473" spans="1:5">
      <c r="A473">
        <v>472</v>
      </c>
      <c r="B473">
        <v>8590</v>
      </c>
      <c r="C473" t="s">
        <v>514</v>
      </c>
      <c r="D473">
        <v>0.5</v>
      </c>
      <c r="E473" t="s">
        <v>475</v>
      </c>
    </row>
    <row r="474" spans="1:5">
      <c r="A474">
        <v>473</v>
      </c>
      <c r="B474">
        <v>8606</v>
      </c>
      <c r="C474" t="s">
        <v>240</v>
      </c>
      <c r="D474">
        <v>0.9</v>
      </c>
      <c r="E474" t="s">
        <v>475</v>
      </c>
    </row>
    <row r="475" spans="1:5">
      <c r="A475">
        <v>474</v>
      </c>
      <c r="B475">
        <v>8622</v>
      </c>
      <c r="C475" t="s">
        <v>515</v>
      </c>
      <c r="D475">
        <v>0.8</v>
      </c>
      <c r="E475" t="s">
        <v>475</v>
      </c>
    </row>
    <row r="476" spans="1:5">
      <c r="A476">
        <v>475</v>
      </c>
      <c r="B476">
        <v>8667</v>
      </c>
      <c r="C476" t="s">
        <v>516</v>
      </c>
      <c r="D476">
        <v>0.4</v>
      </c>
      <c r="E476" t="s">
        <v>475</v>
      </c>
    </row>
    <row r="477" spans="1:5">
      <c r="A477">
        <v>476</v>
      </c>
      <c r="B477">
        <v>8683</v>
      </c>
      <c r="C477" t="s">
        <v>517</v>
      </c>
      <c r="D477">
        <v>1.2</v>
      </c>
      <c r="E477" t="s">
        <v>475</v>
      </c>
    </row>
    <row r="478" spans="1:5">
      <c r="A478">
        <v>477</v>
      </c>
      <c r="B478">
        <v>8699</v>
      </c>
      <c r="C478" t="s">
        <v>518</v>
      </c>
      <c r="D478">
        <v>0.2</v>
      </c>
      <c r="E478" t="s">
        <v>475</v>
      </c>
    </row>
    <row r="479" spans="1:5">
      <c r="A479">
        <v>478</v>
      </c>
      <c r="B479">
        <v>8715</v>
      </c>
      <c r="C479" t="s">
        <v>519</v>
      </c>
      <c r="D479">
        <v>0.6</v>
      </c>
      <c r="E479" t="s">
        <v>475</v>
      </c>
    </row>
    <row r="480" spans="1:5">
      <c r="A480">
        <v>479</v>
      </c>
      <c r="B480">
        <v>8731</v>
      </c>
      <c r="C480" t="s">
        <v>520</v>
      </c>
      <c r="D480">
        <v>0.4</v>
      </c>
      <c r="E480" t="s">
        <v>475</v>
      </c>
    </row>
    <row r="481" spans="1:5">
      <c r="A481">
        <v>480</v>
      </c>
      <c r="B481">
        <v>8747</v>
      </c>
      <c r="C481" t="s">
        <v>521</v>
      </c>
      <c r="D481">
        <v>0.9</v>
      </c>
      <c r="E481" t="s">
        <v>475</v>
      </c>
    </row>
    <row r="482" spans="1:5">
      <c r="A482">
        <v>481</v>
      </c>
      <c r="B482">
        <v>8776</v>
      </c>
      <c r="C482" t="s">
        <v>522</v>
      </c>
      <c r="D482">
        <v>0.8</v>
      </c>
      <c r="E482" t="s">
        <v>475</v>
      </c>
    </row>
    <row r="483" spans="1:5">
      <c r="A483">
        <v>482</v>
      </c>
      <c r="B483">
        <v>8792</v>
      </c>
      <c r="C483" t="s">
        <v>523</v>
      </c>
      <c r="D483">
        <v>0.5</v>
      </c>
      <c r="E483" t="s">
        <v>475</v>
      </c>
    </row>
    <row r="484" spans="1:5">
      <c r="A484">
        <v>483</v>
      </c>
      <c r="B484">
        <v>8821</v>
      </c>
      <c r="C484" t="s">
        <v>524</v>
      </c>
      <c r="D484">
        <v>0.6</v>
      </c>
      <c r="E484" t="s">
        <v>475</v>
      </c>
    </row>
    <row r="485" spans="1:5">
      <c r="A485">
        <v>484</v>
      </c>
      <c r="B485">
        <v>8837</v>
      </c>
      <c r="C485" t="s">
        <v>525</v>
      </c>
      <c r="D485">
        <v>0.5</v>
      </c>
      <c r="E485" t="s">
        <v>475</v>
      </c>
    </row>
    <row r="486" spans="1:5">
      <c r="A486">
        <v>485</v>
      </c>
      <c r="B486">
        <v>8853</v>
      </c>
      <c r="C486" t="s">
        <v>526</v>
      </c>
      <c r="D486">
        <v>1</v>
      </c>
      <c r="E486" t="s">
        <v>475</v>
      </c>
    </row>
    <row r="487" spans="1:5">
      <c r="A487">
        <v>486</v>
      </c>
      <c r="B487">
        <v>8882</v>
      </c>
      <c r="C487" t="s">
        <v>527</v>
      </c>
      <c r="D487">
        <v>1.1000000000000001</v>
      </c>
      <c r="E487" t="s">
        <v>475</v>
      </c>
    </row>
    <row r="488" spans="1:5">
      <c r="A488">
        <v>487</v>
      </c>
      <c r="B488">
        <v>8911</v>
      </c>
      <c r="C488" t="s">
        <v>193</v>
      </c>
      <c r="D488">
        <v>0.8</v>
      </c>
      <c r="E488" t="s">
        <v>475</v>
      </c>
    </row>
    <row r="489" spans="1:5">
      <c r="A489">
        <v>488</v>
      </c>
      <c r="B489">
        <v>8927</v>
      </c>
      <c r="C489" t="s">
        <v>528</v>
      </c>
      <c r="D489">
        <v>0.5</v>
      </c>
      <c r="E489" t="s">
        <v>475</v>
      </c>
    </row>
    <row r="490" spans="1:5">
      <c r="A490">
        <v>489</v>
      </c>
      <c r="B490">
        <v>8943</v>
      </c>
      <c r="C490" t="s">
        <v>529</v>
      </c>
      <c r="D490">
        <v>1.4</v>
      </c>
      <c r="E490" t="s">
        <v>475</v>
      </c>
    </row>
    <row r="491" spans="1:5">
      <c r="A491">
        <v>490</v>
      </c>
      <c r="B491">
        <v>8959</v>
      </c>
      <c r="C491" t="s">
        <v>530</v>
      </c>
      <c r="D491">
        <v>1.7</v>
      </c>
      <c r="E491" t="s">
        <v>475</v>
      </c>
    </row>
    <row r="492" spans="1:5">
      <c r="A492">
        <v>491</v>
      </c>
      <c r="B492">
        <v>8975</v>
      </c>
      <c r="C492" t="s">
        <v>531</v>
      </c>
      <c r="D492">
        <v>0.6</v>
      </c>
      <c r="E492" t="s">
        <v>475</v>
      </c>
    </row>
    <row r="493" spans="1:5">
      <c r="A493">
        <v>492</v>
      </c>
      <c r="B493">
        <v>8991</v>
      </c>
      <c r="C493" t="s">
        <v>532</v>
      </c>
      <c r="D493">
        <v>0.6</v>
      </c>
      <c r="E493" t="s">
        <v>475</v>
      </c>
    </row>
    <row r="494" spans="1:5">
      <c r="A494">
        <v>493</v>
      </c>
      <c r="B494">
        <v>9007</v>
      </c>
      <c r="C494" t="s">
        <v>533</v>
      </c>
      <c r="D494">
        <v>1.2</v>
      </c>
      <c r="E494" t="s">
        <v>475</v>
      </c>
    </row>
    <row r="495" spans="1:5">
      <c r="A495">
        <v>494</v>
      </c>
      <c r="B495">
        <v>9023</v>
      </c>
      <c r="C495" t="s">
        <v>534</v>
      </c>
      <c r="D495">
        <v>1.5</v>
      </c>
      <c r="E495" t="s">
        <v>475</v>
      </c>
    </row>
    <row r="496" spans="1:5">
      <c r="A496">
        <v>495</v>
      </c>
      <c r="B496">
        <v>9039</v>
      </c>
      <c r="C496" t="s">
        <v>112</v>
      </c>
      <c r="D496">
        <v>0.8</v>
      </c>
      <c r="E496" t="s">
        <v>475</v>
      </c>
    </row>
    <row r="497" spans="1:5">
      <c r="A497">
        <v>496</v>
      </c>
      <c r="B497">
        <v>9055</v>
      </c>
      <c r="C497" t="s">
        <v>535</v>
      </c>
      <c r="D497">
        <v>0.7</v>
      </c>
      <c r="E497" t="s">
        <v>475</v>
      </c>
    </row>
    <row r="498" spans="1:5">
      <c r="A498">
        <v>497</v>
      </c>
      <c r="B498">
        <v>9084</v>
      </c>
      <c r="C498" t="s">
        <v>536</v>
      </c>
      <c r="D498">
        <v>0.6</v>
      </c>
      <c r="E498" t="s">
        <v>475</v>
      </c>
    </row>
    <row r="499" spans="1:5">
      <c r="A499">
        <v>498</v>
      </c>
      <c r="B499">
        <v>9100</v>
      </c>
      <c r="C499" t="s">
        <v>537</v>
      </c>
      <c r="D499">
        <v>1.4</v>
      </c>
      <c r="E499" t="s">
        <v>475</v>
      </c>
    </row>
    <row r="500" spans="1:5">
      <c r="A500">
        <v>499</v>
      </c>
      <c r="B500">
        <v>9116</v>
      </c>
      <c r="C500" t="s">
        <v>501</v>
      </c>
      <c r="D500">
        <v>0.4</v>
      </c>
      <c r="E500" t="s">
        <v>475</v>
      </c>
    </row>
    <row r="501" spans="1:5">
      <c r="A501">
        <v>500</v>
      </c>
      <c r="B501">
        <v>9132</v>
      </c>
      <c r="C501" t="s">
        <v>538</v>
      </c>
      <c r="D501">
        <v>0.9</v>
      </c>
      <c r="E501" t="s">
        <v>475</v>
      </c>
    </row>
    <row r="502" spans="1:5">
      <c r="A502">
        <v>501</v>
      </c>
      <c r="B502">
        <v>9164</v>
      </c>
      <c r="C502" t="s">
        <v>539</v>
      </c>
      <c r="D502">
        <v>1.3</v>
      </c>
      <c r="E502" t="s">
        <v>475</v>
      </c>
    </row>
    <row r="503" spans="1:5">
      <c r="A503">
        <v>502</v>
      </c>
      <c r="B503">
        <v>9180</v>
      </c>
      <c r="C503" t="s">
        <v>540</v>
      </c>
      <c r="D503">
        <v>0.8</v>
      </c>
      <c r="E503" t="s">
        <v>475</v>
      </c>
    </row>
    <row r="504" spans="1:5">
      <c r="A504">
        <v>503</v>
      </c>
      <c r="B504">
        <v>9209</v>
      </c>
      <c r="C504" t="s">
        <v>541</v>
      </c>
      <c r="D504">
        <v>1.1000000000000001</v>
      </c>
      <c r="E504" t="s">
        <v>475</v>
      </c>
    </row>
    <row r="505" spans="1:5">
      <c r="A505">
        <v>504</v>
      </c>
      <c r="B505">
        <v>9225</v>
      </c>
      <c r="C505" t="s">
        <v>542</v>
      </c>
      <c r="D505">
        <v>0.4</v>
      </c>
      <c r="E505" t="s">
        <v>475</v>
      </c>
    </row>
    <row r="506" spans="1:5">
      <c r="A506">
        <v>505</v>
      </c>
      <c r="B506">
        <v>9241</v>
      </c>
      <c r="C506" t="s">
        <v>543</v>
      </c>
      <c r="D506">
        <v>0.5</v>
      </c>
      <c r="E506" t="s">
        <v>475</v>
      </c>
    </row>
    <row r="507" spans="1:5">
      <c r="A507">
        <v>506</v>
      </c>
      <c r="B507">
        <v>9257</v>
      </c>
      <c r="C507" t="s">
        <v>544</v>
      </c>
      <c r="D507">
        <v>0.8</v>
      </c>
      <c r="E507" t="s">
        <v>475</v>
      </c>
    </row>
    <row r="508" spans="1:5">
      <c r="A508">
        <v>507</v>
      </c>
      <c r="B508">
        <v>9273</v>
      </c>
      <c r="C508" t="s">
        <v>545</v>
      </c>
      <c r="D508">
        <v>0.4</v>
      </c>
      <c r="E508" t="s">
        <v>475</v>
      </c>
    </row>
    <row r="509" spans="1:5">
      <c r="A509">
        <v>508</v>
      </c>
      <c r="B509">
        <v>9289</v>
      </c>
      <c r="C509" t="s">
        <v>546</v>
      </c>
      <c r="D509">
        <v>1.6</v>
      </c>
      <c r="E509" t="s">
        <v>475</v>
      </c>
    </row>
    <row r="510" spans="1:5">
      <c r="A510">
        <v>509</v>
      </c>
      <c r="B510">
        <v>9305</v>
      </c>
      <c r="C510" t="s">
        <v>129</v>
      </c>
      <c r="D510">
        <v>0.7</v>
      </c>
      <c r="E510" t="s">
        <v>475</v>
      </c>
    </row>
    <row r="511" spans="1:5">
      <c r="A511">
        <v>510</v>
      </c>
      <c r="B511">
        <v>9321</v>
      </c>
      <c r="C511" t="s">
        <v>547</v>
      </c>
      <c r="D511">
        <v>0.9</v>
      </c>
      <c r="E511" t="s">
        <v>475</v>
      </c>
    </row>
    <row r="512" spans="1:5">
      <c r="A512">
        <v>511</v>
      </c>
      <c r="B512">
        <v>9350</v>
      </c>
      <c r="C512" t="s">
        <v>414</v>
      </c>
      <c r="D512">
        <v>0.5</v>
      </c>
      <c r="E512" t="s">
        <v>475</v>
      </c>
    </row>
    <row r="513" spans="1:5">
      <c r="A513">
        <v>512</v>
      </c>
      <c r="B513">
        <v>9366</v>
      </c>
      <c r="C513" t="s">
        <v>548</v>
      </c>
      <c r="D513">
        <v>0.9</v>
      </c>
      <c r="E513" t="s">
        <v>475</v>
      </c>
    </row>
    <row r="514" spans="1:5">
      <c r="A514">
        <v>513</v>
      </c>
      <c r="B514">
        <v>9382</v>
      </c>
      <c r="C514" t="s">
        <v>549</v>
      </c>
      <c r="D514">
        <v>1.2</v>
      </c>
      <c r="E514" t="s">
        <v>475</v>
      </c>
    </row>
    <row r="515" spans="1:5">
      <c r="A515">
        <v>514</v>
      </c>
      <c r="B515">
        <v>9398</v>
      </c>
      <c r="C515" t="s">
        <v>550</v>
      </c>
      <c r="D515">
        <v>0.6</v>
      </c>
      <c r="E515" t="s">
        <v>475</v>
      </c>
    </row>
    <row r="516" spans="1:5">
      <c r="A516">
        <v>515</v>
      </c>
      <c r="B516">
        <v>9414</v>
      </c>
      <c r="C516" t="s">
        <v>551</v>
      </c>
      <c r="D516">
        <v>0.5</v>
      </c>
      <c r="E516" t="s">
        <v>475</v>
      </c>
    </row>
    <row r="517" spans="1:5">
      <c r="A517">
        <v>516</v>
      </c>
      <c r="B517">
        <v>9430</v>
      </c>
      <c r="C517" t="s">
        <v>552</v>
      </c>
      <c r="D517">
        <v>0.9</v>
      </c>
      <c r="E517" t="s">
        <v>475</v>
      </c>
    </row>
    <row r="518" spans="1:5">
      <c r="A518">
        <v>517</v>
      </c>
      <c r="B518">
        <v>9459</v>
      </c>
      <c r="C518" t="s">
        <v>553</v>
      </c>
      <c r="D518">
        <v>0.5</v>
      </c>
      <c r="E518" t="s">
        <v>475</v>
      </c>
    </row>
    <row r="519" spans="1:5">
      <c r="A519">
        <v>518</v>
      </c>
      <c r="B519">
        <v>9475</v>
      </c>
      <c r="C519" t="s">
        <v>554</v>
      </c>
      <c r="D519">
        <v>0.8</v>
      </c>
      <c r="E519" t="s">
        <v>475</v>
      </c>
    </row>
    <row r="520" spans="1:5">
      <c r="A520">
        <v>519</v>
      </c>
      <c r="B520">
        <v>9491</v>
      </c>
      <c r="C520" t="s">
        <v>555</v>
      </c>
      <c r="D520">
        <v>0.8</v>
      </c>
      <c r="E520" t="s">
        <v>475</v>
      </c>
    </row>
    <row r="521" spans="1:5">
      <c r="A521">
        <v>520</v>
      </c>
      <c r="B521">
        <v>9507</v>
      </c>
      <c r="C521" t="s">
        <v>556</v>
      </c>
      <c r="D521">
        <v>1</v>
      </c>
      <c r="E521" t="s">
        <v>475</v>
      </c>
    </row>
    <row r="522" spans="1:5">
      <c r="A522">
        <v>521</v>
      </c>
      <c r="B522">
        <v>9523</v>
      </c>
      <c r="C522" t="s">
        <v>557</v>
      </c>
      <c r="D522">
        <v>0.8</v>
      </c>
      <c r="E522" t="s">
        <v>475</v>
      </c>
    </row>
    <row r="523" spans="1:5">
      <c r="A523">
        <v>522</v>
      </c>
      <c r="B523">
        <v>9539</v>
      </c>
      <c r="C523" t="s">
        <v>558</v>
      </c>
      <c r="D523">
        <v>1</v>
      </c>
      <c r="E523" t="s">
        <v>475</v>
      </c>
    </row>
    <row r="524" spans="1:5">
      <c r="A524">
        <v>523</v>
      </c>
      <c r="B524">
        <v>9568</v>
      </c>
      <c r="C524" t="s">
        <v>390</v>
      </c>
      <c r="D524">
        <v>0.7</v>
      </c>
      <c r="E524" t="s">
        <v>475</v>
      </c>
    </row>
    <row r="525" spans="1:5">
      <c r="A525">
        <v>524</v>
      </c>
      <c r="B525">
        <v>9584</v>
      </c>
      <c r="C525" t="s">
        <v>559</v>
      </c>
      <c r="D525">
        <v>0.6</v>
      </c>
      <c r="E525" t="s">
        <v>475</v>
      </c>
    </row>
    <row r="526" spans="1:5">
      <c r="A526">
        <v>525</v>
      </c>
      <c r="B526">
        <v>9600</v>
      </c>
      <c r="C526" t="s">
        <v>560</v>
      </c>
      <c r="D526">
        <v>0.8</v>
      </c>
      <c r="E526" t="s">
        <v>475</v>
      </c>
    </row>
    <row r="527" spans="1:5">
      <c r="A527">
        <v>526</v>
      </c>
      <c r="B527">
        <v>9629</v>
      </c>
      <c r="C527" t="s">
        <v>561</v>
      </c>
      <c r="D527">
        <v>0.4</v>
      </c>
      <c r="E527" t="s">
        <v>475</v>
      </c>
    </row>
    <row r="528" spans="1:5">
      <c r="A528">
        <v>527</v>
      </c>
      <c r="B528">
        <v>9645</v>
      </c>
      <c r="C528" t="s">
        <v>562</v>
      </c>
      <c r="D528">
        <v>0.7</v>
      </c>
      <c r="E528" t="s">
        <v>475</v>
      </c>
    </row>
    <row r="529" spans="1:5">
      <c r="A529">
        <v>528</v>
      </c>
      <c r="B529">
        <v>9661</v>
      </c>
      <c r="C529" t="s">
        <v>563</v>
      </c>
      <c r="D529">
        <v>0.6</v>
      </c>
      <c r="E529" t="s">
        <v>475</v>
      </c>
    </row>
    <row r="530" spans="1:5">
      <c r="A530">
        <v>529</v>
      </c>
      <c r="B530">
        <v>9677</v>
      </c>
      <c r="C530" t="s">
        <v>564</v>
      </c>
      <c r="D530">
        <v>0.5</v>
      </c>
      <c r="E530" t="s">
        <v>475</v>
      </c>
    </row>
    <row r="531" spans="1:5">
      <c r="A531">
        <v>530</v>
      </c>
      <c r="B531">
        <v>9693</v>
      </c>
      <c r="C531" t="s">
        <v>565</v>
      </c>
      <c r="D531">
        <v>0.4</v>
      </c>
      <c r="E531" t="s">
        <v>475</v>
      </c>
    </row>
    <row r="532" spans="1:5">
      <c r="A532">
        <v>531</v>
      </c>
      <c r="B532">
        <v>9709</v>
      </c>
      <c r="C532" t="s">
        <v>566</v>
      </c>
      <c r="D532">
        <v>0.7</v>
      </c>
      <c r="E532" t="s">
        <v>475</v>
      </c>
    </row>
    <row r="533" spans="1:5">
      <c r="A533">
        <v>532</v>
      </c>
      <c r="B533">
        <v>9725</v>
      </c>
      <c r="C533" t="s">
        <v>567</v>
      </c>
      <c r="D533">
        <v>0.5</v>
      </c>
      <c r="E533" t="s">
        <v>475</v>
      </c>
    </row>
    <row r="534" spans="1:5">
      <c r="A534">
        <v>533</v>
      </c>
      <c r="B534">
        <v>9754</v>
      </c>
      <c r="C534" t="s">
        <v>568</v>
      </c>
      <c r="D534">
        <v>0.5</v>
      </c>
      <c r="E534" t="s">
        <v>475</v>
      </c>
    </row>
    <row r="535" spans="1:5">
      <c r="A535">
        <v>534</v>
      </c>
      <c r="B535">
        <v>9770</v>
      </c>
      <c r="C535" t="s">
        <v>569</v>
      </c>
      <c r="D535">
        <v>0.9</v>
      </c>
      <c r="E535" t="s">
        <v>475</v>
      </c>
    </row>
    <row r="536" spans="1:5">
      <c r="A536">
        <v>535</v>
      </c>
      <c r="B536">
        <v>9786</v>
      </c>
      <c r="C536" t="s">
        <v>364</v>
      </c>
      <c r="D536">
        <v>0.6</v>
      </c>
      <c r="E536" t="s">
        <v>475</v>
      </c>
    </row>
    <row r="537" spans="1:5">
      <c r="A537">
        <v>536</v>
      </c>
      <c r="B537">
        <v>9802</v>
      </c>
      <c r="C537" t="s">
        <v>218</v>
      </c>
      <c r="D537">
        <v>0.7</v>
      </c>
      <c r="E537" t="s">
        <v>475</v>
      </c>
    </row>
    <row r="538" spans="1:5">
      <c r="A538">
        <v>537</v>
      </c>
      <c r="B538">
        <v>9831</v>
      </c>
      <c r="C538" t="s">
        <v>570</v>
      </c>
      <c r="D538">
        <v>0.5</v>
      </c>
      <c r="E538" t="s">
        <v>475</v>
      </c>
    </row>
    <row r="539" spans="1:5">
      <c r="A539">
        <v>538</v>
      </c>
      <c r="B539">
        <v>9847</v>
      </c>
      <c r="C539" t="s">
        <v>403</v>
      </c>
      <c r="D539">
        <v>1.2</v>
      </c>
      <c r="E539" t="s">
        <v>475</v>
      </c>
    </row>
    <row r="540" spans="1:5">
      <c r="A540">
        <v>539</v>
      </c>
      <c r="B540">
        <v>9863</v>
      </c>
      <c r="C540" t="s">
        <v>571</v>
      </c>
      <c r="D540">
        <v>0.7</v>
      </c>
      <c r="E540" t="s">
        <v>475</v>
      </c>
    </row>
    <row r="541" spans="1:5">
      <c r="A541">
        <v>540</v>
      </c>
      <c r="B541">
        <v>9879</v>
      </c>
      <c r="C541" t="s">
        <v>572</v>
      </c>
      <c r="D541">
        <v>1.2</v>
      </c>
      <c r="E541" t="s">
        <v>475</v>
      </c>
    </row>
    <row r="542" spans="1:5">
      <c r="A542">
        <v>541</v>
      </c>
      <c r="B542">
        <v>9908</v>
      </c>
      <c r="C542" t="s">
        <v>573</v>
      </c>
      <c r="D542">
        <v>0.9</v>
      </c>
      <c r="E542" t="s">
        <v>475</v>
      </c>
    </row>
    <row r="543" spans="1:5">
      <c r="A543">
        <v>542</v>
      </c>
      <c r="B543">
        <v>9924</v>
      </c>
      <c r="C543" t="s">
        <v>574</v>
      </c>
      <c r="D543">
        <v>1.1000000000000001</v>
      </c>
      <c r="E543" t="s">
        <v>475</v>
      </c>
    </row>
    <row r="544" spans="1:5">
      <c r="A544">
        <v>543</v>
      </c>
      <c r="B544">
        <v>9940</v>
      </c>
      <c r="C544" t="s">
        <v>575</v>
      </c>
      <c r="D544">
        <v>0.5</v>
      </c>
      <c r="E544" t="s">
        <v>475</v>
      </c>
    </row>
    <row r="545" spans="1:5">
      <c r="A545">
        <v>544</v>
      </c>
      <c r="B545">
        <v>9956</v>
      </c>
      <c r="C545" t="s">
        <v>299</v>
      </c>
      <c r="D545">
        <v>0.4</v>
      </c>
      <c r="E545" t="s">
        <v>475</v>
      </c>
    </row>
    <row r="546" spans="1:5">
      <c r="A546">
        <v>545</v>
      </c>
      <c r="B546">
        <v>9972</v>
      </c>
      <c r="C546" t="s">
        <v>576</v>
      </c>
      <c r="D546">
        <v>0.2</v>
      </c>
      <c r="E546" t="s">
        <v>475</v>
      </c>
    </row>
    <row r="547" spans="1:5">
      <c r="A547">
        <v>546</v>
      </c>
      <c r="B547">
        <v>10001</v>
      </c>
      <c r="C547" t="s">
        <v>577</v>
      </c>
      <c r="D547">
        <v>0.5</v>
      </c>
      <c r="E547" t="s">
        <v>475</v>
      </c>
    </row>
    <row r="548" spans="1:5">
      <c r="A548">
        <v>547</v>
      </c>
      <c r="B548">
        <v>10017</v>
      </c>
      <c r="C548" t="s">
        <v>462</v>
      </c>
      <c r="D548">
        <v>1.4</v>
      </c>
      <c r="E548" t="s">
        <v>475</v>
      </c>
    </row>
    <row r="549" spans="1:5">
      <c r="A549">
        <v>548</v>
      </c>
      <c r="B549">
        <v>10033</v>
      </c>
      <c r="C549" t="s">
        <v>578</v>
      </c>
      <c r="D549">
        <v>0.8</v>
      </c>
      <c r="E549" t="s">
        <v>475</v>
      </c>
    </row>
    <row r="550" spans="1:5">
      <c r="A550">
        <v>549</v>
      </c>
      <c r="B550">
        <v>10049</v>
      </c>
      <c r="C550" t="s">
        <v>579</v>
      </c>
      <c r="D550">
        <v>0.6</v>
      </c>
      <c r="E550" t="s">
        <v>475</v>
      </c>
    </row>
    <row r="551" spans="1:5">
      <c r="A551">
        <v>550</v>
      </c>
      <c r="B551">
        <v>10081</v>
      </c>
      <c r="C551" t="s">
        <v>268</v>
      </c>
      <c r="D551">
        <v>0.9</v>
      </c>
      <c r="E551" t="s">
        <v>475</v>
      </c>
    </row>
    <row r="552" spans="1:5">
      <c r="A552">
        <v>551</v>
      </c>
      <c r="B552">
        <v>10097</v>
      </c>
      <c r="C552" t="s">
        <v>580</v>
      </c>
      <c r="D552">
        <v>0.3</v>
      </c>
      <c r="E552" t="s">
        <v>475</v>
      </c>
    </row>
    <row r="553" spans="1:5">
      <c r="A553">
        <v>552</v>
      </c>
      <c r="B553">
        <v>10113</v>
      </c>
      <c r="C553" t="s">
        <v>581</v>
      </c>
      <c r="D553">
        <v>1.1000000000000001</v>
      </c>
      <c r="E553" t="s">
        <v>475</v>
      </c>
    </row>
    <row r="554" spans="1:5">
      <c r="A554">
        <v>553</v>
      </c>
      <c r="B554">
        <v>10129</v>
      </c>
      <c r="C554" t="s">
        <v>582</v>
      </c>
      <c r="D554">
        <v>0.6</v>
      </c>
      <c r="E554" t="s">
        <v>475</v>
      </c>
    </row>
    <row r="555" spans="1:5">
      <c r="A555">
        <v>554</v>
      </c>
      <c r="B555">
        <v>10145</v>
      </c>
      <c r="C555" t="s">
        <v>583</v>
      </c>
      <c r="D555">
        <v>1.3</v>
      </c>
      <c r="E555" t="s">
        <v>475</v>
      </c>
    </row>
    <row r="556" spans="1:5">
      <c r="A556">
        <v>555</v>
      </c>
      <c r="B556">
        <v>10161</v>
      </c>
      <c r="C556" t="s">
        <v>584</v>
      </c>
      <c r="D556">
        <v>0.5</v>
      </c>
      <c r="E556" t="s">
        <v>475</v>
      </c>
    </row>
    <row r="557" spans="1:5">
      <c r="A557">
        <v>556</v>
      </c>
      <c r="B557">
        <v>10177</v>
      </c>
      <c r="C557" t="s">
        <v>585</v>
      </c>
      <c r="D557">
        <v>0.7</v>
      </c>
      <c r="E557" t="s">
        <v>475</v>
      </c>
    </row>
    <row r="558" spans="1:5">
      <c r="A558">
        <v>557</v>
      </c>
      <c r="B558">
        <v>10193</v>
      </c>
      <c r="C558" t="s">
        <v>586</v>
      </c>
      <c r="D558">
        <v>0.6</v>
      </c>
      <c r="E558" t="s">
        <v>475</v>
      </c>
    </row>
    <row r="559" spans="1:5">
      <c r="A559">
        <v>558</v>
      </c>
      <c r="B559">
        <v>10225</v>
      </c>
      <c r="C559" t="s">
        <v>587</v>
      </c>
      <c r="D559">
        <v>0.8</v>
      </c>
      <c r="E559" t="s">
        <v>475</v>
      </c>
    </row>
    <row r="560" spans="1:5">
      <c r="A560">
        <v>559</v>
      </c>
      <c r="B560">
        <v>10241</v>
      </c>
      <c r="C560" t="s">
        <v>588</v>
      </c>
      <c r="D560">
        <v>1.8</v>
      </c>
      <c r="E560" t="s">
        <v>475</v>
      </c>
    </row>
    <row r="561" spans="1:5">
      <c r="A561">
        <v>560</v>
      </c>
      <c r="B561">
        <v>10257</v>
      </c>
      <c r="C561" t="s">
        <v>589</v>
      </c>
      <c r="D561">
        <v>0.5</v>
      </c>
      <c r="E561" t="s">
        <v>475</v>
      </c>
    </row>
    <row r="562" spans="1:5">
      <c r="A562">
        <v>561</v>
      </c>
      <c r="B562">
        <v>10273</v>
      </c>
      <c r="C562" t="s">
        <v>590</v>
      </c>
      <c r="D562">
        <v>0.5</v>
      </c>
      <c r="E562" t="s">
        <v>475</v>
      </c>
    </row>
    <row r="563" spans="1:5">
      <c r="A563">
        <v>562</v>
      </c>
      <c r="B563">
        <v>10302</v>
      </c>
      <c r="C563" t="s">
        <v>382</v>
      </c>
      <c r="D563">
        <v>0.8</v>
      </c>
      <c r="E563" t="s">
        <v>475</v>
      </c>
    </row>
    <row r="564" spans="1:5">
      <c r="A564">
        <v>563</v>
      </c>
      <c r="B564">
        <v>10318</v>
      </c>
      <c r="C564" t="s">
        <v>156</v>
      </c>
      <c r="D564">
        <v>0.5</v>
      </c>
      <c r="E564" t="s">
        <v>475</v>
      </c>
    </row>
    <row r="565" spans="1:5">
      <c r="A565">
        <v>564</v>
      </c>
      <c r="B565">
        <v>10334</v>
      </c>
      <c r="C565" t="s">
        <v>591</v>
      </c>
      <c r="D565">
        <v>0.9</v>
      </c>
      <c r="E565" t="s">
        <v>475</v>
      </c>
    </row>
    <row r="566" spans="1:5">
      <c r="A566">
        <v>565</v>
      </c>
      <c r="B566">
        <v>10395</v>
      </c>
      <c r="C566" t="s">
        <v>592</v>
      </c>
      <c r="D566">
        <v>0.5</v>
      </c>
      <c r="E566" t="s">
        <v>475</v>
      </c>
    </row>
    <row r="567" spans="1:5">
      <c r="A567">
        <v>566</v>
      </c>
      <c r="B567">
        <v>10411</v>
      </c>
      <c r="C567" t="s">
        <v>593</v>
      </c>
      <c r="D567">
        <v>0.3</v>
      </c>
      <c r="E567" t="s">
        <v>475</v>
      </c>
    </row>
    <row r="568" spans="1:5">
      <c r="A568">
        <v>567</v>
      </c>
      <c r="B568">
        <v>10440</v>
      </c>
      <c r="C568" t="s">
        <v>594</v>
      </c>
      <c r="D568">
        <v>0.9</v>
      </c>
      <c r="E568" t="s">
        <v>475</v>
      </c>
    </row>
    <row r="569" spans="1:5">
      <c r="A569">
        <v>568</v>
      </c>
      <c r="B569">
        <v>10456</v>
      </c>
      <c r="C569" t="s">
        <v>595</v>
      </c>
      <c r="D569">
        <v>0.5</v>
      </c>
      <c r="E569" t="s">
        <v>475</v>
      </c>
    </row>
    <row r="570" spans="1:5">
      <c r="A570">
        <v>569</v>
      </c>
      <c r="B570">
        <v>10472</v>
      </c>
      <c r="C570" t="s">
        <v>533</v>
      </c>
      <c r="D570">
        <v>1.2</v>
      </c>
      <c r="E570" t="s">
        <v>475</v>
      </c>
    </row>
    <row r="571" spans="1:5">
      <c r="A571">
        <v>570</v>
      </c>
      <c r="B571">
        <v>10488</v>
      </c>
      <c r="C571" t="s">
        <v>596</v>
      </c>
      <c r="D571">
        <v>0.3</v>
      </c>
      <c r="E571" t="s">
        <v>475</v>
      </c>
    </row>
    <row r="572" spans="1:5">
      <c r="A572">
        <v>571</v>
      </c>
      <c r="B572">
        <v>10517</v>
      </c>
      <c r="C572" t="s">
        <v>597</v>
      </c>
      <c r="D572">
        <v>0.8</v>
      </c>
      <c r="E572" t="s">
        <v>475</v>
      </c>
    </row>
    <row r="573" spans="1:5">
      <c r="A573">
        <v>572</v>
      </c>
      <c r="B573">
        <v>10533</v>
      </c>
      <c r="C573" t="s">
        <v>598</v>
      </c>
      <c r="D573">
        <v>0.8</v>
      </c>
      <c r="E573" t="s">
        <v>475</v>
      </c>
    </row>
    <row r="574" spans="1:5">
      <c r="A574">
        <v>573</v>
      </c>
      <c r="B574">
        <v>10549</v>
      </c>
      <c r="C574" t="s">
        <v>97</v>
      </c>
      <c r="D574">
        <v>0.6</v>
      </c>
      <c r="E574" t="s">
        <v>475</v>
      </c>
    </row>
    <row r="575" spans="1:5">
      <c r="A575">
        <v>574</v>
      </c>
      <c r="B575">
        <v>10565</v>
      </c>
      <c r="C575" t="s">
        <v>599</v>
      </c>
      <c r="D575">
        <v>1.2</v>
      </c>
      <c r="E575" t="s">
        <v>475</v>
      </c>
    </row>
    <row r="576" spans="1:5">
      <c r="A576">
        <v>575</v>
      </c>
      <c r="B576">
        <v>10581</v>
      </c>
      <c r="C576" t="s">
        <v>600</v>
      </c>
      <c r="D576">
        <v>0.8</v>
      </c>
      <c r="E576" t="s">
        <v>475</v>
      </c>
    </row>
    <row r="577" spans="1:5">
      <c r="A577">
        <v>576</v>
      </c>
      <c r="B577">
        <v>10610</v>
      </c>
      <c r="C577" t="s">
        <v>601</v>
      </c>
      <c r="D577">
        <v>0.7</v>
      </c>
      <c r="E577" t="s">
        <v>475</v>
      </c>
    </row>
    <row r="578" spans="1:5">
      <c r="A578">
        <v>577</v>
      </c>
      <c r="B578">
        <v>10626</v>
      </c>
      <c r="C578" t="s">
        <v>602</v>
      </c>
      <c r="D578">
        <v>1</v>
      </c>
      <c r="E578" t="s">
        <v>475</v>
      </c>
    </row>
    <row r="579" spans="1:5">
      <c r="A579">
        <v>578</v>
      </c>
      <c r="B579">
        <v>10642</v>
      </c>
      <c r="C579" t="s">
        <v>603</v>
      </c>
      <c r="D579">
        <v>0.4</v>
      </c>
      <c r="E579" t="s">
        <v>475</v>
      </c>
    </row>
    <row r="580" spans="1:5">
      <c r="A580">
        <v>579</v>
      </c>
      <c r="B580">
        <v>10658</v>
      </c>
      <c r="C580" t="s">
        <v>264</v>
      </c>
      <c r="D580">
        <v>1.1000000000000001</v>
      </c>
      <c r="E580" t="s">
        <v>475</v>
      </c>
    </row>
    <row r="581" spans="1:5">
      <c r="A581">
        <v>580</v>
      </c>
      <c r="B581">
        <v>10674</v>
      </c>
      <c r="C581" t="s">
        <v>484</v>
      </c>
      <c r="D581">
        <v>0.8</v>
      </c>
      <c r="E581" t="s">
        <v>475</v>
      </c>
    </row>
    <row r="582" spans="1:5">
      <c r="A582">
        <v>581</v>
      </c>
      <c r="B582">
        <v>10703</v>
      </c>
      <c r="C582" t="s">
        <v>604</v>
      </c>
      <c r="D582">
        <v>0.5</v>
      </c>
      <c r="E582" t="s">
        <v>475</v>
      </c>
    </row>
    <row r="583" spans="1:5">
      <c r="A583">
        <v>582</v>
      </c>
      <c r="B583">
        <v>10719</v>
      </c>
      <c r="C583" t="s">
        <v>153</v>
      </c>
      <c r="D583">
        <v>1.2</v>
      </c>
      <c r="E583" t="s">
        <v>475</v>
      </c>
    </row>
    <row r="584" spans="1:5">
      <c r="A584">
        <v>583</v>
      </c>
      <c r="B584">
        <v>10735</v>
      </c>
      <c r="C584" t="s">
        <v>605</v>
      </c>
      <c r="D584">
        <v>1.2</v>
      </c>
      <c r="E584" t="s">
        <v>475</v>
      </c>
    </row>
    <row r="585" spans="1:5">
      <c r="A585">
        <v>584</v>
      </c>
      <c r="B585">
        <v>10764</v>
      </c>
      <c r="C585" t="s">
        <v>606</v>
      </c>
      <c r="D585">
        <v>0.6</v>
      </c>
      <c r="E585" t="s">
        <v>475</v>
      </c>
    </row>
    <row r="586" spans="1:5">
      <c r="A586">
        <v>585</v>
      </c>
      <c r="B586">
        <v>10780</v>
      </c>
      <c r="C586" t="s">
        <v>607</v>
      </c>
      <c r="D586">
        <v>1.1000000000000001</v>
      </c>
      <c r="E586" t="s">
        <v>475</v>
      </c>
    </row>
    <row r="587" spans="1:5">
      <c r="A587">
        <v>586</v>
      </c>
      <c r="B587">
        <v>10796</v>
      </c>
      <c r="C587" t="s">
        <v>360</v>
      </c>
      <c r="D587">
        <v>0.3</v>
      </c>
      <c r="E587" t="s">
        <v>475</v>
      </c>
    </row>
    <row r="588" spans="1:5">
      <c r="A588">
        <v>587</v>
      </c>
      <c r="B588">
        <v>10812</v>
      </c>
      <c r="C588" t="s">
        <v>225</v>
      </c>
      <c r="D588">
        <v>1.2</v>
      </c>
      <c r="E588" t="s">
        <v>475</v>
      </c>
    </row>
    <row r="589" spans="1:5">
      <c r="A589">
        <v>588</v>
      </c>
      <c r="B589">
        <v>10841</v>
      </c>
      <c r="C589" t="s">
        <v>582</v>
      </c>
      <c r="D589">
        <v>0.6</v>
      </c>
      <c r="E589" t="s">
        <v>475</v>
      </c>
    </row>
    <row r="590" spans="1:5">
      <c r="A590">
        <v>589</v>
      </c>
      <c r="B590">
        <v>10857</v>
      </c>
      <c r="C590" t="s">
        <v>608</v>
      </c>
      <c r="D590">
        <v>0.3</v>
      </c>
      <c r="E590" t="s">
        <v>475</v>
      </c>
    </row>
    <row r="591" spans="1:5">
      <c r="A591">
        <v>590</v>
      </c>
      <c r="B591">
        <v>10873</v>
      </c>
      <c r="C591" t="s">
        <v>609</v>
      </c>
      <c r="D591">
        <v>0.8</v>
      </c>
      <c r="E591" t="s">
        <v>475</v>
      </c>
    </row>
    <row r="592" spans="1:5">
      <c r="A592">
        <v>591</v>
      </c>
      <c r="B592">
        <v>10902</v>
      </c>
      <c r="C592" t="s">
        <v>610</v>
      </c>
      <c r="D592">
        <v>1.1000000000000001</v>
      </c>
      <c r="E592" t="s">
        <v>611</v>
      </c>
    </row>
    <row r="593" spans="1:5">
      <c r="A593">
        <v>592</v>
      </c>
      <c r="B593">
        <v>10918</v>
      </c>
      <c r="C593" t="s">
        <v>336</v>
      </c>
      <c r="D593">
        <v>1</v>
      </c>
      <c r="E593" t="s">
        <v>611</v>
      </c>
    </row>
    <row r="594" spans="1:5">
      <c r="A594">
        <v>593</v>
      </c>
      <c r="B594">
        <v>10947</v>
      </c>
      <c r="C594" t="s">
        <v>422</v>
      </c>
      <c r="D594">
        <v>0.8</v>
      </c>
      <c r="E594" t="s">
        <v>611</v>
      </c>
    </row>
    <row r="595" spans="1:5">
      <c r="A595">
        <v>594</v>
      </c>
      <c r="B595">
        <v>10963</v>
      </c>
      <c r="C595" t="s">
        <v>612</v>
      </c>
      <c r="D595">
        <v>1.2</v>
      </c>
      <c r="E595" t="s">
        <v>611</v>
      </c>
    </row>
    <row r="596" spans="1:5">
      <c r="A596">
        <v>595</v>
      </c>
      <c r="B596">
        <v>10979</v>
      </c>
      <c r="C596" t="s">
        <v>613</v>
      </c>
      <c r="D596">
        <v>0.5</v>
      </c>
      <c r="E596" t="s">
        <v>611</v>
      </c>
    </row>
    <row r="597" spans="1:5">
      <c r="A597">
        <v>596</v>
      </c>
      <c r="B597">
        <v>11008</v>
      </c>
      <c r="C597" t="s">
        <v>614</v>
      </c>
      <c r="D597">
        <v>1.3</v>
      </c>
      <c r="E597" t="s">
        <v>611</v>
      </c>
    </row>
    <row r="598" spans="1:5">
      <c r="A598">
        <v>597</v>
      </c>
      <c r="B598">
        <v>11037</v>
      </c>
      <c r="C598" t="s">
        <v>400</v>
      </c>
      <c r="D598">
        <v>0.4</v>
      </c>
      <c r="E598" t="s">
        <v>611</v>
      </c>
    </row>
    <row r="599" spans="1:5">
      <c r="A599">
        <v>598</v>
      </c>
      <c r="B599">
        <v>11053</v>
      </c>
      <c r="C599" t="s">
        <v>615</v>
      </c>
      <c r="D599">
        <v>0.8</v>
      </c>
      <c r="E599" t="s">
        <v>611</v>
      </c>
    </row>
    <row r="600" spans="1:5">
      <c r="A600">
        <v>599</v>
      </c>
      <c r="B600">
        <v>11069</v>
      </c>
      <c r="C600" t="s">
        <v>616</v>
      </c>
      <c r="D600">
        <v>0.5</v>
      </c>
      <c r="E600" t="s">
        <v>611</v>
      </c>
    </row>
    <row r="601" spans="1:5">
      <c r="A601">
        <v>600</v>
      </c>
      <c r="B601">
        <v>11085</v>
      </c>
      <c r="C601" t="s">
        <v>617</v>
      </c>
      <c r="D601">
        <v>1.4</v>
      </c>
      <c r="E601" t="s">
        <v>611</v>
      </c>
    </row>
    <row r="602" spans="1:5">
      <c r="A602">
        <v>601</v>
      </c>
      <c r="B602">
        <v>11101</v>
      </c>
      <c r="C602" t="s">
        <v>447</v>
      </c>
      <c r="D602">
        <v>0.7</v>
      </c>
      <c r="E602" t="s">
        <v>611</v>
      </c>
    </row>
    <row r="603" spans="1:5">
      <c r="A603">
        <v>602</v>
      </c>
      <c r="B603">
        <v>11117</v>
      </c>
      <c r="C603" t="s">
        <v>618</v>
      </c>
      <c r="D603">
        <v>1</v>
      </c>
      <c r="E603" t="s">
        <v>611</v>
      </c>
    </row>
    <row r="604" spans="1:5">
      <c r="A604">
        <v>603</v>
      </c>
      <c r="B604">
        <v>11146</v>
      </c>
      <c r="C604" t="s">
        <v>362</v>
      </c>
      <c r="D604">
        <v>1.1000000000000001</v>
      </c>
      <c r="E604" t="s">
        <v>611</v>
      </c>
    </row>
    <row r="605" spans="1:5">
      <c r="A605">
        <v>604</v>
      </c>
      <c r="B605">
        <v>11162</v>
      </c>
      <c r="C605" t="s">
        <v>418</v>
      </c>
      <c r="D605">
        <v>1.1000000000000001</v>
      </c>
      <c r="E605" t="s">
        <v>611</v>
      </c>
    </row>
    <row r="606" spans="1:5">
      <c r="A606">
        <v>605</v>
      </c>
      <c r="B606">
        <v>11178</v>
      </c>
      <c r="C606" t="s">
        <v>619</v>
      </c>
      <c r="D606">
        <v>1.6</v>
      </c>
      <c r="E606" t="s">
        <v>611</v>
      </c>
    </row>
    <row r="607" spans="1:5">
      <c r="A607">
        <v>606</v>
      </c>
      <c r="B607">
        <v>11194</v>
      </c>
      <c r="C607" t="s">
        <v>581</v>
      </c>
      <c r="D607">
        <v>1.1000000000000001</v>
      </c>
      <c r="E607" t="s">
        <v>611</v>
      </c>
    </row>
    <row r="608" spans="1:5">
      <c r="A608">
        <v>607</v>
      </c>
      <c r="B608">
        <v>11210</v>
      </c>
      <c r="C608" t="s">
        <v>620</v>
      </c>
      <c r="D608">
        <v>0.8</v>
      </c>
      <c r="E608" t="s">
        <v>611</v>
      </c>
    </row>
    <row r="609" spans="1:5">
      <c r="A609">
        <v>608</v>
      </c>
      <c r="B609">
        <v>11226</v>
      </c>
      <c r="C609" t="s">
        <v>621</v>
      </c>
      <c r="D609">
        <v>0.9</v>
      </c>
      <c r="E609" t="s">
        <v>611</v>
      </c>
    </row>
    <row r="610" spans="1:5">
      <c r="A610">
        <v>609</v>
      </c>
      <c r="B610">
        <v>11242</v>
      </c>
      <c r="C610" t="s">
        <v>285</v>
      </c>
      <c r="D610">
        <v>0.9</v>
      </c>
      <c r="E610" t="s">
        <v>611</v>
      </c>
    </row>
    <row r="611" spans="1:5">
      <c r="A611">
        <v>610</v>
      </c>
      <c r="B611">
        <v>11258</v>
      </c>
      <c r="C611" t="s">
        <v>622</v>
      </c>
      <c r="D611">
        <v>0.7</v>
      </c>
      <c r="E611" t="s">
        <v>611</v>
      </c>
    </row>
    <row r="612" spans="1:5">
      <c r="A612">
        <v>611</v>
      </c>
      <c r="B612">
        <v>11274</v>
      </c>
      <c r="C612" t="s">
        <v>237</v>
      </c>
      <c r="D612">
        <v>0.7</v>
      </c>
      <c r="E612" t="s">
        <v>611</v>
      </c>
    </row>
    <row r="613" spans="1:5">
      <c r="A613">
        <v>612</v>
      </c>
      <c r="B613">
        <v>11303</v>
      </c>
      <c r="C613" t="s">
        <v>429</v>
      </c>
      <c r="D613">
        <v>0.6</v>
      </c>
      <c r="E613" t="s">
        <v>611</v>
      </c>
    </row>
    <row r="614" spans="1:5">
      <c r="A614">
        <v>613</v>
      </c>
      <c r="B614">
        <v>11319</v>
      </c>
      <c r="C614" t="s">
        <v>623</v>
      </c>
      <c r="D614">
        <v>0.8</v>
      </c>
      <c r="E614" t="s">
        <v>611</v>
      </c>
    </row>
    <row r="615" spans="1:5">
      <c r="A615">
        <v>614</v>
      </c>
      <c r="B615">
        <v>11335</v>
      </c>
      <c r="C615" t="s">
        <v>624</v>
      </c>
      <c r="D615">
        <v>0.7</v>
      </c>
      <c r="E615" t="s">
        <v>611</v>
      </c>
    </row>
    <row r="616" spans="1:5">
      <c r="A616">
        <v>615</v>
      </c>
      <c r="B616">
        <v>11351</v>
      </c>
      <c r="C616" t="s">
        <v>625</v>
      </c>
      <c r="D616">
        <v>1.2</v>
      </c>
      <c r="E616" t="s">
        <v>611</v>
      </c>
    </row>
    <row r="617" spans="1:5">
      <c r="A617">
        <v>616</v>
      </c>
      <c r="B617">
        <v>11367</v>
      </c>
      <c r="C617" t="s">
        <v>626</v>
      </c>
      <c r="D617">
        <v>0.9</v>
      </c>
      <c r="E617" t="s">
        <v>611</v>
      </c>
    </row>
    <row r="618" spans="1:5">
      <c r="A618">
        <v>617</v>
      </c>
      <c r="B618">
        <v>11383</v>
      </c>
      <c r="C618" t="s">
        <v>627</v>
      </c>
      <c r="D618">
        <v>1.4</v>
      </c>
      <c r="E618" t="s">
        <v>611</v>
      </c>
    </row>
    <row r="619" spans="1:5">
      <c r="A619">
        <v>618</v>
      </c>
      <c r="B619">
        <v>11399</v>
      </c>
      <c r="C619" t="s">
        <v>628</v>
      </c>
      <c r="D619">
        <v>1.1000000000000001</v>
      </c>
      <c r="E619" t="s">
        <v>611</v>
      </c>
    </row>
    <row r="620" spans="1:5">
      <c r="A620">
        <v>619</v>
      </c>
      <c r="B620">
        <v>11415</v>
      </c>
      <c r="C620" t="s">
        <v>629</v>
      </c>
      <c r="D620">
        <v>0.8</v>
      </c>
      <c r="E620" t="s">
        <v>611</v>
      </c>
    </row>
    <row r="621" spans="1:5">
      <c r="A621">
        <v>620</v>
      </c>
      <c r="B621">
        <v>11431</v>
      </c>
      <c r="C621" t="s">
        <v>630</v>
      </c>
      <c r="D621">
        <v>0.6</v>
      </c>
      <c r="E621" t="s">
        <v>611</v>
      </c>
    </row>
    <row r="622" spans="1:5">
      <c r="A622">
        <v>621</v>
      </c>
      <c r="B622">
        <v>11447</v>
      </c>
      <c r="C622" t="s">
        <v>631</v>
      </c>
      <c r="D622">
        <v>0.6</v>
      </c>
      <c r="E622" t="s">
        <v>611</v>
      </c>
    </row>
    <row r="623" spans="1:5">
      <c r="A623">
        <v>622</v>
      </c>
      <c r="B623">
        <v>11476</v>
      </c>
      <c r="C623" t="s">
        <v>572</v>
      </c>
      <c r="D623">
        <v>1.2</v>
      </c>
      <c r="E623" t="s">
        <v>611</v>
      </c>
    </row>
    <row r="624" spans="1:5">
      <c r="A624">
        <v>623</v>
      </c>
      <c r="B624">
        <v>11492</v>
      </c>
      <c r="C624" t="s">
        <v>632</v>
      </c>
      <c r="D624">
        <v>1.5</v>
      </c>
      <c r="E624" t="s">
        <v>611</v>
      </c>
    </row>
    <row r="625" spans="1:5">
      <c r="A625">
        <v>624</v>
      </c>
      <c r="B625">
        <v>11508</v>
      </c>
      <c r="C625" t="s">
        <v>633</v>
      </c>
      <c r="D625">
        <v>0.8</v>
      </c>
      <c r="E625" t="s">
        <v>611</v>
      </c>
    </row>
    <row r="626" spans="1:5">
      <c r="A626">
        <v>625</v>
      </c>
      <c r="B626">
        <v>11524</v>
      </c>
      <c r="C626" t="s">
        <v>634</v>
      </c>
      <c r="D626">
        <v>0.5</v>
      </c>
      <c r="E626" t="s">
        <v>611</v>
      </c>
    </row>
    <row r="627" spans="1:5">
      <c r="A627">
        <v>626</v>
      </c>
      <c r="B627">
        <v>11540</v>
      </c>
      <c r="C627" t="s">
        <v>551</v>
      </c>
      <c r="D627">
        <v>0.5</v>
      </c>
      <c r="E627" t="s">
        <v>611</v>
      </c>
    </row>
    <row r="628" spans="1:5">
      <c r="A628">
        <v>627</v>
      </c>
      <c r="B628">
        <v>11569</v>
      </c>
      <c r="C628" t="s">
        <v>361</v>
      </c>
      <c r="D628">
        <v>0.8</v>
      </c>
      <c r="E628" t="s">
        <v>611</v>
      </c>
    </row>
    <row r="629" spans="1:5">
      <c r="A629">
        <v>628</v>
      </c>
      <c r="B629">
        <v>11585</v>
      </c>
      <c r="C629" t="s">
        <v>635</v>
      </c>
      <c r="D629">
        <v>0.7</v>
      </c>
      <c r="E629" t="s">
        <v>611</v>
      </c>
    </row>
    <row r="630" spans="1:5">
      <c r="A630">
        <v>629</v>
      </c>
      <c r="B630">
        <v>11601</v>
      </c>
      <c r="C630" t="s">
        <v>621</v>
      </c>
      <c r="D630">
        <v>0.9</v>
      </c>
      <c r="E630" t="s">
        <v>611</v>
      </c>
    </row>
    <row r="631" spans="1:5">
      <c r="A631">
        <v>630</v>
      </c>
      <c r="B631">
        <v>11633</v>
      </c>
      <c r="C631" t="s">
        <v>189</v>
      </c>
      <c r="D631">
        <v>0.8</v>
      </c>
      <c r="E631" t="s">
        <v>611</v>
      </c>
    </row>
    <row r="632" spans="1:5">
      <c r="A632">
        <v>631</v>
      </c>
      <c r="B632">
        <v>11649</v>
      </c>
      <c r="C632" t="s">
        <v>636</v>
      </c>
      <c r="D632">
        <v>1.1000000000000001</v>
      </c>
      <c r="E632" t="s">
        <v>611</v>
      </c>
    </row>
    <row r="633" spans="1:5">
      <c r="A633">
        <v>632</v>
      </c>
      <c r="B633">
        <v>11665</v>
      </c>
      <c r="C633" t="s">
        <v>637</v>
      </c>
      <c r="D633">
        <v>0.4</v>
      </c>
      <c r="E633" t="s">
        <v>611</v>
      </c>
    </row>
    <row r="634" spans="1:5">
      <c r="A634">
        <v>633</v>
      </c>
      <c r="B634">
        <v>11681</v>
      </c>
      <c r="C634" t="s">
        <v>638</v>
      </c>
      <c r="D634">
        <v>0.7</v>
      </c>
      <c r="E634" t="s">
        <v>611</v>
      </c>
    </row>
    <row r="635" spans="1:5">
      <c r="A635">
        <v>634</v>
      </c>
      <c r="B635">
        <v>11710</v>
      </c>
      <c r="C635" t="s">
        <v>639</v>
      </c>
      <c r="D635">
        <v>1.3</v>
      </c>
      <c r="E635" t="s">
        <v>640</v>
      </c>
    </row>
    <row r="636" spans="1:5">
      <c r="A636">
        <v>635</v>
      </c>
      <c r="B636">
        <v>11726</v>
      </c>
      <c r="C636" t="s">
        <v>641</v>
      </c>
      <c r="D636">
        <v>0.9</v>
      </c>
      <c r="E636" t="s">
        <v>640</v>
      </c>
    </row>
    <row r="637" spans="1:5">
      <c r="A637">
        <v>636</v>
      </c>
      <c r="B637">
        <v>11742</v>
      </c>
      <c r="C637" t="s">
        <v>642</v>
      </c>
      <c r="D637">
        <v>0.2</v>
      </c>
      <c r="E637" t="s">
        <v>640</v>
      </c>
    </row>
    <row r="638" spans="1:5">
      <c r="A638">
        <v>637</v>
      </c>
      <c r="B638">
        <v>11758</v>
      </c>
      <c r="C638" t="s">
        <v>643</v>
      </c>
      <c r="D638">
        <v>0.6</v>
      </c>
      <c r="E638" t="s">
        <v>640</v>
      </c>
    </row>
    <row r="639" spans="1:5">
      <c r="A639">
        <v>638</v>
      </c>
      <c r="B639">
        <v>11774</v>
      </c>
      <c r="C639" t="s">
        <v>644</v>
      </c>
      <c r="D639">
        <v>1.1000000000000001</v>
      </c>
      <c r="E639" t="s">
        <v>640</v>
      </c>
    </row>
    <row r="640" spans="1:5">
      <c r="A640">
        <v>639</v>
      </c>
      <c r="B640">
        <v>11790</v>
      </c>
      <c r="C640" t="s">
        <v>645</v>
      </c>
      <c r="D640">
        <v>1.1000000000000001</v>
      </c>
      <c r="E640" t="s">
        <v>640</v>
      </c>
    </row>
    <row r="641" spans="1:5">
      <c r="A641">
        <v>640</v>
      </c>
      <c r="B641">
        <v>11806</v>
      </c>
      <c r="C641" t="s">
        <v>646</v>
      </c>
      <c r="D641">
        <v>0.5</v>
      </c>
      <c r="E641" t="s">
        <v>640</v>
      </c>
    </row>
    <row r="642" spans="1:5">
      <c r="A642">
        <v>641</v>
      </c>
      <c r="B642">
        <v>11835</v>
      </c>
      <c r="C642" t="s">
        <v>451</v>
      </c>
      <c r="D642">
        <v>0.6</v>
      </c>
      <c r="E642" t="s">
        <v>640</v>
      </c>
    </row>
    <row r="643" spans="1:5">
      <c r="A643">
        <v>642</v>
      </c>
      <c r="B643">
        <v>11864</v>
      </c>
      <c r="C643" t="s">
        <v>647</v>
      </c>
      <c r="D643">
        <v>0.8</v>
      </c>
      <c r="E643" t="s">
        <v>640</v>
      </c>
    </row>
    <row r="644" spans="1:5">
      <c r="A644">
        <v>643</v>
      </c>
      <c r="B644">
        <v>11880</v>
      </c>
      <c r="C644" t="s">
        <v>648</v>
      </c>
      <c r="D644">
        <v>0.9</v>
      </c>
      <c r="E644" t="s">
        <v>640</v>
      </c>
    </row>
    <row r="645" spans="1:5">
      <c r="A645">
        <v>644</v>
      </c>
      <c r="B645">
        <v>11925</v>
      </c>
      <c r="C645" t="s">
        <v>649</v>
      </c>
      <c r="D645">
        <v>1.4</v>
      </c>
      <c r="E645" t="s">
        <v>640</v>
      </c>
    </row>
    <row r="646" spans="1:5">
      <c r="A646">
        <v>645</v>
      </c>
      <c r="B646">
        <v>11941</v>
      </c>
      <c r="C646" t="s">
        <v>650</v>
      </c>
      <c r="D646">
        <v>0.9</v>
      </c>
      <c r="E646" t="s">
        <v>640</v>
      </c>
    </row>
    <row r="647" spans="1:5">
      <c r="A647">
        <v>646</v>
      </c>
      <c r="B647">
        <v>11957</v>
      </c>
      <c r="C647" t="s">
        <v>651</v>
      </c>
      <c r="D647">
        <v>0.6</v>
      </c>
      <c r="E647" t="s">
        <v>640</v>
      </c>
    </row>
    <row r="648" spans="1:5">
      <c r="A648">
        <v>647</v>
      </c>
      <c r="B648">
        <v>11989</v>
      </c>
      <c r="C648" t="s">
        <v>652</v>
      </c>
      <c r="D648">
        <v>0.9</v>
      </c>
      <c r="E648" t="s">
        <v>640</v>
      </c>
    </row>
    <row r="649" spans="1:5">
      <c r="A649">
        <v>648</v>
      </c>
      <c r="B649">
        <v>12005</v>
      </c>
      <c r="C649" t="s">
        <v>261</v>
      </c>
      <c r="D649">
        <v>0.5</v>
      </c>
      <c r="E649" t="s">
        <v>640</v>
      </c>
    </row>
    <row r="650" spans="1:5">
      <c r="A650">
        <v>649</v>
      </c>
      <c r="B650">
        <v>12021</v>
      </c>
      <c r="C650" t="s">
        <v>653</v>
      </c>
      <c r="D650">
        <v>1.6</v>
      </c>
      <c r="E650" t="s">
        <v>640</v>
      </c>
    </row>
    <row r="651" spans="1:5">
      <c r="A651">
        <v>650</v>
      </c>
      <c r="B651">
        <v>12037</v>
      </c>
      <c r="C651" t="s">
        <v>374</v>
      </c>
      <c r="D651">
        <v>1.5</v>
      </c>
      <c r="E651" t="s">
        <v>640</v>
      </c>
    </row>
    <row r="652" spans="1:5">
      <c r="A652">
        <v>651</v>
      </c>
      <c r="B652">
        <v>12053</v>
      </c>
      <c r="C652" t="s">
        <v>654</v>
      </c>
      <c r="D652">
        <v>0.6</v>
      </c>
      <c r="E652" t="s">
        <v>640</v>
      </c>
    </row>
    <row r="653" spans="1:5">
      <c r="A653">
        <v>652</v>
      </c>
      <c r="B653">
        <v>12082</v>
      </c>
      <c r="C653" t="s">
        <v>499</v>
      </c>
      <c r="D653">
        <v>0.8</v>
      </c>
      <c r="E653" t="s">
        <v>640</v>
      </c>
    </row>
    <row r="654" spans="1:5">
      <c r="A654">
        <v>653</v>
      </c>
      <c r="B654">
        <v>12098</v>
      </c>
      <c r="C654" t="s">
        <v>457</v>
      </c>
      <c r="D654">
        <v>0.8</v>
      </c>
      <c r="E654" t="s">
        <v>640</v>
      </c>
    </row>
    <row r="655" spans="1:5">
      <c r="A655">
        <v>654</v>
      </c>
      <c r="B655">
        <v>12114</v>
      </c>
      <c r="C655" t="s">
        <v>655</v>
      </c>
      <c r="D655">
        <v>0.5</v>
      </c>
      <c r="E655" t="s">
        <v>640</v>
      </c>
    </row>
    <row r="656" spans="1:5">
      <c r="A656">
        <v>655</v>
      </c>
      <c r="B656">
        <v>12130</v>
      </c>
      <c r="C656" t="s">
        <v>656</v>
      </c>
      <c r="D656">
        <v>1.4</v>
      </c>
      <c r="E656" t="s">
        <v>640</v>
      </c>
    </row>
    <row r="657" spans="1:5">
      <c r="A657">
        <v>656</v>
      </c>
      <c r="B657">
        <v>12146</v>
      </c>
      <c r="C657" t="s">
        <v>657</v>
      </c>
      <c r="D657">
        <v>0.7</v>
      </c>
      <c r="E657" t="s">
        <v>640</v>
      </c>
    </row>
    <row r="658" spans="1:5">
      <c r="A658">
        <v>657</v>
      </c>
      <c r="B658">
        <v>12162</v>
      </c>
      <c r="C658" t="s">
        <v>215</v>
      </c>
      <c r="D658">
        <v>0.4</v>
      </c>
      <c r="E658" t="s">
        <v>640</v>
      </c>
    </row>
    <row r="659" spans="1:5">
      <c r="A659">
        <v>658</v>
      </c>
      <c r="B659">
        <v>12178</v>
      </c>
      <c r="C659" t="s">
        <v>658</v>
      </c>
      <c r="D659">
        <v>0.6</v>
      </c>
      <c r="E659" t="s">
        <v>640</v>
      </c>
    </row>
    <row r="660" spans="1:5">
      <c r="A660">
        <v>659</v>
      </c>
      <c r="B660">
        <v>12194</v>
      </c>
      <c r="C660" t="s">
        <v>659</v>
      </c>
      <c r="D660">
        <v>1</v>
      </c>
      <c r="E660" t="s">
        <v>640</v>
      </c>
    </row>
    <row r="661" spans="1:5">
      <c r="A661">
        <v>660</v>
      </c>
      <c r="B661">
        <v>12210</v>
      </c>
      <c r="C661" t="s">
        <v>660</v>
      </c>
      <c r="D661">
        <v>1.3</v>
      </c>
      <c r="E661" t="s">
        <v>640</v>
      </c>
    </row>
    <row r="662" spans="1:5">
      <c r="A662">
        <v>661</v>
      </c>
      <c r="B662">
        <v>12242</v>
      </c>
      <c r="C662" t="s">
        <v>577</v>
      </c>
      <c r="D662">
        <v>0.5</v>
      </c>
      <c r="E662" t="s">
        <v>640</v>
      </c>
    </row>
    <row r="663" spans="1:5">
      <c r="A663">
        <v>662</v>
      </c>
      <c r="B663">
        <v>12258</v>
      </c>
      <c r="C663" t="s">
        <v>159</v>
      </c>
      <c r="D663">
        <v>0.5</v>
      </c>
      <c r="E663" t="s">
        <v>640</v>
      </c>
    </row>
    <row r="664" spans="1:5">
      <c r="A664">
        <v>663</v>
      </c>
      <c r="B664">
        <v>12274</v>
      </c>
      <c r="C664" t="s">
        <v>253</v>
      </c>
      <c r="D664">
        <v>0.5</v>
      </c>
      <c r="E664" t="s">
        <v>640</v>
      </c>
    </row>
    <row r="665" spans="1:5">
      <c r="A665">
        <v>664</v>
      </c>
      <c r="B665">
        <v>12290</v>
      </c>
      <c r="C665" t="s">
        <v>661</v>
      </c>
      <c r="D665">
        <v>0.6</v>
      </c>
      <c r="E665" t="s">
        <v>640</v>
      </c>
    </row>
    <row r="666" spans="1:5">
      <c r="A666">
        <v>665</v>
      </c>
      <c r="B666">
        <v>12306</v>
      </c>
      <c r="C666" t="s">
        <v>662</v>
      </c>
      <c r="D666">
        <v>0.4</v>
      </c>
      <c r="E666" t="s">
        <v>640</v>
      </c>
    </row>
    <row r="667" spans="1:5">
      <c r="A667">
        <v>666</v>
      </c>
      <c r="B667">
        <v>12322</v>
      </c>
      <c r="C667" t="s">
        <v>663</v>
      </c>
      <c r="D667">
        <v>1.1000000000000001</v>
      </c>
      <c r="E667" t="s">
        <v>640</v>
      </c>
    </row>
    <row r="668" spans="1:5">
      <c r="A668">
        <v>667</v>
      </c>
      <c r="B668">
        <v>12338</v>
      </c>
      <c r="C668" t="s">
        <v>664</v>
      </c>
      <c r="D668">
        <v>1</v>
      </c>
      <c r="E668" t="s">
        <v>640</v>
      </c>
    </row>
    <row r="669" spans="1:5">
      <c r="A669">
        <v>668</v>
      </c>
      <c r="B669">
        <v>12354</v>
      </c>
      <c r="C669" t="s">
        <v>588</v>
      </c>
      <c r="D669">
        <v>1.8</v>
      </c>
      <c r="E669" t="s">
        <v>640</v>
      </c>
    </row>
    <row r="670" spans="1:5">
      <c r="A670">
        <v>669</v>
      </c>
      <c r="B670">
        <v>12383</v>
      </c>
      <c r="C670" t="s">
        <v>569</v>
      </c>
      <c r="D670">
        <v>0.9</v>
      </c>
      <c r="E670" t="s">
        <v>640</v>
      </c>
    </row>
    <row r="671" spans="1:5">
      <c r="A671">
        <v>670</v>
      </c>
      <c r="B671">
        <v>12399</v>
      </c>
      <c r="C671" t="s">
        <v>240</v>
      </c>
      <c r="D671">
        <v>0.9</v>
      </c>
      <c r="E671" t="s">
        <v>640</v>
      </c>
    </row>
    <row r="672" spans="1:5">
      <c r="A672">
        <v>671</v>
      </c>
      <c r="B672">
        <v>12415</v>
      </c>
      <c r="C672" t="s">
        <v>665</v>
      </c>
      <c r="D672">
        <v>0.7</v>
      </c>
      <c r="E672" t="s">
        <v>640</v>
      </c>
    </row>
    <row r="673" spans="1:5">
      <c r="A673">
        <v>672</v>
      </c>
      <c r="B673">
        <v>12431</v>
      </c>
      <c r="C673" t="s">
        <v>666</v>
      </c>
      <c r="D673">
        <v>1.9</v>
      </c>
      <c r="E673" t="s">
        <v>640</v>
      </c>
    </row>
    <row r="674" spans="1:5">
      <c r="A674">
        <v>673</v>
      </c>
      <c r="B674">
        <v>12447</v>
      </c>
      <c r="C674" t="s">
        <v>667</v>
      </c>
      <c r="D674">
        <v>1</v>
      </c>
      <c r="E674" t="s">
        <v>640</v>
      </c>
    </row>
    <row r="675" spans="1:5">
      <c r="A675">
        <v>674</v>
      </c>
      <c r="B675">
        <v>12463</v>
      </c>
      <c r="C675" t="s">
        <v>300</v>
      </c>
      <c r="D675">
        <v>0.9</v>
      </c>
      <c r="E675" t="s">
        <v>640</v>
      </c>
    </row>
    <row r="676" spans="1:5">
      <c r="A676">
        <v>675</v>
      </c>
      <c r="B676">
        <v>12479</v>
      </c>
      <c r="C676" t="s">
        <v>668</v>
      </c>
      <c r="D676">
        <v>1.5</v>
      </c>
      <c r="E676" t="s">
        <v>640</v>
      </c>
    </row>
    <row r="677" spans="1:5">
      <c r="A677">
        <v>676</v>
      </c>
      <c r="B677">
        <v>12495</v>
      </c>
      <c r="C677" t="s">
        <v>669</v>
      </c>
      <c r="D677">
        <v>1.4</v>
      </c>
      <c r="E677" t="s">
        <v>640</v>
      </c>
    </row>
    <row r="678" spans="1:5">
      <c r="A678">
        <v>677</v>
      </c>
      <c r="B678">
        <v>12511</v>
      </c>
      <c r="C678" t="s">
        <v>241</v>
      </c>
      <c r="D678">
        <v>0.7</v>
      </c>
      <c r="E678" t="s">
        <v>640</v>
      </c>
    </row>
    <row r="679" spans="1:5">
      <c r="A679">
        <v>678</v>
      </c>
      <c r="B679">
        <v>12527</v>
      </c>
      <c r="C679" t="s">
        <v>330</v>
      </c>
      <c r="D679">
        <v>1</v>
      </c>
      <c r="E679" t="s">
        <v>640</v>
      </c>
    </row>
    <row r="680" spans="1:5">
      <c r="A680">
        <v>679</v>
      </c>
      <c r="B680">
        <v>12556</v>
      </c>
      <c r="C680" t="s">
        <v>670</v>
      </c>
      <c r="D680">
        <v>2</v>
      </c>
      <c r="E680" t="s">
        <v>640</v>
      </c>
    </row>
    <row r="681" spans="1:5">
      <c r="A681">
        <v>680</v>
      </c>
      <c r="B681">
        <v>12572</v>
      </c>
      <c r="C681" t="s">
        <v>463</v>
      </c>
      <c r="D681">
        <v>0.4</v>
      </c>
      <c r="E681" t="s">
        <v>640</v>
      </c>
    </row>
    <row r="682" spans="1:5">
      <c r="A682">
        <v>681</v>
      </c>
      <c r="B682">
        <v>12588</v>
      </c>
      <c r="C682" t="s">
        <v>671</v>
      </c>
      <c r="D682">
        <v>0.5</v>
      </c>
      <c r="E682" t="s">
        <v>640</v>
      </c>
    </row>
    <row r="683" spans="1:5">
      <c r="A683">
        <v>682</v>
      </c>
      <c r="B683">
        <v>12604</v>
      </c>
      <c r="C683" t="s">
        <v>237</v>
      </c>
      <c r="D683">
        <v>0.7</v>
      </c>
      <c r="E683" t="s">
        <v>640</v>
      </c>
    </row>
    <row r="684" spans="1:5">
      <c r="A684">
        <v>683</v>
      </c>
      <c r="B684">
        <v>12620</v>
      </c>
      <c r="C684" t="s">
        <v>672</v>
      </c>
      <c r="D684">
        <v>0.8</v>
      </c>
      <c r="E684" t="s">
        <v>640</v>
      </c>
    </row>
    <row r="685" spans="1:5">
      <c r="A685">
        <v>684</v>
      </c>
      <c r="B685">
        <v>12636</v>
      </c>
      <c r="C685" t="s">
        <v>673</v>
      </c>
      <c r="D685">
        <v>0.7</v>
      </c>
      <c r="E685" t="s">
        <v>640</v>
      </c>
    </row>
    <row r="686" spans="1:5">
      <c r="A686">
        <v>685</v>
      </c>
      <c r="B686">
        <v>12668</v>
      </c>
      <c r="C686" t="s">
        <v>389</v>
      </c>
      <c r="D686">
        <v>0.1</v>
      </c>
      <c r="E686" t="s">
        <v>640</v>
      </c>
    </row>
    <row r="687" spans="1:5">
      <c r="A687">
        <v>686</v>
      </c>
      <c r="B687">
        <v>12684</v>
      </c>
      <c r="C687" t="s">
        <v>674</v>
      </c>
      <c r="D687">
        <v>0.7</v>
      </c>
      <c r="E687" t="s">
        <v>640</v>
      </c>
    </row>
    <row r="688" spans="1:5">
      <c r="A688">
        <v>687</v>
      </c>
      <c r="B688">
        <v>12700</v>
      </c>
      <c r="C688" t="s">
        <v>675</v>
      </c>
      <c r="D688">
        <v>0.5</v>
      </c>
      <c r="E688" t="s">
        <v>640</v>
      </c>
    </row>
    <row r="689" spans="1:5">
      <c r="A689">
        <v>688</v>
      </c>
      <c r="B689">
        <v>12716</v>
      </c>
      <c r="C689" t="s">
        <v>676</v>
      </c>
      <c r="D689">
        <v>1.3</v>
      </c>
      <c r="E689" t="s">
        <v>640</v>
      </c>
    </row>
    <row r="690" spans="1:5">
      <c r="A690">
        <v>689</v>
      </c>
      <c r="B690">
        <v>12732</v>
      </c>
      <c r="C690" t="s">
        <v>677</v>
      </c>
      <c r="D690">
        <v>1.8</v>
      </c>
      <c r="E690" t="s">
        <v>640</v>
      </c>
    </row>
    <row r="691" spans="1:5">
      <c r="A691">
        <v>690</v>
      </c>
      <c r="B691">
        <v>12764</v>
      </c>
      <c r="C691" t="s">
        <v>678</v>
      </c>
      <c r="D691">
        <v>1.1000000000000001</v>
      </c>
      <c r="E691" t="s">
        <v>640</v>
      </c>
    </row>
    <row r="692" spans="1:5">
      <c r="A692">
        <v>691</v>
      </c>
      <c r="B692">
        <v>12780</v>
      </c>
      <c r="C692" t="s">
        <v>679</v>
      </c>
      <c r="D692">
        <v>0.5</v>
      </c>
      <c r="E692" t="s">
        <v>640</v>
      </c>
    </row>
    <row r="693" spans="1:5">
      <c r="A693">
        <v>692</v>
      </c>
      <c r="B693">
        <v>12796</v>
      </c>
      <c r="C693" t="s">
        <v>361</v>
      </c>
      <c r="D693">
        <v>0.8</v>
      </c>
      <c r="E693" t="s">
        <v>640</v>
      </c>
    </row>
    <row r="694" spans="1:5">
      <c r="A694">
        <v>693</v>
      </c>
      <c r="B694">
        <v>12812</v>
      </c>
      <c r="C694" t="s">
        <v>269</v>
      </c>
      <c r="D694">
        <v>0.5</v>
      </c>
      <c r="E694" t="s">
        <v>640</v>
      </c>
    </row>
    <row r="695" spans="1:5">
      <c r="A695">
        <v>694</v>
      </c>
      <c r="B695">
        <v>12828</v>
      </c>
      <c r="C695" t="s">
        <v>680</v>
      </c>
      <c r="D695">
        <v>0.7</v>
      </c>
      <c r="E695" t="s">
        <v>640</v>
      </c>
    </row>
    <row r="696" spans="1:5">
      <c r="A696">
        <v>695</v>
      </c>
      <c r="B696">
        <v>12844</v>
      </c>
      <c r="C696" t="s">
        <v>681</v>
      </c>
      <c r="D696">
        <v>1.1000000000000001</v>
      </c>
      <c r="E696" t="s">
        <v>640</v>
      </c>
    </row>
    <row r="697" spans="1:5">
      <c r="A697">
        <v>696</v>
      </c>
      <c r="B697">
        <v>12860</v>
      </c>
      <c r="C697" t="s">
        <v>216</v>
      </c>
      <c r="D697">
        <v>0.9</v>
      </c>
      <c r="E697" t="s">
        <v>640</v>
      </c>
    </row>
    <row r="698" spans="1:5">
      <c r="A698">
        <v>697</v>
      </c>
      <c r="B698">
        <v>12876</v>
      </c>
      <c r="C698" t="s">
        <v>481</v>
      </c>
      <c r="D698">
        <v>0.7</v>
      </c>
      <c r="E698" t="s">
        <v>640</v>
      </c>
    </row>
    <row r="699" spans="1:5">
      <c r="A699">
        <v>698</v>
      </c>
      <c r="B699">
        <v>12892</v>
      </c>
      <c r="C699" t="s">
        <v>682</v>
      </c>
      <c r="D699">
        <v>1.3</v>
      </c>
      <c r="E699" t="s">
        <v>640</v>
      </c>
    </row>
    <row r="700" spans="1:5">
      <c r="A700">
        <v>699</v>
      </c>
      <c r="B700">
        <v>12908</v>
      </c>
      <c r="C700" t="s">
        <v>494</v>
      </c>
      <c r="D700">
        <v>0.3</v>
      </c>
      <c r="E700" t="s">
        <v>640</v>
      </c>
    </row>
    <row r="701" spans="1:5">
      <c r="A701">
        <v>700</v>
      </c>
      <c r="B701">
        <v>12937</v>
      </c>
      <c r="C701" t="s">
        <v>191</v>
      </c>
      <c r="D701">
        <v>0.8</v>
      </c>
      <c r="E701" t="s">
        <v>640</v>
      </c>
    </row>
    <row r="702" spans="1:5">
      <c r="A702">
        <v>701</v>
      </c>
      <c r="B702">
        <v>12953</v>
      </c>
      <c r="C702" t="s">
        <v>683</v>
      </c>
      <c r="D702">
        <v>0.9</v>
      </c>
      <c r="E702" t="s">
        <v>640</v>
      </c>
    </row>
    <row r="703" spans="1:5">
      <c r="A703">
        <v>702</v>
      </c>
      <c r="B703">
        <v>12969</v>
      </c>
      <c r="C703" t="s">
        <v>546</v>
      </c>
      <c r="D703">
        <v>1.6</v>
      </c>
      <c r="E703" t="s">
        <v>640</v>
      </c>
    </row>
    <row r="704" spans="1:5">
      <c r="A704">
        <v>703</v>
      </c>
      <c r="B704">
        <v>12985</v>
      </c>
      <c r="C704" t="s">
        <v>684</v>
      </c>
      <c r="D704">
        <v>1.2</v>
      </c>
      <c r="E704" t="s">
        <v>640</v>
      </c>
    </row>
    <row r="705" spans="1:5">
      <c r="A705">
        <v>704</v>
      </c>
      <c r="B705">
        <v>13001</v>
      </c>
      <c r="C705" t="s">
        <v>685</v>
      </c>
      <c r="D705">
        <v>0.9</v>
      </c>
      <c r="E705" t="s">
        <v>640</v>
      </c>
    </row>
    <row r="706" spans="1:5">
      <c r="A706">
        <v>705</v>
      </c>
      <c r="B706">
        <v>13017</v>
      </c>
      <c r="C706" t="s">
        <v>287</v>
      </c>
      <c r="D706">
        <v>0.7</v>
      </c>
      <c r="E706" t="s">
        <v>640</v>
      </c>
    </row>
    <row r="707" spans="1:5">
      <c r="A707">
        <v>706</v>
      </c>
      <c r="B707">
        <v>13033</v>
      </c>
      <c r="C707" t="s">
        <v>686</v>
      </c>
      <c r="D707">
        <v>0.8</v>
      </c>
      <c r="E707" t="s">
        <v>640</v>
      </c>
    </row>
    <row r="708" spans="1:5">
      <c r="A708">
        <v>707</v>
      </c>
      <c r="B708">
        <v>13049</v>
      </c>
      <c r="C708" t="s">
        <v>687</v>
      </c>
      <c r="D708">
        <v>1.4</v>
      </c>
      <c r="E708" t="s">
        <v>640</v>
      </c>
    </row>
    <row r="709" spans="1:5">
      <c r="A709">
        <v>708</v>
      </c>
      <c r="B709">
        <v>13078</v>
      </c>
      <c r="C709" t="s">
        <v>688</v>
      </c>
      <c r="D709">
        <v>0.3</v>
      </c>
      <c r="E709" t="s">
        <v>640</v>
      </c>
    </row>
    <row r="710" spans="1:5">
      <c r="A710">
        <v>709</v>
      </c>
      <c r="B710">
        <v>13094</v>
      </c>
      <c r="C710" t="s">
        <v>689</v>
      </c>
      <c r="D710">
        <v>0.9</v>
      </c>
      <c r="E710" t="s">
        <v>640</v>
      </c>
    </row>
    <row r="711" spans="1:5">
      <c r="A711">
        <v>710</v>
      </c>
      <c r="B711">
        <v>13110</v>
      </c>
      <c r="C711" t="s">
        <v>690</v>
      </c>
      <c r="D711">
        <v>0.3</v>
      </c>
      <c r="E711" t="s">
        <v>640</v>
      </c>
    </row>
    <row r="712" spans="1:5">
      <c r="A712">
        <v>711</v>
      </c>
      <c r="B712">
        <v>13126</v>
      </c>
      <c r="C712" t="s">
        <v>432</v>
      </c>
      <c r="D712">
        <v>0.9</v>
      </c>
      <c r="E712" t="s">
        <v>640</v>
      </c>
    </row>
    <row r="713" spans="1:5">
      <c r="A713">
        <v>712</v>
      </c>
      <c r="B713">
        <v>13142</v>
      </c>
      <c r="C713" t="s">
        <v>189</v>
      </c>
      <c r="D713">
        <v>0.8</v>
      </c>
      <c r="E713" t="s">
        <v>640</v>
      </c>
    </row>
    <row r="714" spans="1:5">
      <c r="A714">
        <v>713</v>
      </c>
      <c r="B714">
        <v>13158</v>
      </c>
      <c r="C714" t="s">
        <v>685</v>
      </c>
      <c r="D714">
        <v>0.9</v>
      </c>
      <c r="E714" t="s">
        <v>640</v>
      </c>
    </row>
    <row r="715" spans="1:5">
      <c r="A715">
        <v>714</v>
      </c>
      <c r="B715">
        <v>13174</v>
      </c>
      <c r="C715" t="s">
        <v>691</v>
      </c>
      <c r="D715">
        <v>1.3</v>
      </c>
      <c r="E715" t="s">
        <v>640</v>
      </c>
    </row>
    <row r="716" spans="1:5">
      <c r="A716">
        <v>715</v>
      </c>
      <c r="B716">
        <v>13190</v>
      </c>
      <c r="C716" t="s">
        <v>569</v>
      </c>
      <c r="D716">
        <v>0.9</v>
      </c>
      <c r="E716" t="s">
        <v>640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16"/>
  <sheetViews>
    <sheetView workbookViewId="0">
      <pane ySplit="1" topLeftCell="A2" activePane="bottomLeft" state="frozen"/>
      <selection pane="bottomLeft"/>
    </sheetView>
  </sheetViews>
  <sheetFormatPr defaultRowHeight="13.5"/>
  <cols>
    <col min="3" max="3" width="42" customWidth="1"/>
    <col min="4" max="4" width="55" customWidth="1"/>
  </cols>
  <sheetData>
    <row r="1" spans="1:4">
      <c r="A1" t="s">
        <v>1</v>
      </c>
      <c r="B1" t="s">
        <v>5</v>
      </c>
      <c r="C1" t="s">
        <v>692</v>
      </c>
      <c r="D1" t="s">
        <v>693</v>
      </c>
    </row>
    <row r="2" spans="1:4">
      <c r="A2">
        <v>1</v>
      </c>
      <c r="B2" t="s">
        <v>25</v>
      </c>
      <c r="C2" t="s">
        <v>694</v>
      </c>
      <c r="D2" t="s">
        <v>695</v>
      </c>
    </row>
    <row r="3" spans="1:4">
      <c r="A3">
        <v>2</v>
      </c>
      <c r="B3" t="s">
        <v>28</v>
      </c>
      <c r="C3" t="s">
        <v>694</v>
      </c>
      <c r="D3" t="s">
        <v>695</v>
      </c>
    </row>
    <row r="4" spans="1:4">
      <c r="A4">
        <v>3</v>
      </c>
      <c r="B4" t="s">
        <v>25</v>
      </c>
      <c r="C4" t="s">
        <v>694</v>
      </c>
      <c r="D4" t="s">
        <v>695</v>
      </c>
    </row>
    <row r="5" spans="1:4">
      <c r="A5">
        <v>4</v>
      </c>
      <c r="B5" t="s">
        <v>28</v>
      </c>
      <c r="C5" t="s">
        <v>694</v>
      </c>
      <c r="D5" t="s">
        <v>695</v>
      </c>
    </row>
    <row r="6" spans="1:4">
      <c r="A6">
        <v>5</v>
      </c>
      <c r="B6" t="s">
        <v>28</v>
      </c>
      <c r="C6" t="s">
        <v>694</v>
      </c>
      <c r="D6" t="s">
        <v>695</v>
      </c>
    </row>
    <row r="7" spans="1:4">
      <c r="A7">
        <v>6</v>
      </c>
      <c r="B7" t="s">
        <v>33</v>
      </c>
      <c r="C7" t="s">
        <v>694</v>
      </c>
      <c r="D7" t="s">
        <v>695</v>
      </c>
    </row>
    <row r="8" spans="1:4">
      <c r="A8">
        <v>7</v>
      </c>
      <c r="B8" t="s">
        <v>25</v>
      </c>
      <c r="C8" t="s">
        <v>694</v>
      </c>
      <c r="D8" t="s">
        <v>695</v>
      </c>
    </row>
    <row r="9" spans="1:4">
      <c r="A9">
        <v>8</v>
      </c>
      <c r="B9" t="s">
        <v>25</v>
      </c>
      <c r="C9" t="s">
        <v>694</v>
      </c>
      <c r="D9" t="s">
        <v>695</v>
      </c>
    </row>
    <row r="10" spans="1:4">
      <c r="A10">
        <v>9</v>
      </c>
      <c r="B10" t="s">
        <v>25</v>
      </c>
      <c r="C10" t="s">
        <v>694</v>
      </c>
      <c r="D10" t="s">
        <v>695</v>
      </c>
    </row>
    <row r="11" spans="1:4">
      <c r="A11">
        <v>10</v>
      </c>
      <c r="B11" t="s">
        <v>25</v>
      </c>
      <c r="C11" t="s">
        <v>694</v>
      </c>
      <c r="D11" t="s">
        <v>695</v>
      </c>
    </row>
    <row r="12" spans="1:4">
      <c r="A12">
        <v>11</v>
      </c>
      <c r="B12" t="s">
        <v>25</v>
      </c>
      <c r="C12" t="s">
        <v>694</v>
      </c>
      <c r="D12" t="s">
        <v>695</v>
      </c>
    </row>
    <row r="13" spans="1:4">
      <c r="A13">
        <v>12</v>
      </c>
      <c r="B13" t="s">
        <v>38</v>
      </c>
      <c r="C13" t="s">
        <v>694</v>
      </c>
      <c r="D13" t="s">
        <v>695</v>
      </c>
    </row>
    <row r="14" spans="1:4">
      <c r="A14">
        <v>13</v>
      </c>
      <c r="B14" t="s">
        <v>39</v>
      </c>
      <c r="C14" t="s">
        <v>694</v>
      </c>
      <c r="D14" t="s">
        <v>695</v>
      </c>
    </row>
    <row r="15" spans="1:4">
      <c r="A15">
        <v>14</v>
      </c>
      <c r="B15" t="s">
        <v>28</v>
      </c>
      <c r="C15" t="s">
        <v>694</v>
      </c>
      <c r="D15" t="s">
        <v>695</v>
      </c>
    </row>
    <row r="16" spans="1:4">
      <c r="A16">
        <v>15</v>
      </c>
      <c r="B16" t="s">
        <v>25</v>
      </c>
      <c r="C16" t="s">
        <v>694</v>
      </c>
      <c r="D16" t="s">
        <v>695</v>
      </c>
    </row>
    <row r="17" spans="1:4">
      <c r="A17">
        <v>16</v>
      </c>
      <c r="B17" t="s">
        <v>28</v>
      </c>
      <c r="C17" t="s">
        <v>694</v>
      </c>
      <c r="D17" t="s">
        <v>695</v>
      </c>
    </row>
    <row r="18" spans="1:4">
      <c r="A18">
        <v>17</v>
      </c>
      <c r="B18" t="s">
        <v>28</v>
      </c>
      <c r="C18" t="s">
        <v>694</v>
      </c>
      <c r="D18" t="s">
        <v>695</v>
      </c>
    </row>
    <row r="19" spans="1:4">
      <c r="A19">
        <v>18</v>
      </c>
      <c r="B19" t="s">
        <v>28</v>
      </c>
      <c r="C19" t="s">
        <v>694</v>
      </c>
      <c r="D19" t="s">
        <v>695</v>
      </c>
    </row>
    <row r="20" spans="1:4">
      <c r="A20">
        <v>19</v>
      </c>
      <c r="B20" t="s">
        <v>28</v>
      </c>
      <c r="C20" t="s">
        <v>694</v>
      </c>
      <c r="D20" t="s">
        <v>695</v>
      </c>
    </row>
    <row r="21" spans="1:4">
      <c r="A21">
        <v>20</v>
      </c>
      <c r="B21" t="s">
        <v>25</v>
      </c>
      <c r="C21" t="s">
        <v>694</v>
      </c>
      <c r="D21" t="s">
        <v>695</v>
      </c>
    </row>
    <row r="22" spans="1:4">
      <c r="A22">
        <v>21</v>
      </c>
      <c r="B22" t="s">
        <v>25</v>
      </c>
      <c r="C22" t="s">
        <v>694</v>
      </c>
      <c r="D22" t="s">
        <v>695</v>
      </c>
    </row>
    <row r="23" spans="1:4">
      <c r="A23">
        <v>22</v>
      </c>
      <c r="B23" t="s">
        <v>25</v>
      </c>
      <c r="C23" t="s">
        <v>694</v>
      </c>
      <c r="D23" t="s">
        <v>695</v>
      </c>
    </row>
    <row r="24" spans="1:4">
      <c r="A24">
        <v>23</v>
      </c>
      <c r="B24" t="s">
        <v>28</v>
      </c>
      <c r="C24" t="s">
        <v>694</v>
      </c>
      <c r="D24" t="s">
        <v>695</v>
      </c>
    </row>
    <row r="25" spans="1:4">
      <c r="A25">
        <v>24</v>
      </c>
      <c r="B25" t="s">
        <v>25</v>
      </c>
      <c r="C25" t="s">
        <v>694</v>
      </c>
      <c r="D25" t="s">
        <v>695</v>
      </c>
    </row>
    <row r="26" spans="1:4">
      <c r="A26">
        <v>25</v>
      </c>
      <c r="B26" t="s">
        <v>28</v>
      </c>
      <c r="C26" t="s">
        <v>694</v>
      </c>
      <c r="D26" t="s">
        <v>695</v>
      </c>
    </row>
    <row r="27" spans="1:4">
      <c r="A27">
        <v>26</v>
      </c>
      <c r="B27" t="s">
        <v>25</v>
      </c>
      <c r="C27" t="s">
        <v>694</v>
      </c>
      <c r="D27" t="s">
        <v>695</v>
      </c>
    </row>
    <row r="28" spans="1:4">
      <c r="A28">
        <v>27</v>
      </c>
      <c r="B28" t="s">
        <v>39</v>
      </c>
      <c r="C28" t="s">
        <v>694</v>
      </c>
      <c r="D28" t="s">
        <v>695</v>
      </c>
    </row>
    <row r="29" spans="1:4">
      <c r="A29">
        <v>28</v>
      </c>
      <c r="B29" t="s">
        <v>39</v>
      </c>
      <c r="C29" t="s">
        <v>694</v>
      </c>
      <c r="D29" t="s">
        <v>695</v>
      </c>
    </row>
    <row r="30" spans="1:4">
      <c r="A30">
        <v>29</v>
      </c>
      <c r="B30" t="s">
        <v>43</v>
      </c>
      <c r="C30" t="s">
        <v>694</v>
      </c>
      <c r="D30" t="s">
        <v>695</v>
      </c>
    </row>
    <row r="31" spans="1:4">
      <c r="A31">
        <v>30</v>
      </c>
      <c r="B31" t="s">
        <v>28</v>
      </c>
      <c r="C31" t="s">
        <v>694</v>
      </c>
      <c r="D31" t="s">
        <v>695</v>
      </c>
    </row>
    <row r="32" spans="1:4">
      <c r="A32">
        <v>31</v>
      </c>
      <c r="B32" t="s">
        <v>44</v>
      </c>
      <c r="C32" t="s">
        <v>694</v>
      </c>
      <c r="D32" t="s">
        <v>695</v>
      </c>
    </row>
    <row r="33" spans="1:4">
      <c r="A33">
        <v>32</v>
      </c>
      <c r="B33" t="s">
        <v>25</v>
      </c>
      <c r="C33" t="s">
        <v>694</v>
      </c>
      <c r="D33" t="s">
        <v>695</v>
      </c>
    </row>
    <row r="34" spans="1:4">
      <c r="A34">
        <v>33</v>
      </c>
      <c r="B34" t="s">
        <v>28</v>
      </c>
      <c r="C34" t="s">
        <v>694</v>
      </c>
      <c r="D34" t="s">
        <v>695</v>
      </c>
    </row>
    <row r="35" spans="1:4">
      <c r="A35">
        <v>34</v>
      </c>
      <c r="B35" t="s">
        <v>28</v>
      </c>
      <c r="C35" t="s">
        <v>694</v>
      </c>
      <c r="D35" t="s">
        <v>695</v>
      </c>
    </row>
    <row r="36" spans="1:4">
      <c r="A36">
        <v>35</v>
      </c>
      <c r="B36" t="s">
        <v>25</v>
      </c>
      <c r="C36" t="s">
        <v>694</v>
      </c>
      <c r="D36" t="s">
        <v>695</v>
      </c>
    </row>
    <row r="37" spans="1:4">
      <c r="A37">
        <v>36</v>
      </c>
      <c r="B37" t="s">
        <v>44</v>
      </c>
      <c r="C37" t="s">
        <v>694</v>
      </c>
      <c r="D37" t="s">
        <v>695</v>
      </c>
    </row>
    <row r="38" spans="1:4">
      <c r="A38">
        <v>37</v>
      </c>
      <c r="B38" t="s">
        <v>44</v>
      </c>
      <c r="C38" t="s">
        <v>694</v>
      </c>
      <c r="D38" t="s">
        <v>695</v>
      </c>
    </row>
    <row r="39" spans="1:4">
      <c r="A39">
        <v>38</v>
      </c>
      <c r="B39" t="s">
        <v>44</v>
      </c>
      <c r="C39" t="s">
        <v>694</v>
      </c>
      <c r="D39" t="s">
        <v>695</v>
      </c>
    </row>
    <row r="40" spans="1:4">
      <c r="A40">
        <v>39</v>
      </c>
      <c r="B40" t="s">
        <v>25</v>
      </c>
      <c r="C40" t="s">
        <v>694</v>
      </c>
      <c r="D40" t="s">
        <v>695</v>
      </c>
    </row>
    <row r="41" spans="1:4">
      <c r="A41">
        <v>40</v>
      </c>
      <c r="B41" t="s">
        <v>28</v>
      </c>
      <c r="C41" t="s">
        <v>694</v>
      </c>
      <c r="D41" t="s">
        <v>695</v>
      </c>
    </row>
    <row r="42" spans="1:4">
      <c r="A42">
        <v>41</v>
      </c>
      <c r="B42" t="s">
        <v>28</v>
      </c>
      <c r="C42" t="s">
        <v>694</v>
      </c>
      <c r="D42" t="s">
        <v>695</v>
      </c>
    </row>
    <row r="43" spans="1:4">
      <c r="A43">
        <v>42</v>
      </c>
      <c r="B43" t="s">
        <v>25</v>
      </c>
      <c r="C43" t="s">
        <v>694</v>
      </c>
      <c r="D43" t="s">
        <v>695</v>
      </c>
    </row>
    <row r="44" spans="1:4">
      <c r="A44">
        <v>43</v>
      </c>
      <c r="B44" t="s">
        <v>25</v>
      </c>
      <c r="C44" t="s">
        <v>694</v>
      </c>
      <c r="D44" t="s">
        <v>695</v>
      </c>
    </row>
    <row r="45" spans="1:4">
      <c r="A45">
        <v>44</v>
      </c>
      <c r="B45" t="s">
        <v>45</v>
      </c>
      <c r="C45" t="s">
        <v>694</v>
      </c>
      <c r="D45" t="s">
        <v>695</v>
      </c>
    </row>
    <row r="46" spans="1:4">
      <c r="A46">
        <v>45</v>
      </c>
      <c r="B46" t="s">
        <v>28</v>
      </c>
      <c r="C46" t="s">
        <v>694</v>
      </c>
      <c r="D46" t="s">
        <v>695</v>
      </c>
    </row>
    <row r="47" spans="1:4">
      <c r="A47">
        <v>46</v>
      </c>
      <c r="B47" t="s">
        <v>25</v>
      </c>
      <c r="C47" t="s">
        <v>694</v>
      </c>
      <c r="D47" t="s">
        <v>695</v>
      </c>
    </row>
    <row r="48" spans="1:4">
      <c r="A48">
        <v>47</v>
      </c>
      <c r="B48" t="s">
        <v>28</v>
      </c>
      <c r="C48" t="s">
        <v>694</v>
      </c>
      <c r="D48" t="s">
        <v>695</v>
      </c>
    </row>
    <row r="49" spans="1:4">
      <c r="A49">
        <v>48</v>
      </c>
      <c r="B49" t="s">
        <v>25</v>
      </c>
      <c r="C49" t="s">
        <v>694</v>
      </c>
      <c r="D49" t="s">
        <v>695</v>
      </c>
    </row>
    <row r="50" spans="1:4">
      <c r="A50">
        <v>49</v>
      </c>
      <c r="B50" t="s">
        <v>25</v>
      </c>
      <c r="C50" t="s">
        <v>694</v>
      </c>
      <c r="D50" t="s">
        <v>695</v>
      </c>
    </row>
    <row r="51" spans="1:4">
      <c r="A51">
        <v>50</v>
      </c>
      <c r="B51" t="s">
        <v>44</v>
      </c>
      <c r="C51" t="s">
        <v>694</v>
      </c>
      <c r="D51" t="s">
        <v>695</v>
      </c>
    </row>
    <row r="52" spans="1:4">
      <c r="A52">
        <v>51</v>
      </c>
      <c r="B52" t="s">
        <v>25</v>
      </c>
      <c r="C52" t="s">
        <v>694</v>
      </c>
      <c r="D52" t="s">
        <v>695</v>
      </c>
    </row>
    <row r="53" spans="1:4">
      <c r="A53">
        <v>52</v>
      </c>
      <c r="B53" t="s">
        <v>39</v>
      </c>
      <c r="C53" t="s">
        <v>694</v>
      </c>
      <c r="D53" t="s">
        <v>695</v>
      </c>
    </row>
    <row r="54" spans="1:4">
      <c r="A54">
        <v>53</v>
      </c>
      <c r="B54" t="s">
        <v>47</v>
      </c>
      <c r="C54" t="s">
        <v>694</v>
      </c>
      <c r="D54" t="s">
        <v>695</v>
      </c>
    </row>
    <row r="55" spans="1:4">
      <c r="A55">
        <v>54</v>
      </c>
      <c r="B55" t="s">
        <v>28</v>
      </c>
      <c r="C55" t="s">
        <v>694</v>
      </c>
      <c r="D55" t="s">
        <v>695</v>
      </c>
    </row>
    <row r="56" spans="1:4">
      <c r="A56">
        <v>55</v>
      </c>
      <c r="B56" t="s">
        <v>48</v>
      </c>
      <c r="C56" t="s">
        <v>694</v>
      </c>
      <c r="D56" t="s">
        <v>695</v>
      </c>
    </row>
    <row r="57" spans="1:4">
      <c r="A57">
        <v>56</v>
      </c>
      <c r="B57" t="s">
        <v>25</v>
      </c>
      <c r="C57" t="s">
        <v>694</v>
      </c>
      <c r="D57" t="s">
        <v>695</v>
      </c>
    </row>
    <row r="58" spans="1:4">
      <c r="A58">
        <v>57</v>
      </c>
      <c r="B58" t="s">
        <v>49</v>
      </c>
      <c r="C58" t="s">
        <v>694</v>
      </c>
      <c r="D58" t="s">
        <v>695</v>
      </c>
    </row>
    <row r="59" spans="1:4">
      <c r="A59">
        <v>58</v>
      </c>
      <c r="B59" t="s">
        <v>28</v>
      </c>
      <c r="C59" t="s">
        <v>694</v>
      </c>
      <c r="D59" t="s">
        <v>695</v>
      </c>
    </row>
    <row r="60" spans="1:4">
      <c r="A60">
        <v>59</v>
      </c>
      <c r="B60" t="s">
        <v>28</v>
      </c>
      <c r="C60" t="s">
        <v>694</v>
      </c>
      <c r="D60" t="s">
        <v>695</v>
      </c>
    </row>
    <row r="61" spans="1:4">
      <c r="A61">
        <v>60</v>
      </c>
      <c r="B61" t="s">
        <v>28</v>
      </c>
      <c r="C61" t="s">
        <v>694</v>
      </c>
      <c r="D61" t="s">
        <v>695</v>
      </c>
    </row>
    <row r="62" spans="1:4">
      <c r="A62">
        <v>61</v>
      </c>
      <c r="B62" t="s">
        <v>28</v>
      </c>
      <c r="C62" t="s">
        <v>694</v>
      </c>
      <c r="D62" t="s">
        <v>695</v>
      </c>
    </row>
    <row r="63" spans="1:4">
      <c r="A63">
        <v>62</v>
      </c>
      <c r="B63" t="s">
        <v>38</v>
      </c>
      <c r="C63" t="s">
        <v>694</v>
      </c>
      <c r="D63" t="s">
        <v>695</v>
      </c>
    </row>
    <row r="64" spans="1:4">
      <c r="A64">
        <v>63</v>
      </c>
      <c r="B64" t="s">
        <v>25</v>
      </c>
      <c r="C64" t="s">
        <v>694</v>
      </c>
      <c r="D64" t="s">
        <v>695</v>
      </c>
    </row>
    <row r="65" spans="1:4">
      <c r="A65">
        <v>64</v>
      </c>
      <c r="B65" t="s">
        <v>25</v>
      </c>
      <c r="C65" t="s">
        <v>694</v>
      </c>
      <c r="D65" t="s">
        <v>695</v>
      </c>
    </row>
    <row r="66" spans="1:4">
      <c r="A66">
        <v>65</v>
      </c>
      <c r="B66" t="s">
        <v>28</v>
      </c>
      <c r="C66" t="s">
        <v>694</v>
      </c>
      <c r="D66" t="s">
        <v>695</v>
      </c>
    </row>
    <row r="67" spans="1:4">
      <c r="A67">
        <v>66</v>
      </c>
      <c r="B67" t="s">
        <v>25</v>
      </c>
      <c r="C67" t="s">
        <v>694</v>
      </c>
      <c r="D67" t="s">
        <v>695</v>
      </c>
    </row>
    <row r="68" spans="1:4">
      <c r="A68">
        <v>67</v>
      </c>
      <c r="B68" t="s">
        <v>28</v>
      </c>
      <c r="C68" t="s">
        <v>694</v>
      </c>
      <c r="D68" t="s">
        <v>695</v>
      </c>
    </row>
    <row r="69" spans="1:4">
      <c r="A69">
        <v>68</v>
      </c>
      <c r="B69" t="s">
        <v>38</v>
      </c>
      <c r="C69" t="s">
        <v>694</v>
      </c>
      <c r="D69" t="s">
        <v>695</v>
      </c>
    </row>
    <row r="70" spans="1:4">
      <c r="A70">
        <v>69</v>
      </c>
      <c r="B70" t="s">
        <v>25</v>
      </c>
      <c r="C70" t="s">
        <v>694</v>
      </c>
      <c r="D70" t="s">
        <v>695</v>
      </c>
    </row>
    <row r="71" spans="1:4">
      <c r="A71">
        <v>70</v>
      </c>
      <c r="B71" t="s">
        <v>28</v>
      </c>
      <c r="C71" t="s">
        <v>694</v>
      </c>
      <c r="D71" t="s">
        <v>695</v>
      </c>
    </row>
    <row r="72" spans="1:4">
      <c r="A72">
        <v>71</v>
      </c>
      <c r="B72" t="s">
        <v>28</v>
      </c>
      <c r="C72" t="s">
        <v>694</v>
      </c>
      <c r="D72" t="s">
        <v>695</v>
      </c>
    </row>
    <row r="73" spans="1:4">
      <c r="A73">
        <v>72</v>
      </c>
      <c r="B73" t="s">
        <v>25</v>
      </c>
      <c r="C73" t="s">
        <v>694</v>
      </c>
      <c r="D73" t="s">
        <v>695</v>
      </c>
    </row>
    <row r="74" spans="1:4">
      <c r="A74">
        <v>73</v>
      </c>
      <c r="B74" t="s">
        <v>25</v>
      </c>
      <c r="C74" t="s">
        <v>694</v>
      </c>
      <c r="D74" t="s">
        <v>695</v>
      </c>
    </row>
    <row r="75" spans="1:4">
      <c r="A75">
        <v>74</v>
      </c>
      <c r="B75" t="s">
        <v>25</v>
      </c>
      <c r="C75" t="s">
        <v>694</v>
      </c>
      <c r="D75" t="s">
        <v>695</v>
      </c>
    </row>
    <row r="76" spans="1:4">
      <c r="A76">
        <v>75</v>
      </c>
      <c r="B76" t="s">
        <v>25</v>
      </c>
      <c r="C76" t="s">
        <v>694</v>
      </c>
      <c r="D76" t="s">
        <v>695</v>
      </c>
    </row>
    <row r="77" spans="1:4">
      <c r="A77">
        <v>76</v>
      </c>
      <c r="B77" t="s">
        <v>25</v>
      </c>
      <c r="C77" t="s">
        <v>694</v>
      </c>
      <c r="D77" t="s">
        <v>695</v>
      </c>
    </row>
    <row r="78" spans="1:4">
      <c r="A78">
        <v>77</v>
      </c>
      <c r="B78" t="s">
        <v>39</v>
      </c>
      <c r="C78" t="s">
        <v>694</v>
      </c>
      <c r="D78" t="s">
        <v>695</v>
      </c>
    </row>
    <row r="79" spans="1:4">
      <c r="A79">
        <v>78</v>
      </c>
      <c r="B79" t="s">
        <v>25</v>
      </c>
      <c r="C79" t="s">
        <v>694</v>
      </c>
      <c r="D79" t="s">
        <v>695</v>
      </c>
    </row>
    <row r="80" spans="1:4">
      <c r="A80">
        <v>79</v>
      </c>
      <c r="B80" t="s">
        <v>25</v>
      </c>
      <c r="C80" t="s">
        <v>694</v>
      </c>
      <c r="D80" t="s">
        <v>695</v>
      </c>
    </row>
    <row r="81" spans="1:4">
      <c r="A81">
        <v>80</v>
      </c>
      <c r="B81" t="s">
        <v>38</v>
      </c>
      <c r="C81" t="s">
        <v>694</v>
      </c>
      <c r="D81" t="s">
        <v>695</v>
      </c>
    </row>
    <row r="82" spans="1:4">
      <c r="A82">
        <v>81</v>
      </c>
      <c r="B82" t="s">
        <v>38</v>
      </c>
      <c r="C82" t="s">
        <v>694</v>
      </c>
      <c r="D82" t="s">
        <v>695</v>
      </c>
    </row>
    <row r="83" spans="1:4">
      <c r="A83">
        <v>82</v>
      </c>
      <c r="B83" t="s">
        <v>25</v>
      </c>
      <c r="C83" t="s">
        <v>694</v>
      </c>
      <c r="D83" t="s">
        <v>695</v>
      </c>
    </row>
    <row r="84" spans="1:4">
      <c r="A84">
        <v>83</v>
      </c>
      <c r="B84" t="s">
        <v>25</v>
      </c>
      <c r="C84" t="s">
        <v>694</v>
      </c>
      <c r="D84" t="s">
        <v>695</v>
      </c>
    </row>
    <row r="85" spans="1:4">
      <c r="A85">
        <v>84</v>
      </c>
      <c r="B85" t="s">
        <v>25</v>
      </c>
      <c r="C85" t="s">
        <v>694</v>
      </c>
      <c r="D85" t="s">
        <v>695</v>
      </c>
    </row>
    <row r="86" spans="1:4">
      <c r="A86">
        <v>85</v>
      </c>
      <c r="B86" t="s">
        <v>25</v>
      </c>
      <c r="C86" t="s">
        <v>694</v>
      </c>
      <c r="D86" t="s">
        <v>695</v>
      </c>
    </row>
    <row r="87" spans="1:4">
      <c r="A87">
        <v>86</v>
      </c>
      <c r="B87" t="s">
        <v>25</v>
      </c>
      <c r="C87" t="s">
        <v>694</v>
      </c>
      <c r="D87" t="s">
        <v>695</v>
      </c>
    </row>
    <row r="88" spans="1:4">
      <c r="A88">
        <v>87</v>
      </c>
      <c r="B88" t="s">
        <v>25</v>
      </c>
      <c r="C88" t="s">
        <v>694</v>
      </c>
      <c r="D88" t="s">
        <v>695</v>
      </c>
    </row>
    <row r="89" spans="1:4">
      <c r="A89">
        <v>88</v>
      </c>
      <c r="B89" t="s">
        <v>25</v>
      </c>
      <c r="C89" t="s">
        <v>694</v>
      </c>
      <c r="D89" t="s">
        <v>695</v>
      </c>
    </row>
    <row r="90" spans="1:4">
      <c r="A90">
        <v>89</v>
      </c>
      <c r="B90" t="s">
        <v>25</v>
      </c>
      <c r="C90" t="s">
        <v>694</v>
      </c>
      <c r="D90" t="s">
        <v>695</v>
      </c>
    </row>
    <row r="91" spans="1:4">
      <c r="A91">
        <v>90</v>
      </c>
      <c r="B91" t="s">
        <v>25</v>
      </c>
      <c r="C91" t="s">
        <v>694</v>
      </c>
      <c r="D91" t="s">
        <v>695</v>
      </c>
    </row>
    <row r="92" spans="1:4">
      <c r="A92">
        <v>91</v>
      </c>
      <c r="B92" t="s">
        <v>38</v>
      </c>
      <c r="C92" t="s">
        <v>694</v>
      </c>
      <c r="D92" t="s">
        <v>695</v>
      </c>
    </row>
    <row r="93" spans="1:4">
      <c r="A93">
        <v>92</v>
      </c>
      <c r="B93" t="s">
        <v>39</v>
      </c>
      <c r="C93" t="s">
        <v>694</v>
      </c>
      <c r="D93" t="s">
        <v>695</v>
      </c>
    </row>
    <row r="94" spans="1:4">
      <c r="A94">
        <v>93</v>
      </c>
      <c r="B94" t="s">
        <v>25</v>
      </c>
      <c r="C94" t="s">
        <v>694</v>
      </c>
      <c r="D94" t="s">
        <v>695</v>
      </c>
    </row>
    <row r="95" spans="1:4">
      <c r="A95">
        <v>94</v>
      </c>
      <c r="B95" t="s">
        <v>25</v>
      </c>
      <c r="C95" t="s">
        <v>694</v>
      </c>
      <c r="D95" t="s">
        <v>695</v>
      </c>
    </row>
    <row r="96" spans="1:4">
      <c r="A96">
        <v>95</v>
      </c>
      <c r="B96" t="s">
        <v>25</v>
      </c>
      <c r="C96" t="s">
        <v>694</v>
      </c>
      <c r="D96" t="s">
        <v>695</v>
      </c>
    </row>
    <row r="97" spans="1:4">
      <c r="A97">
        <v>96</v>
      </c>
      <c r="B97" t="s">
        <v>25</v>
      </c>
      <c r="C97" t="s">
        <v>694</v>
      </c>
      <c r="D97" t="s">
        <v>695</v>
      </c>
    </row>
    <row r="98" spans="1:4">
      <c r="A98">
        <v>97</v>
      </c>
      <c r="B98" t="s">
        <v>38</v>
      </c>
      <c r="C98" t="s">
        <v>694</v>
      </c>
      <c r="D98" t="s">
        <v>695</v>
      </c>
    </row>
    <row r="99" spans="1:4">
      <c r="A99">
        <v>98</v>
      </c>
      <c r="B99" t="s">
        <v>45</v>
      </c>
      <c r="C99" t="s">
        <v>694</v>
      </c>
      <c r="D99" t="s">
        <v>695</v>
      </c>
    </row>
    <row r="100" spans="1:4">
      <c r="A100">
        <v>99</v>
      </c>
      <c r="B100" t="s">
        <v>25</v>
      </c>
      <c r="C100" t="s">
        <v>694</v>
      </c>
      <c r="D100" t="s">
        <v>695</v>
      </c>
    </row>
    <row r="101" spans="1:4">
      <c r="A101">
        <v>100</v>
      </c>
      <c r="B101" t="s">
        <v>25</v>
      </c>
      <c r="C101" t="s">
        <v>694</v>
      </c>
      <c r="D101" t="s">
        <v>695</v>
      </c>
    </row>
    <row r="102" spans="1:4">
      <c r="A102">
        <v>101</v>
      </c>
      <c r="B102" t="s">
        <v>25</v>
      </c>
      <c r="C102" t="s">
        <v>694</v>
      </c>
      <c r="D102" t="s">
        <v>695</v>
      </c>
    </row>
    <row r="103" spans="1:4">
      <c r="A103">
        <v>102</v>
      </c>
      <c r="B103" t="s">
        <v>28</v>
      </c>
      <c r="C103" t="s">
        <v>694</v>
      </c>
      <c r="D103" t="s">
        <v>695</v>
      </c>
    </row>
    <row r="104" spans="1:4">
      <c r="A104">
        <v>103</v>
      </c>
      <c r="B104" t="s">
        <v>25</v>
      </c>
      <c r="C104" t="s">
        <v>694</v>
      </c>
      <c r="D104" t="s">
        <v>695</v>
      </c>
    </row>
    <row r="105" spans="1:4">
      <c r="A105">
        <v>104</v>
      </c>
      <c r="B105" t="s">
        <v>25</v>
      </c>
      <c r="C105" t="s">
        <v>694</v>
      </c>
      <c r="D105" t="s">
        <v>695</v>
      </c>
    </row>
    <row r="106" spans="1:4">
      <c r="A106">
        <v>105</v>
      </c>
      <c r="B106" t="s">
        <v>25</v>
      </c>
      <c r="C106" t="s">
        <v>694</v>
      </c>
      <c r="D106" t="s">
        <v>695</v>
      </c>
    </row>
    <row r="107" spans="1:4">
      <c r="A107">
        <v>106</v>
      </c>
      <c r="B107" t="s">
        <v>28</v>
      </c>
      <c r="C107" t="s">
        <v>694</v>
      </c>
      <c r="D107" t="s">
        <v>695</v>
      </c>
    </row>
    <row r="108" spans="1:4">
      <c r="A108">
        <v>107</v>
      </c>
      <c r="B108" t="s">
        <v>39</v>
      </c>
      <c r="C108" t="s">
        <v>694</v>
      </c>
      <c r="D108" t="s">
        <v>695</v>
      </c>
    </row>
    <row r="109" spans="1:4">
      <c r="A109">
        <v>108</v>
      </c>
      <c r="B109" t="s">
        <v>28</v>
      </c>
      <c r="C109" t="s">
        <v>694</v>
      </c>
      <c r="D109" t="s">
        <v>695</v>
      </c>
    </row>
    <row r="110" spans="1:4">
      <c r="A110">
        <v>109</v>
      </c>
      <c r="B110" t="s">
        <v>25</v>
      </c>
      <c r="C110" t="s">
        <v>694</v>
      </c>
      <c r="D110" t="s">
        <v>695</v>
      </c>
    </row>
    <row r="111" spans="1:4">
      <c r="A111">
        <v>110</v>
      </c>
      <c r="B111" t="s">
        <v>25</v>
      </c>
      <c r="C111" t="s">
        <v>694</v>
      </c>
      <c r="D111" t="s">
        <v>695</v>
      </c>
    </row>
    <row r="112" spans="1:4">
      <c r="A112">
        <v>111</v>
      </c>
      <c r="B112" t="s">
        <v>25</v>
      </c>
      <c r="C112" t="s">
        <v>694</v>
      </c>
      <c r="D112" t="s">
        <v>695</v>
      </c>
    </row>
    <row r="113" spans="1:4">
      <c r="A113">
        <v>112</v>
      </c>
      <c r="B113" t="s">
        <v>28</v>
      </c>
      <c r="C113" t="s">
        <v>694</v>
      </c>
      <c r="D113" t="s">
        <v>695</v>
      </c>
    </row>
    <row r="114" spans="1:4">
      <c r="A114">
        <v>113</v>
      </c>
      <c r="B114" t="s">
        <v>25</v>
      </c>
      <c r="C114" t="s">
        <v>694</v>
      </c>
      <c r="D114" t="s">
        <v>695</v>
      </c>
    </row>
    <row r="115" spans="1:4">
      <c r="A115">
        <v>114</v>
      </c>
      <c r="B115" t="s">
        <v>39</v>
      </c>
      <c r="C115" t="s">
        <v>694</v>
      </c>
      <c r="D115" t="s">
        <v>695</v>
      </c>
    </row>
    <row r="116" spans="1:4">
      <c r="A116">
        <v>115</v>
      </c>
      <c r="B116" t="s">
        <v>25</v>
      </c>
      <c r="C116" t="s">
        <v>694</v>
      </c>
      <c r="D116" t="s">
        <v>695</v>
      </c>
    </row>
    <row r="117" spans="1:4">
      <c r="A117">
        <v>116</v>
      </c>
      <c r="B117" t="s">
        <v>25</v>
      </c>
      <c r="C117" t="s">
        <v>694</v>
      </c>
      <c r="D117" t="s">
        <v>695</v>
      </c>
    </row>
    <row r="118" spans="1:4">
      <c r="A118">
        <v>117</v>
      </c>
      <c r="B118" t="s">
        <v>25</v>
      </c>
      <c r="C118" t="s">
        <v>694</v>
      </c>
      <c r="D118" t="s">
        <v>695</v>
      </c>
    </row>
    <row r="119" spans="1:4">
      <c r="A119">
        <v>118</v>
      </c>
      <c r="B119" t="s">
        <v>25</v>
      </c>
      <c r="C119" t="s">
        <v>694</v>
      </c>
      <c r="D119" t="s">
        <v>695</v>
      </c>
    </row>
    <row r="120" spans="1:4">
      <c r="A120">
        <v>119</v>
      </c>
      <c r="B120" t="s">
        <v>25</v>
      </c>
      <c r="C120" t="s">
        <v>694</v>
      </c>
      <c r="D120" t="s">
        <v>695</v>
      </c>
    </row>
    <row r="121" spans="1:4">
      <c r="A121">
        <v>120</v>
      </c>
      <c r="B121" t="s">
        <v>25</v>
      </c>
      <c r="C121" t="s">
        <v>694</v>
      </c>
      <c r="D121" t="s">
        <v>695</v>
      </c>
    </row>
    <row r="122" spans="1:4">
      <c r="A122">
        <v>121</v>
      </c>
      <c r="B122" t="s">
        <v>39</v>
      </c>
      <c r="C122" t="s">
        <v>694</v>
      </c>
      <c r="D122" t="s">
        <v>695</v>
      </c>
    </row>
    <row r="123" spans="1:4">
      <c r="A123">
        <v>122</v>
      </c>
      <c r="B123" t="s">
        <v>25</v>
      </c>
      <c r="C123" t="s">
        <v>694</v>
      </c>
      <c r="D123" t="s">
        <v>695</v>
      </c>
    </row>
    <row r="124" spans="1:4">
      <c r="A124">
        <v>123</v>
      </c>
      <c r="B124" t="s">
        <v>25</v>
      </c>
      <c r="C124" t="s">
        <v>694</v>
      </c>
      <c r="D124" t="s">
        <v>695</v>
      </c>
    </row>
    <row r="125" spans="1:4">
      <c r="A125">
        <v>124</v>
      </c>
      <c r="B125" t="s">
        <v>25</v>
      </c>
      <c r="C125" t="s">
        <v>694</v>
      </c>
      <c r="D125" t="s">
        <v>695</v>
      </c>
    </row>
    <row r="126" spans="1:4">
      <c r="A126">
        <v>125</v>
      </c>
      <c r="B126" t="s">
        <v>25</v>
      </c>
      <c r="C126" t="s">
        <v>694</v>
      </c>
      <c r="D126" t="s">
        <v>695</v>
      </c>
    </row>
    <row r="127" spans="1:4">
      <c r="A127">
        <v>126</v>
      </c>
      <c r="B127" t="s">
        <v>25</v>
      </c>
      <c r="C127" t="s">
        <v>694</v>
      </c>
      <c r="D127" t="s">
        <v>695</v>
      </c>
    </row>
    <row r="128" spans="1:4">
      <c r="A128">
        <v>127</v>
      </c>
      <c r="B128" t="s">
        <v>50</v>
      </c>
      <c r="C128" t="s">
        <v>694</v>
      </c>
      <c r="D128" t="s">
        <v>695</v>
      </c>
    </row>
    <row r="129" spans="1:4">
      <c r="A129">
        <v>128</v>
      </c>
      <c r="B129" t="s">
        <v>25</v>
      </c>
      <c r="C129" t="s">
        <v>694</v>
      </c>
      <c r="D129" t="s">
        <v>695</v>
      </c>
    </row>
    <row r="130" spans="1:4">
      <c r="A130">
        <v>129</v>
      </c>
      <c r="B130" t="s">
        <v>25</v>
      </c>
      <c r="C130" t="s">
        <v>694</v>
      </c>
      <c r="D130" t="s">
        <v>695</v>
      </c>
    </row>
    <row r="131" spans="1:4">
      <c r="A131">
        <v>130</v>
      </c>
      <c r="B131" t="s">
        <v>28</v>
      </c>
      <c r="C131" t="s">
        <v>694</v>
      </c>
      <c r="D131" t="s">
        <v>695</v>
      </c>
    </row>
    <row r="132" spans="1:4">
      <c r="A132">
        <v>131</v>
      </c>
      <c r="B132" t="s">
        <v>25</v>
      </c>
      <c r="C132" t="s">
        <v>694</v>
      </c>
      <c r="D132" t="s">
        <v>695</v>
      </c>
    </row>
    <row r="133" spans="1:4">
      <c r="A133">
        <v>132</v>
      </c>
      <c r="B133" t="s">
        <v>25</v>
      </c>
      <c r="C133" t="s">
        <v>694</v>
      </c>
      <c r="D133" t="s">
        <v>695</v>
      </c>
    </row>
    <row r="134" spans="1:4">
      <c r="A134">
        <v>133</v>
      </c>
      <c r="B134" t="s">
        <v>25</v>
      </c>
      <c r="C134" t="s">
        <v>694</v>
      </c>
      <c r="D134" t="s">
        <v>695</v>
      </c>
    </row>
    <row r="135" spans="1:4">
      <c r="A135">
        <v>134</v>
      </c>
      <c r="B135" t="s">
        <v>25</v>
      </c>
      <c r="C135" t="s">
        <v>694</v>
      </c>
      <c r="D135" t="s">
        <v>695</v>
      </c>
    </row>
    <row r="136" spans="1:4">
      <c r="A136">
        <v>135</v>
      </c>
      <c r="B136" t="s">
        <v>28</v>
      </c>
      <c r="C136" t="s">
        <v>694</v>
      </c>
      <c r="D136" t="s">
        <v>695</v>
      </c>
    </row>
    <row r="137" spans="1:4">
      <c r="A137">
        <v>136</v>
      </c>
      <c r="B137" t="s">
        <v>28</v>
      </c>
      <c r="C137" t="s">
        <v>694</v>
      </c>
      <c r="D137" t="s">
        <v>695</v>
      </c>
    </row>
    <row r="138" spans="1:4">
      <c r="A138">
        <v>137</v>
      </c>
      <c r="B138" t="s">
        <v>25</v>
      </c>
      <c r="C138" t="s">
        <v>694</v>
      </c>
      <c r="D138" t="s">
        <v>695</v>
      </c>
    </row>
    <row r="139" spans="1:4">
      <c r="A139">
        <v>138</v>
      </c>
      <c r="B139" t="s">
        <v>39</v>
      </c>
      <c r="C139" t="s">
        <v>694</v>
      </c>
      <c r="D139" t="s">
        <v>695</v>
      </c>
    </row>
    <row r="140" spans="1:4">
      <c r="A140">
        <v>139</v>
      </c>
      <c r="B140" t="s">
        <v>51</v>
      </c>
      <c r="C140" t="s">
        <v>694</v>
      </c>
      <c r="D140" t="s">
        <v>695</v>
      </c>
    </row>
    <row r="141" spans="1:4">
      <c r="A141">
        <v>140</v>
      </c>
      <c r="B141" t="s">
        <v>38</v>
      </c>
      <c r="C141" t="s">
        <v>694</v>
      </c>
      <c r="D141" t="s">
        <v>695</v>
      </c>
    </row>
    <row r="142" spans="1:4">
      <c r="A142">
        <v>141</v>
      </c>
      <c r="B142" t="s">
        <v>25</v>
      </c>
      <c r="C142" t="s">
        <v>694</v>
      </c>
      <c r="D142" t="s">
        <v>695</v>
      </c>
    </row>
    <row r="143" spans="1:4">
      <c r="A143">
        <v>142</v>
      </c>
      <c r="B143" t="s">
        <v>25</v>
      </c>
      <c r="C143" t="s">
        <v>694</v>
      </c>
      <c r="D143" t="s">
        <v>695</v>
      </c>
    </row>
    <row r="144" spans="1:4">
      <c r="A144">
        <v>143</v>
      </c>
      <c r="B144" t="s">
        <v>25</v>
      </c>
      <c r="C144" t="s">
        <v>694</v>
      </c>
      <c r="D144" t="s">
        <v>695</v>
      </c>
    </row>
    <row r="145" spans="1:4">
      <c r="A145">
        <v>144</v>
      </c>
      <c r="B145" t="s">
        <v>25</v>
      </c>
      <c r="C145" t="s">
        <v>694</v>
      </c>
      <c r="D145" t="s">
        <v>695</v>
      </c>
    </row>
    <row r="146" spans="1:4">
      <c r="A146">
        <v>145</v>
      </c>
      <c r="B146" t="s">
        <v>25</v>
      </c>
      <c r="C146" t="s">
        <v>694</v>
      </c>
      <c r="D146" t="s">
        <v>695</v>
      </c>
    </row>
    <row r="147" spans="1:4">
      <c r="A147">
        <v>146</v>
      </c>
      <c r="B147" t="s">
        <v>39</v>
      </c>
      <c r="C147" t="s">
        <v>694</v>
      </c>
      <c r="D147" t="s">
        <v>695</v>
      </c>
    </row>
    <row r="148" spans="1:4">
      <c r="A148">
        <v>147</v>
      </c>
      <c r="B148" t="s">
        <v>50</v>
      </c>
      <c r="C148" t="s">
        <v>694</v>
      </c>
      <c r="D148" t="s">
        <v>695</v>
      </c>
    </row>
    <row r="149" spans="1:4">
      <c r="A149">
        <v>148</v>
      </c>
      <c r="B149" t="s">
        <v>39</v>
      </c>
      <c r="C149" t="s">
        <v>694</v>
      </c>
      <c r="D149" t="s">
        <v>695</v>
      </c>
    </row>
    <row r="150" spans="1:4">
      <c r="A150">
        <v>149</v>
      </c>
      <c r="B150" t="s">
        <v>25</v>
      </c>
      <c r="C150" t="s">
        <v>694</v>
      </c>
      <c r="D150" t="s">
        <v>695</v>
      </c>
    </row>
    <row r="151" spans="1:4">
      <c r="A151">
        <v>150</v>
      </c>
      <c r="B151" t="s">
        <v>25</v>
      </c>
      <c r="C151" t="s">
        <v>694</v>
      </c>
      <c r="D151" t="s">
        <v>695</v>
      </c>
    </row>
    <row r="152" spans="1:4">
      <c r="A152">
        <v>151</v>
      </c>
      <c r="B152" t="s">
        <v>25</v>
      </c>
      <c r="C152" t="s">
        <v>694</v>
      </c>
      <c r="D152" t="s">
        <v>695</v>
      </c>
    </row>
    <row r="153" spans="1:4">
      <c r="A153">
        <v>152</v>
      </c>
      <c r="B153" t="s">
        <v>28</v>
      </c>
      <c r="C153" t="s">
        <v>694</v>
      </c>
      <c r="D153" t="s">
        <v>695</v>
      </c>
    </row>
    <row r="154" spans="1:4">
      <c r="A154">
        <v>153</v>
      </c>
      <c r="B154" t="s">
        <v>28</v>
      </c>
      <c r="C154" t="s">
        <v>694</v>
      </c>
      <c r="D154" t="s">
        <v>695</v>
      </c>
    </row>
    <row r="155" spans="1:4">
      <c r="A155">
        <v>154</v>
      </c>
      <c r="B155" t="s">
        <v>51</v>
      </c>
      <c r="C155" t="s">
        <v>694</v>
      </c>
      <c r="D155" t="s">
        <v>695</v>
      </c>
    </row>
    <row r="156" spans="1:4">
      <c r="A156">
        <v>155</v>
      </c>
      <c r="B156" t="s">
        <v>25</v>
      </c>
      <c r="C156" t="s">
        <v>694</v>
      </c>
      <c r="D156" t="s">
        <v>695</v>
      </c>
    </row>
    <row r="157" spans="1:4">
      <c r="A157">
        <v>156</v>
      </c>
      <c r="B157" t="s">
        <v>52</v>
      </c>
      <c r="C157" t="s">
        <v>694</v>
      </c>
      <c r="D157" t="s">
        <v>695</v>
      </c>
    </row>
    <row r="158" spans="1:4">
      <c r="A158">
        <v>157</v>
      </c>
      <c r="B158" t="s">
        <v>25</v>
      </c>
      <c r="C158" t="s">
        <v>694</v>
      </c>
      <c r="D158" t="s">
        <v>695</v>
      </c>
    </row>
    <row r="159" spans="1:4">
      <c r="A159">
        <v>158</v>
      </c>
      <c r="B159" t="s">
        <v>25</v>
      </c>
      <c r="C159" t="s">
        <v>694</v>
      </c>
      <c r="D159" t="s">
        <v>695</v>
      </c>
    </row>
    <row r="160" spans="1:4">
      <c r="A160">
        <v>159</v>
      </c>
      <c r="B160" t="s">
        <v>25</v>
      </c>
      <c r="C160" t="s">
        <v>694</v>
      </c>
      <c r="D160" t="s">
        <v>695</v>
      </c>
    </row>
    <row r="161" spans="1:4">
      <c r="A161">
        <v>160</v>
      </c>
      <c r="B161" t="s">
        <v>25</v>
      </c>
      <c r="C161" t="s">
        <v>694</v>
      </c>
      <c r="D161" t="s">
        <v>695</v>
      </c>
    </row>
    <row r="162" spans="1:4">
      <c r="A162">
        <v>161</v>
      </c>
      <c r="B162" t="s">
        <v>25</v>
      </c>
      <c r="C162" t="s">
        <v>694</v>
      </c>
      <c r="D162" t="s">
        <v>695</v>
      </c>
    </row>
    <row r="163" spans="1:4">
      <c r="A163">
        <v>162</v>
      </c>
      <c r="B163" t="s">
        <v>51</v>
      </c>
      <c r="C163" t="s">
        <v>694</v>
      </c>
      <c r="D163" t="s">
        <v>695</v>
      </c>
    </row>
    <row r="164" spans="1:4">
      <c r="A164">
        <v>163</v>
      </c>
      <c r="B164" t="s">
        <v>25</v>
      </c>
      <c r="C164" t="s">
        <v>694</v>
      </c>
      <c r="D164" t="s">
        <v>695</v>
      </c>
    </row>
    <row r="165" spans="1:4">
      <c r="A165">
        <v>164</v>
      </c>
      <c r="B165" t="s">
        <v>25</v>
      </c>
      <c r="C165" t="s">
        <v>694</v>
      </c>
      <c r="D165" t="s">
        <v>695</v>
      </c>
    </row>
    <row r="166" spans="1:4">
      <c r="A166">
        <v>165</v>
      </c>
      <c r="B166" t="s">
        <v>25</v>
      </c>
      <c r="C166" t="s">
        <v>694</v>
      </c>
      <c r="D166" t="s">
        <v>695</v>
      </c>
    </row>
    <row r="167" spans="1:4">
      <c r="A167">
        <v>166</v>
      </c>
      <c r="B167" t="s">
        <v>28</v>
      </c>
      <c r="C167" t="s">
        <v>694</v>
      </c>
      <c r="D167" t="s">
        <v>695</v>
      </c>
    </row>
    <row r="168" spans="1:4">
      <c r="A168">
        <v>167</v>
      </c>
      <c r="B168" t="s">
        <v>25</v>
      </c>
      <c r="C168" t="s">
        <v>694</v>
      </c>
      <c r="D168" t="s">
        <v>695</v>
      </c>
    </row>
    <row r="169" spans="1:4">
      <c r="A169">
        <v>168</v>
      </c>
      <c r="B169" t="s">
        <v>51</v>
      </c>
      <c r="C169" t="s">
        <v>694</v>
      </c>
      <c r="D169" t="s">
        <v>695</v>
      </c>
    </row>
    <row r="170" spans="1:4">
      <c r="A170">
        <v>169</v>
      </c>
      <c r="B170" t="s">
        <v>25</v>
      </c>
      <c r="C170" t="s">
        <v>694</v>
      </c>
      <c r="D170" t="s">
        <v>695</v>
      </c>
    </row>
    <row r="171" spans="1:4">
      <c r="A171">
        <v>170</v>
      </c>
      <c r="B171" t="s">
        <v>53</v>
      </c>
      <c r="C171" t="s">
        <v>694</v>
      </c>
      <c r="D171" t="s">
        <v>695</v>
      </c>
    </row>
    <row r="172" spans="1:4">
      <c r="A172">
        <v>171</v>
      </c>
      <c r="B172" t="s">
        <v>28</v>
      </c>
      <c r="C172" t="s">
        <v>694</v>
      </c>
      <c r="D172" t="s">
        <v>695</v>
      </c>
    </row>
    <row r="173" spans="1:4">
      <c r="A173">
        <v>172</v>
      </c>
      <c r="B173" t="s">
        <v>28</v>
      </c>
      <c r="C173" t="s">
        <v>694</v>
      </c>
      <c r="D173" t="s">
        <v>695</v>
      </c>
    </row>
    <row r="174" spans="1:4">
      <c r="A174">
        <v>173</v>
      </c>
      <c r="B174" t="s">
        <v>25</v>
      </c>
      <c r="C174" t="s">
        <v>694</v>
      </c>
      <c r="D174" t="s">
        <v>695</v>
      </c>
    </row>
    <row r="175" spans="1:4">
      <c r="A175">
        <v>174</v>
      </c>
      <c r="B175" t="s">
        <v>25</v>
      </c>
      <c r="C175" t="s">
        <v>694</v>
      </c>
      <c r="D175" t="s">
        <v>695</v>
      </c>
    </row>
    <row r="176" spans="1:4">
      <c r="A176">
        <v>175</v>
      </c>
      <c r="B176" t="s">
        <v>25</v>
      </c>
      <c r="C176" t="s">
        <v>694</v>
      </c>
      <c r="D176" t="s">
        <v>695</v>
      </c>
    </row>
    <row r="177" spans="1:4">
      <c r="A177">
        <v>176</v>
      </c>
      <c r="B177" t="s">
        <v>45</v>
      </c>
      <c r="C177" t="s">
        <v>694</v>
      </c>
      <c r="D177" t="s">
        <v>695</v>
      </c>
    </row>
    <row r="178" spans="1:4">
      <c r="A178">
        <v>177</v>
      </c>
      <c r="B178" t="s">
        <v>39</v>
      </c>
      <c r="C178" t="s">
        <v>694</v>
      </c>
      <c r="D178" t="s">
        <v>695</v>
      </c>
    </row>
    <row r="179" spans="1:4">
      <c r="A179">
        <v>178</v>
      </c>
      <c r="B179" t="s">
        <v>51</v>
      </c>
      <c r="C179" t="s">
        <v>694</v>
      </c>
      <c r="D179" t="s">
        <v>695</v>
      </c>
    </row>
    <row r="180" spans="1:4">
      <c r="A180">
        <v>179</v>
      </c>
      <c r="B180" t="s">
        <v>28</v>
      </c>
      <c r="C180" t="s">
        <v>694</v>
      </c>
      <c r="D180" t="s">
        <v>695</v>
      </c>
    </row>
    <row r="181" spans="1:4">
      <c r="A181">
        <v>180</v>
      </c>
      <c r="B181" t="s">
        <v>28</v>
      </c>
      <c r="C181" t="s">
        <v>694</v>
      </c>
      <c r="D181" t="s">
        <v>695</v>
      </c>
    </row>
    <row r="182" spans="1:4">
      <c r="A182">
        <v>181</v>
      </c>
      <c r="B182" t="s">
        <v>25</v>
      </c>
      <c r="C182" t="s">
        <v>694</v>
      </c>
      <c r="D182" t="s">
        <v>695</v>
      </c>
    </row>
    <row r="183" spans="1:4">
      <c r="A183">
        <v>182</v>
      </c>
      <c r="B183" t="s">
        <v>25</v>
      </c>
      <c r="C183" t="s">
        <v>694</v>
      </c>
      <c r="D183" t="s">
        <v>695</v>
      </c>
    </row>
    <row r="184" spans="1:4">
      <c r="A184">
        <v>183</v>
      </c>
      <c r="B184" t="s">
        <v>47</v>
      </c>
      <c r="C184" t="s">
        <v>694</v>
      </c>
      <c r="D184" t="s">
        <v>695</v>
      </c>
    </row>
    <row r="185" spans="1:4">
      <c r="A185">
        <v>184</v>
      </c>
      <c r="B185" t="s">
        <v>25</v>
      </c>
      <c r="C185" t="s">
        <v>694</v>
      </c>
      <c r="D185" t="s">
        <v>695</v>
      </c>
    </row>
    <row r="186" spans="1:4">
      <c r="A186">
        <v>185</v>
      </c>
      <c r="B186" t="s">
        <v>51</v>
      </c>
      <c r="C186" t="s">
        <v>694</v>
      </c>
      <c r="D186" t="s">
        <v>695</v>
      </c>
    </row>
    <row r="187" spans="1:4">
      <c r="A187">
        <v>186</v>
      </c>
      <c r="B187" t="s">
        <v>25</v>
      </c>
      <c r="C187" t="s">
        <v>694</v>
      </c>
      <c r="D187" t="s">
        <v>695</v>
      </c>
    </row>
    <row r="188" spans="1:4">
      <c r="A188">
        <v>187</v>
      </c>
      <c r="B188" t="s">
        <v>28</v>
      </c>
      <c r="C188" t="s">
        <v>694</v>
      </c>
      <c r="D188" t="s">
        <v>695</v>
      </c>
    </row>
    <row r="189" spans="1:4">
      <c r="A189">
        <v>188</v>
      </c>
      <c r="B189" t="s">
        <v>28</v>
      </c>
      <c r="C189" t="s">
        <v>694</v>
      </c>
      <c r="D189" t="s">
        <v>695</v>
      </c>
    </row>
    <row r="190" spans="1:4">
      <c r="A190">
        <v>189</v>
      </c>
      <c r="B190" t="s">
        <v>25</v>
      </c>
      <c r="C190" t="s">
        <v>694</v>
      </c>
      <c r="D190" t="s">
        <v>695</v>
      </c>
    </row>
    <row r="191" spans="1:4">
      <c r="A191">
        <v>190</v>
      </c>
      <c r="B191" t="s">
        <v>28</v>
      </c>
      <c r="C191" t="s">
        <v>694</v>
      </c>
      <c r="D191" t="s">
        <v>695</v>
      </c>
    </row>
    <row r="192" spans="1:4">
      <c r="A192">
        <v>191</v>
      </c>
      <c r="B192" t="s">
        <v>25</v>
      </c>
      <c r="C192" t="s">
        <v>694</v>
      </c>
      <c r="D192" t="s">
        <v>695</v>
      </c>
    </row>
    <row r="193" spans="1:4">
      <c r="A193">
        <v>192</v>
      </c>
      <c r="B193" t="s">
        <v>25</v>
      </c>
      <c r="C193" t="s">
        <v>694</v>
      </c>
      <c r="D193" t="s">
        <v>695</v>
      </c>
    </row>
    <row r="194" spans="1:4">
      <c r="A194">
        <v>193</v>
      </c>
      <c r="B194" t="s">
        <v>38</v>
      </c>
      <c r="C194" t="s">
        <v>694</v>
      </c>
      <c r="D194" t="s">
        <v>695</v>
      </c>
    </row>
    <row r="195" spans="1:4">
      <c r="A195">
        <v>194</v>
      </c>
      <c r="B195" t="s">
        <v>38</v>
      </c>
      <c r="C195" t="s">
        <v>694</v>
      </c>
      <c r="D195" t="s">
        <v>695</v>
      </c>
    </row>
    <row r="196" spans="1:4">
      <c r="A196">
        <v>195</v>
      </c>
      <c r="B196" t="s">
        <v>25</v>
      </c>
      <c r="C196" t="s">
        <v>694</v>
      </c>
      <c r="D196" t="s">
        <v>695</v>
      </c>
    </row>
    <row r="197" spans="1:4">
      <c r="A197">
        <v>196</v>
      </c>
      <c r="B197" t="s">
        <v>25</v>
      </c>
      <c r="C197" t="s">
        <v>694</v>
      </c>
      <c r="D197" t="s">
        <v>695</v>
      </c>
    </row>
    <row r="198" spans="1:4">
      <c r="A198">
        <v>197</v>
      </c>
      <c r="B198" t="s">
        <v>28</v>
      </c>
      <c r="C198" t="s">
        <v>694</v>
      </c>
      <c r="D198" t="s">
        <v>695</v>
      </c>
    </row>
    <row r="199" spans="1:4">
      <c r="A199">
        <v>198</v>
      </c>
      <c r="B199" t="s">
        <v>28</v>
      </c>
      <c r="C199" t="s">
        <v>694</v>
      </c>
      <c r="D199" t="s">
        <v>695</v>
      </c>
    </row>
    <row r="200" spans="1:4">
      <c r="A200">
        <v>199</v>
      </c>
      <c r="B200" t="s">
        <v>25</v>
      </c>
      <c r="C200" t="s">
        <v>694</v>
      </c>
      <c r="D200" t="s">
        <v>695</v>
      </c>
    </row>
    <row r="201" spans="1:4">
      <c r="A201">
        <v>200</v>
      </c>
      <c r="B201" t="s">
        <v>25</v>
      </c>
      <c r="C201" t="s">
        <v>694</v>
      </c>
      <c r="D201" t="s">
        <v>695</v>
      </c>
    </row>
    <row r="202" spans="1:4">
      <c r="A202">
        <v>201</v>
      </c>
      <c r="B202" t="s">
        <v>25</v>
      </c>
      <c r="C202" t="s">
        <v>694</v>
      </c>
      <c r="D202" t="s">
        <v>695</v>
      </c>
    </row>
    <row r="203" spans="1:4">
      <c r="A203">
        <v>202</v>
      </c>
      <c r="B203" t="s">
        <v>38</v>
      </c>
      <c r="C203" t="s">
        <v>694</v>
      </c>
      <c r="D203" t="s">
        <v>695</v>
      </c>
    </row>
    <row r="204" spans="1:4">
      <c r="A204">
        <v>203</v>
      </c>
      <c r="B204" t="s">
        <v>25</v>
      </c>
      <c r="C204" t="s">
        <v>694</v>
      </c>
      <c r="D204" t="s">
        <v>695</v>
      </c>
    </row>
    <row r="205" spans="1:4">
      <c r="A205">
        <v>204</v>
      </c>
      <c r="B205" t="s">
        <v>25</v>
      </c>
      <c r="C205" t="s">
        <v>694</v>
      </c>
      <c r="D205" t="s">
        <v>695</v>
      </c>
    </row>
    <row r="206" spans="1:4">
      <c r="A206">
        <v>205</v>
      </c>
      <c r="B206" t="s">
        <v>25</v>
      </c>
      <c r="C206" t="s">
        <v>694</v>
      </c>
      <c r="D206" t="s">
        <v>695</v>
      </c>
    </row>
    <row r="207" spans="1:4">
      <c r="A207">
        <v>206</v>
      </c>
      <c r="B207" t="s">
        <v>28</v>
      </c>
      <c r="C207" t="s">
        <v>694</v>
      </c>
      <c r="D207" t="s">
        <v>695</v>
      </c>
    </row>
    <row r="208" spans="1:4">
      <c r="A208">
        <v>207</v>
      </c>
      <c r="B208" t="s">
        <v>28</v>
      </c>
      <c r="C208" t="s">
        <v>694</v>
      </c>
      <c r="D208" t="s">
        <v>695</v>
      </c>
    </row>
    <row r="209" spans="1:4">
      <c r="A209">
        <v>208</v>
      </c>
      <c r="B209" t="s">
        <v>25</v>
      </c>
      <c r="C209" t="s">
        <v>694</v>
      </c>
      <c r="D209" t="s">
        <v>695</v>
      </c>
    </row>
    <row r="210" spans="1:4">
      <c r="A210">
        <v>209</v>
      </c>
      <c r="B210" t="s">
        <v>25</v>
      </c>
      <c r="C210" t="s">
        <v>694</v>
      </c>
      <c r="D210" t="s">
        <v>695</v>
      </c>
    </row>
    <row r="211" spans="1:4">
      <c r="A211">
        <v>210</v>
      </c>
      <c r="B211" t="s">
        <v>25</v>
      </c>
      <c r="C211" t="s">
        <v>694</v>
      </c>
      <c r="D211" t="s">
        <v>695</v>
      </c>
    </row>
    <row r="212" spans="1:4">
      <c r="A212">
        <v>211</v>
      </c>
      <c r="B212" t="s">
        <v>48</v>
      </c>
      <c r="C212" t="s">
        <v>694</v>
      </c>
      <c r="D212" t="s">
        <v>695</v>
      </c>
    </row>
    <row r="213" spans="1:4">
      <c r="A213">
        <v>212</v>
      </c>
      <c r="B213" t="s">
        <v>25</v>
      </c>
      <c r="C213" t="s">
        <v>694</v>
      </c>
      <c r="D213" t="s">
        <v>695</v>
      </c>
    </row>
    <row r="214" spans="1:4">
      <c r="A214">
        <v>213</v>
      </c>
      <c r="B214" t="s">
        <v>25</v>
      </c>
      <c r="C214" t="s">
        <v>694</v>
      </c>
      <c r="D214" t="s">
        <v>695</v>
      </c>
    </row>
    <row r="215" spans="1:4">
      <c r="A215">
        <v>214</v>
      </c>
      <c r="B215" t="s">
        <v>25</v>
      </c>
      <c r="C215" t="s">
        <v>694</v>
      </c>
      <c r="D215" t="s">
        <v>695</v>
      </c>
    </row>
    <row r="216" spans="1:4">
      <c r="A216">
        <v>215</v>
      </c>
      <c r="B216" t="s">
        <v>28</v>
      </c>
      <c r="C216" t="s">
        <v>694</v>
      </c>
      <c r="D216" t="s">
        <v>695</v>
      </c>
    </row>
    <row r="217" spans="1:4">
      <c r="A217">
        <v>216</v>
      </c>
      <c r="B217" t="s">
        <v>25</v>
      </c>
      <c r="C217" t="s">
        <v>694</v>
      </c>
      <c r="D217" t="s">
        <v>695</v>
      </c>
    </row>
    <row r="218" spans="1:4">
      <c r="A218">
        <v>217</v>
      </c>
      <c r="B218" t="s">
        <v>47</v>
      </c>
      <c r="C218" t="s">
        <v>694</v>
      </c>
      <c r="D218" t="s">
        <v>695</v>
      </c>
    </row>
    <row r="219" spans="1:4">
      <c r="A219">
        <v>218</v>
      </c>
      <c r="B219" t="s">
        <v>28</v>
      </c>
      <c r="C219" t="s">
        <v>694</v>
      </c>
      <c r="D219" t="s">
        <v>695</v>
      </c>
    </row>
    <row r="220" spans="1:4">
      <c r="A220">
        <v>219</v>
      </c>
      <c r="B220" t="s">
        <v>25</v>
      </c>
      <c r="C220" t="s">
        <v>694</v>
      </c>
      <c r="D220" t="s">
        <v>695</v>
      </c>
    </row>
    <row r="221" spans="1:4">
      <c r="A221">
        <v>220</v>
      </c>
      <c r="B221" t="s">
        <v>25</v>
      </c>
      <c r="C221" t="s">
        <v>694</v>
      </c>
      <c r="D221" t="s">
        <v>695</v>
      </c>
    </row>
    <row r="222" spans="1:4">
      <c r="A222">
        <v>221</v>
      </c>
      <c r="B222" t="s">
        <v>25</v>
      </c>
      <c r="C222" t="s">
        <v>694</v>
      </c>
      <c r="D222" t="s">
        <v>695</v>
      </c>
    </row>
    <row r="223" spans="1:4">
      <c r="A223">
        <v>222</v>
      </c>
      <c r="B223" t="s">
        <v>25</v>
      </c>
      <c r="C223" t="s">
        <v>694</v>
      </c>
      <c r="D223" t="s">
        <v>695</v>
      </c>
    </row>
    <row r="224" spans="1:4">
      <c r="A224">
        <v>223</v>
      </c>
      <c r="B224" t="s">
        <v>25</v>
      </c>
      <c r="C224" t="s">
        <v>694</v>
      </c>
      <c r="D224" t="s">
        <v>695</v>
      </c>
    </row>
    <row r="225" spans="1:4">
      <c r="A225">
        <v>224</v>
      </c>
      <c r="B225" t="s">
        <v>25</v>
      </c>
      <c r="C225" t="s">
        <v>694</v>
      </c>
      <c r="D225" t="s">
        <v>695</v>
      </c>
    </row>
    <row r="226" spans="1:4">
      <c r="A226">
        <v>225</v>
      </c>
      <c r="B226" t="s">
        <v>28</v>
      </c>
      <c r="C226" t="s">
        <v>694</v>
      </c>
      <c r="D226" t="s">
        <v>695</v>
      </c>
    </row>
    <row r="227" spans="1:4">
      <c r="A227">
        <v>226</v>
      </c>
      <c r="B227" t="s">
        <v>25</v>
      </c>
      <c r="C227" t="s">
        <v>694</v>
      </c>
      <c r="D227" t="s">
        <v>695</v>
      </c>
    </row>
    <row r="228" spans="1:4">
      <c r="A228">
        <v>227</v>
      </c>
      <c r="B228" t="s">
        <v>25</v>
      </c>
      <c r="C228" t="s">
        <v>694</v>
      </c>
      <c r="D228" t="s">
        <v>695</v>
      </c>
    </row>
    <row r="229" spans="1:4">
      <c r="A229">
        <v>228</v>
      </c>
      <c r="B229" t="s">
        <v>49</v>
      </c>
      <c r="C229" t="s">
        <v>694</v>
      </c>
      <c r="D229" t="s">
        <v>695</v>
      </c>
    </row>
    <row r="230" spans="1:4">
      <c r="A230">
        <v>229</v>
      </c>
      <c r="B230" t="s">
        <v>49</v>
      </c>
      <c r="C230" t="s">
        <v>694</v>
      </c>
      <c r="D230" t="s">
        <v>695</v>
      </c>
    </row>
    <row r="231" spans="1:4">
      <c r="A231">
        <v>230</v>
      </c>
      <c r="B231" t="s">
        <v>51</v>
      </c>
      <c r="C231" t="s">
        <v>694</v>
      </c>
      <c r="D231" t="s">
        <v>695</v>
      </c>
    </row>
    <row r="232" spans="1:4">
      <c r="A232">
        <v>231</v>
      </c>
      <c r="B232" t="s">
        <v>25</v>
      </c>
      <c r="C232" t="s">
        <v>694</v>
      </c>
      <c r="D232" t="s">
        <v>695</v>
      </c>
    </row>
    <row r="233" spans="1:4">
      <c r="A233">
        <v>232</v>
      </c>
      <c r="B233" t="s">
        <v>25</v>
      </c>
      <c r="C233" t="s">
        <v>694</v>
      </c>
      <c r="D233" t="s">
        <v>695</v>
      </c>
    </row>
    <row r="234" spans="1:4">
      <c r="A234">
        <v>233</v>
      </c>
      <c r="B234" t="s">
        <v>28</v>
      </c>
      <c r="C234" t="s">
        <v>694</v>
      </c>
      <c r="D234" t="s">
        <v>695</v>
      </c>
    </row>
    <row r="235" spans="1:4">
      <c r="A235">
        <v>234</v>
      </c>
      <c r="B235" t="s">
        <v>25</v>
      </c>
      <c r="C235" t="s">
        <v>694</v>
      </c>
      <c r="D235" t="s">
        <v>695</v>
      </c>
    </row>
    <row r="236" spans="1:4">
      <c r="A236">
        <v>235</v>
      </c>
      <c r="B236" t="s">
        <v>25</v>
      </c>
      <c r="C236" t="s">
        <v>694</v>
      </c>
      <c r="D236" t="s">
        <v>695</v>
      </c>
    </row>
    <row r="237" spans="1:4">
      <c r="A237">
        <v>236</v>
      </c>
      <c r="B237" t="s">
        <v>51</v>
      </c>
      <c r="C237" t="s">
        <v>694</v>
      </c>
      <c r="D237" t="s">
        <v>695</v>
      </c>
    </row>
    <row r="238" spans="1:4">
      <c r="A238">
        <v>237</v>
      </c>
      <c r="B238" t="s">
        <v>28</v>
      </c>
      <c r="C238" t="s">
        <v>694</v>
      </c>
      <c r="D238" t="s">
        <v>695</v>
      </c>
    </row>
    <row r="239" spans="1:4">
      <c r="A239">
        <v>238</v>
      </c>
      <c r="B239" t="s">
        <v>38</v>
      </c>
      <c r="C239" t="s">
        <v>694</v>
      </c>
      <c r="D239" t="s">
        <v>695</v>
      </c>
    </row>
    <row r="240" spans="1:4">
      <c r="A240">
        <v>239</v>
      </c>
      <c r="B240" t="s">
        <v>49</v>
      </c>
      <c r="C240" t="s">
        <v>694</v>
      </c>
      <c r="D240" t="s">
        <v>695</v>
      </c>
    </row>
    <row r="241" spans="1:4">
      <c r="A241">
        <v>240</v>
      </c>
      <c r="B241" t="s">
        <v>25</v>
      </c>
      <c r="C241" t="s">
        <v>694</v>
      </c>
      <c r="D241" t="s">
        <v>695</v>
      </c>
    </row>
    <row r="242" spans="1:4">
      <c r="A242">
        <v>241</v>
      </c>
      <c r="B242" t="s">
        <v>25</v>
      </c>
      <c r="C242" t="s">
        <v>694</v>
      </c>
      <c r="D242" t="s">
        <v>695</v>
      </c>
    </row>
    <row r="243" spans="1:4">
      <c r="A243">
        <v>242</v>
      </c>
      <c r="B243" t="s">
        <v>50</v>
      </c>
      <c r="C243" t="s">
        <v>694</v>
      </c>
      <c r="D243" t="s">
        <v>695</v>
      </c>
    </row>
    <row r="244" spans="1:4">
      <c r="A244">
        <v>243</v>
      </c>
      <c r="B244" t="s">
        <v>25</v>
      </c>
      <c r="C244" t="s">
        <v>694</v>
      </c>
      <c r="D244" t="s">
        <v>695</v>
      </c>
    </row>
    <row r="245" spans="1:4">
      <c r="A245">
        <v>244</v>
      </c>
      <c r="B245" t="s">
        <v>25</v>
      </c>
      <c r="C245" t="s">
        <v>694</v>
      </c>
      <c r="D245" t="s">
        <v>695</v>
      </c>
    </row>
    <row r="246" spans="1:4">
      <c r="A246">
        <v>245</v>
      </c>
      <c r="B246" t="s">
        <v>28</v>
      </c>
      <c r="C246" t="s">
        <v>694</v>
      </c>
      <c r="D246" t="s">
        <v>695</v>
      </c>
    </row>
    <row r="247" spans="1:4">
      <c r="A247">
        <v>246</v>
      </c>
      <c r="B247" t="s">
        <v>25</v>
      </c>
      <c r="C247" t="s">
        <v>694</v>
      </c>
      <c r="D247" t="s">
        <v>695</v>
      </c>
    </row>
    <row r="248" spans="1:4">
      <c r="A248">
        <v>247</v>
      </c>
      <c r="B248" t="s">
        <v>25</v>
      </c>
      <c r="C248" t="s">
        <v>694</v>
      </c>
      <c r="D248" t="s">
        <v>695</v>
      </c>
    </row>
    <row r="249" spans="1:4">
      <c r="A249">
        <v>248</v>
      </c>
      <c r="B249" t="s">
        <v>39</v>
      </c>
      <c r="C249" t="s">
        <v>694</v>
      </c>
      <c r="D249" t="s">
        <v>695</v>
      </c>
    </row>
    <row r="250" spans="1:4">
      <c r="A250">
        <v>249</v>
      </c>
      <c r="B250" t="s">
        <v>25</v>
      </c>
      <c r="C250" t="s">
        <v>694</v>
      </c>
      <c r="D250" t="s">
        <v>695</v>
      </c>
    </row>
    <row r="251" spans="1:4">
      <c r="A251">
        <v>250</v>
      </c>
      <c r="B251" t="s">
        <v>25</v>
      </c>
      <c r="C251" t="s">
        <v>694</v>
      </c>
      <c r="D251" t="s">
        <v>695</v>
      </c>
    </row>
    <row r="252" spans="1:4">
      <c r="A252">
        <v>251</v>
      </c>
      <c r="B252" t="s">
        <v>51</v>
      </c>
      <c r="C252" t="s">
        <v>694</v>
      </c>
      <c r="D252" t="s">
        <v>695</v>
      </c>
    </row>
    <row r="253" spans="1:4">
      <c r="A253">
        <v>252</v>
      </c>
      <c r="B253" t="s">
        <v>25</v>
      </c>
      <c r="C253" t="s">
        <v>694</v>
      </c>
      <c r="D253" t="s">
        <v>695</v>
      </c>
    </row>
    <row r="254" spans="1:4">
      <c r="A254">
        <v>253</v>
      </c>
      <c r="B254" t="s">
        <v>25</v>
      </c>
      <c r="C254" t="s">
        <v>694</v>
      </c>
      <c r="D254" t="s">
        <v>695</v>
      </c>
    </row>
    <row r="255" spans="1:4">
      <c r="A255">
        <v>254</v>
      </c>
      <c r="B255" t="s">
        <v>28</v>
      </c>
      <c r="C255" t="s">
        <v>694</v>
      </c>
      <c r="D255" t="s">
        <v>695</v>
      </c>
    </row>
    <row r="256" spans="1:4">
      <c r="A256">
        <v>255</v>
      </c>
      <c r="B256" t="s">
        <v>25</v>
      </c>
      <c r="C256" t="s">
        <v>694</v>
      </c>
      <c r="D256" t="s">
        <v>695</v>
      </c>
    </row>
    <row r="257" spans="1:4">
      <c r="A257">
        <v>256</v>
      </c>
      <c r="B257" t="s">
        <v>25</v>
      </c>
      <c r="C257" t="s">
        <v>694</v>
      </c>
      <c r="D257" t="s">
        <v>695</v>
      </c>
    </row>
    <row r="258" spans="1:4">
      <c r="A258">
        <v>257</v>
      </c>
      <c r="B258" t="s">
        <v>28</v>
      </c>
      <c r="C258" t="s">
        <v>694</v>
      </c>
      <c r="D258" t="s">
        <v>695</v>
      </c>
    </row>
    <row r="259" spans="1:4">
      <c r="A259">
        <v>258</v>
      </c>
      <c r="B259" t="s">
        <v>25</v>
      </c>
      <c r="C259" t="s">
        <v>694</v>
      </c>
      <c r="D259" t="s">
        <v>695</v>
      </c>
    </row>
    <row r="260" spans="1:4">
      <c r="A260">
        <v>259</v>
      </c>
      <c r="B260" t="s">
        <v>25</v>
      </c>
      <c r="C260" t="s">
        <v>694</v>
      </c>
      <c r="D260" t="s">
        <v>695</v>
      </c>
    </row>
    <row r="261" spans="1:4">
      <c r="A261">
        <v>260</v>
      </c>
      <c r="B261" t="s">
        <v>45</v>
      </c>
      <c r="C261" t="s">
        <v>694</v>
      </c>
      <c r="D261" t="s">
        <v>695</v>
      </c>
    </row>
    <row r="262" spans="1:4">
      <c r="A262">
        <v>261</v>
      </c>
      <c r="B262" t="s">
        <v>25</v>
      </c>
      <c r="C262" t="s">
        <v>694</v>
      </c>
      <c r="D262" t="s">
        <v>695</v>
      </c>
    </row>
    <row r="263" spans="1:4">
      <c r="A263">
        <v>262</v>
      </c>
      <c r="B263" t="s">
        <v>28</v>
      </c>
      <c r="C263" t="s">
        <v>694</v>
      </c>
      <c r="D263" t="s">
        <v>695</v>
      </c>
    </row>
    <row r="264" spans="1:4">
      <c r="A264">
        <v>263</v>
      </c>
      <c r="B264" t="s">
        <v>51</v>
      </c>
      <c r="C264" t="s">
        <v>694</v>
      </c>
      <c r="D264" t="s">
        <v>695</v>
      </c>
    </row>
    <row r="265" spans="1:4">
      <c r="A265">
        <v>264</v>
      </c>
      <c r="B265" t="s">
        <v>39</v>
      </c>
      <c r="C265" t="s">
        <v>694</v>
      </c>
      <c r="D265" t="s">
        <v>695</v>
      </c>
    </row>
    <row r="266" spans="1:4">
      <c r="A266">
        <v>265</v>
      </c>
      <c r="B266" t="s">
        <v>39</v>
      </c>
      <c r="C266" t="s">
        <v>694</v>
      </c>
      <c r="D266" t="s">
        <v>695</v>
      </c>
    </row>
    <row r="267" spans="1:4">
      <c r="A267">
        <v>266</v>
      </c>
      <c r="B267" t="s">
        <v>25</v>
      </c>
      <c r="C267" t="s">
        <v>694</v>
      </c>
      <c r="D267" t="s">
        <v>695</v>
      </c>
    </row>
    <row r="268" spans="1:4">
      <c r="A268">
        <v>267</v>
      </c>
      <c r="B268" t="s">
        <v>51</v>
      </c>
      <c r="C268" t="s">
        <v>694</v>
      </c>
      <c r="D268" t="s">
        <v>695</v>
      </c>
    </row>
    <row r="269" spans="1:4">
      <c r="A269">
        <v>268</v>
      </c>
      <c r="B269" t="s">
        <v>28</v>
      </c>
      <c r="C269" t="s">
        <v>694</v>
      </c>
      <c r="D269" t="s">
        <v>695</v>
      </c>
    </row>
    <row r="270" spans="1:4">
      <c r="A270">
        <v>269</v>
      </c>
      <c r="B270" t="s">
        <v>25</v>
      </c>
      <c r="C270" t="s">
        <v>694</v>
      </c>
      <c r="D270" t="s">
        <v>695</v>
      </c>
    </row>
    <row r="271" spans="1:4">
      <c r="A271">
        <v>270</v>
      </c>
      <c r="B271" t="s">
        <v>28</v>
      </c>
      <c r="C271" t="s">
        <v>694</v>
      </c>
      <c r="D271" t="s">
        <v>695</v>
      </c>
    </row>
    <row r="272" spans="1:4">
      <c r="A272">
        <v>271</v>
      </c>
      <c r="B272" t="s">
        <v>39</v>
      </c>
      <c r="C272" t="s">
        <v>694</v>
      </c>
      <c r="D272" t="s">
        <v>695</v>
      </c>
    </row>
    <row r="273" spans="1:4">
      <c r="A273">
        <v>272</v>
      </c>
      <c r="B273" t="s">
        <v>45</v>
      </c>
      <c r="C273" t="s">
        <v>694</v>
      </c>
      <c r="D273" t="s">
        <v>695</v>
      </c>
    </row>
    <row r="274" spans="1:4">
      <c r="A274">
        <v>273</v>
      </c>
      <c r="B274" t="s">
        <v>25</v>
      </c>
      <c r="C274" t="s">
        <v>694</v>
      </c>
      <c r="D274" t="s">
        <v>695</v>
      </c>
    </row>
    <row r="275" spans="1:4">
      <c r="A275">
        <v>274</v>
      </c>
      <c r="B275" t="s">
        <v>25</v>
      </c>
      <c r="C275" t="s">
        <v>694</v>
      </c>
      <c r="D275" t="s">
        <v>695</v>
      </c>
    </row>
    <row r="276" spans="1:4">
      <c r="A276">
        <v>275</v>
      </c>
      <c r="B276" t="s">
        <v>47</v>
      </c>
      <c r="C276" t="s">
        <v>694</v>
      </c>
      <c r="D276" t="s">
        <v>695</v>
      </c>
    </row>
    <row r="277" spans="1:4">
      <c r="A277">
        <v>276</v>
      </c>
      <c r="B277" t="s">
        <v>25</v>
      </c>
      <c r="C277" t="s">
        <v>694</v>
      </c>
      <c r="D277" t="s">
        <v>695</v>
      </c>
    </row>
    <row r="278" spans="1:4">
      <c r="A278">
        <v>277</v>
      </c>
      <c r="B278" t="s">
        <v>25</v>
      </c>
      <c r="C278" t="s">
        <v>694</v>
      </c>
      <c r="D278" t="s">
        <v>695</v>
      </c>
    </row>
    <row r="279" spans="1:4">
      <c r="A279">
        <v>278</v>
      </c>
      <c r="B279" t="s">
        <v>25</v>
      </c>
      <c r="C279" t="s">
        <v>694</v>
      </c>
      <c r="D279" t="s">
        <v>695</v>
      </c>
    </row>
    <row r="280" spans="1:4">
      <c r="A280">
        <v>279</v>
      </c>
      <c r="B280" t="s">
        <v>25</v>
      </c>
      <c r="C280" t="s">
        <v>694</v>
      </c>
      <c r="D280" t="s">
        <v>695</v>
      </c>
    </row>
    <row r="281" spans="1:4">
      <c r="A281">
        <v>280</v>
      </c>
      <c r="B281" t="s">
        <v>25</v>
      </c>
      <c r="C281" t="s">
        <v>694</v>
      </c>
      <c r="D281" t="s">
        <v>695</v>
      </c>
    </row>
    <row r="282" spans="1:4">
      <c r="A282">
        <v>281</v>
      </c>
      <c r="B282" t="s">
        <v>28</v>
      </c>
      <c r="C282" t="s">
        <v>694</v>
      </c>
      <c r="D282" t="s">
        <v>695</v>
      </c>
    </row>
    <row r="283" spans="1:4">
      <c r="A283">
        <v>282</v>
      </c>
      <c r="B283" t="s">
        <v>25</v>
      </c>
      <c r="C283" t="s">
        <v>694</v>
      </c>
      <c r="D283" t="s">
        <v>695</v>
      </c>
    </row>
    <row r="284" spans="1:4">
      <c r="A284">
        <v>283</v>
      </c>
      <c r="B284" t="s">
        <v>25</v>
      </c>
      <c r="C284" t="s">
        <v>694</v>
      </c>
      <c r="D284" t="s">
        <v>695</v>
      </c>
    </row>
    <row r="285" spans="1:4">
      <c r="A285">
        <v>284</v>
      </c>
      <c r="B285" t="s">
        <v>25</v>
      </c>
      <c r="C285" t="s">
        <v>694</v>
      </c>
      <c r="D285" t="s">
        <v>695</v>
      </c>
    </row>
    <row r="286" spans="1:4">
      <c r="A286">
        <v>285</v>
      </c>
      <c r="B286" t="s">
        <v>25</v>
      </c>
      <c r="C286" t="s">
        <v>694</v>
      </c>
      <c r="D286" t="s">
        <v>695</v>
      </c>
    </row>
    <row r="287" spans="1:4">
      <c r="A287">
        <v>286</v>
      </c>
      <c r="B287" t="s">
        <v>25</v>
      </c>
      <c r="C287" t="s">
        <v>694</v>
      </c>
      <c r="D287" t="s">
        <v>695</v>
      </c>
    </row>
    <row r="288" spans="1:4">
      <c r="A288">
        <v>287</v>
      </c>
      <c r="B288" t="s">
        <v>25</v>
      </c>
      <c r="C288" t="s">
        <v>694</v>
      </c>
      <c r="D288" t="s">
        <v>695</v>
      </c>
    </row>
    <row r="289" spans="1:4">
      <c r="A289">
        <v>288</v>
      </c>
      <c r="B289" t="s">
        <v>28</v>
      </c>
      <c r="C289" t="s">
        <v>694</v>
      </c>
      <c r="D289" t="s">
        <v>695</v>
      </c>
    </row>
    <row r="290" spans="1:4">
      <c r="A290">
        <v>289</v>
      </c>
      <c r="B290" t="s">
        <v>39</v>
      </c>
      <c r="C290" t="s">
        <v>694</v>
      </c>
      <c r="D290" t="s">
        <v>695</v>
      </c>
    </row>
    <row r="291" spans="1:4">
      <c r="A291">
        <v>290</v>
      </c>
      <c r="B291" t="s">
        <v>25</v>
      </c>
      <c r="C291" t="s">
        <v>694</v>
      </c>
      <c r="D291" t="s">
        <v>695</v>
      </c>
    </row>
    <row r="292" spans="1:4">
      <c r="A292">
        <v>291</v>
      </c>
      <c r="B292" t="s">
        <v>28</v>
      </c>
      <c r="C292" t="s">
        <v>694</v>
      </c>
      <c r="D292" t="s">
        <v>695</v>
      </c>
    </row>
    <row r="293" spans="1:4">
      <c r="A293">
        <v>292</v>
      </c>
      <c r="B293" t="s">
        <v>25</v>
      </c>
      <c r="C293" t="s">
        <v>694</v>
      </c>
      <c r="D293" t="s">
        <v>695</v>
      </c>
    </row>
    <row r="294" spans="1:4">
      <c r="A294">
        <v>293</v>
      </c>
      <c r="B294" t="s">
        <v>25</v>
      </c>
      <c r="C294" t="s">
        <v>694</v>
      </c>
      <c r="D294" t="s">
        <v>695</v>
      </c>
    </row>
    <row r="295" spans="1:4">
      <c r="A295">
        <v>294</v>
      </c>
      <c r="B295" t="s">
        <v>25</v>
      </c>
      <c r="C295" t="s">
        <v>694</v>
      </c>
      <c r="D295" t="s">
        <v>695</v>
      </c>
    </row>
    <row r="296" spans="1:4">
      <c r="A296">
        <v>295</v>
      </c>
      <c r="B296" t="s">
        <v>25</v>
      </c>
      <c r="C296" t="s">
        <v>694</v>
      </c>
      <c r="D296" t="s">
        <v>695</v>
      </c>
    </row>
    <row r="297" spans="1:4">
      <c r="A297">
        <v>296</v>
      </c>
      <c r="B297" t="s">
        <v>25</v>
      </c>
      <c r="C297" t="s">
        <v>694</v>
      </c>
      <c r="D297" t="s">
        <v>695</v>
      </c>
    </row>
    <row r="298" spans="1:4">
      <c r="A298">
        <v>297</v>
      </c>
      <c r="B298" t="s">
        <v>25</v>
      </c>
      <c r="C298" t="s">
        <v>694</v>
      </c>
      <c r="D298" t="s">
        <v>695</v>
      </c>
    </row>
    <row r="299" spans="1:4">
      <c r="A299">
        <v>298</v>
      </c>
      <c r="B299" t="s">
        <v>25</v>
      </c>
      <c r="C299" t="s">
        <v>694</v>
      </c>
      <c r="D299" t="s">
        <v>695</v>
      </c>
    </row>
    <row r="300" spans="1:4">
      <c r="A300">
        <v>299</v>
      </c>
      <c r="B300" t="s">
        <v>25</v>
      </c>
      <c r="C300" t="s">
        <v>694</v>
      </c>
      <c r="D300" t="s">
        <v>695</v>
      </c>
    </row>
    <row r="301" spans="1:4">
      <c r="A301">
        <v>300</v>
      </c>
      <c r="B301" t="s">
        <v>25</v>
      </c>
      <c r="C301" t="s">
        <v>694</v>
      </c>
      <c r="D301" t="s">
        <v>695</v>
      </c>
    </row>
    <row r="302" spans="1:4">
      <c r="A302">
        <v>301</v>
      </c>
      <c r="B302" t="s">
        <v>25</v>
      </c>
      <c r="C302" t="s">
        <v>694</v>
      </c>
      <c r="D302" t="s">
        <v>695</v>
      </c>
    </row>
    <row r="303" spans="1:4">
      <c r="A303">
        <v>302</v>
      </c>
      <c r="B303" t="s">
        <v>25</v>
      </c>
      <c r="C303" t="s">
        <v>694</v>
      </c>
      <c r="D303" t="s">
        <v>695</v>
      </c>
    </row>
    <row r="304" spans="1:4">
      <c r="A304">
        <v>303</v>
      </c>
      <c r="B304" t="s">
        <v>25</v>
      </c>
      <c r="C304" t="s">
        <v>694</v>
      </c>
      <c r="D304" t="s">
        <v>695</v>
      </c>
    </row>
    <row r="305" spans="1:4">
      <c r="A305">
        <v>304</v>
      </c>
      <c r="B305" t="s">
        <v>51</v>
      </c>
      <c r="C305" t="s">
        <v>694</v>
      </c>
      <c r="D305" t="s">
        <v>695</v>
      </c>
    </row>
    <row r="306" spans="1:4">
      <c r="A306">
        <v>305</v>
      </c>
      <c r="B306" t="s">
        <v>51</v>
      </c>
      <c r="C306" t="s">
        <v>694</v>
      </c>
      <c r="D306" t="s">
        <v>695</v>
      </c>
    </row>
    <row r="307" spans="1:4">
      <c r="A307">
        <v>306</v>
      </c>
      <c r="B307" t="s">
        <v>25</v>
      </c>
      <c r="C307" t="s">
        <v>694</v>
      </c>
      <c r="D307" t="s">
        <v>695</v>
      </c>
    </row>
    <row r="308" spans="1:4">
      <c r="A308">
        <v>307</v>
      </c>
      <c r="B308" t="s">
        <v>25</v>
      </c>
      <c r="C308" t="s">
        <v>694</v>
      </c>
      <c r="D308" t="s">
        <v>695</v>
      </c>
    </row>
    <row r="309" spans="1:4">
      <c r="A309">
        <v>308</v>
      </c>
      <c r="B309" t="s">
        <v>25</v>
      </c>
      <c r="C309" t="s">
        <v>694</v>
      </c>
      <c r="D309" t="s">
        <v>695</v>
      </c>
    </row>
    <row r="310" spans="1:4">
      <c r="A310">
        <v>309</v>
      </c>
      <c r="B310" t="s">
        <v>25</v>
      </c>
      <c r="C310" t="s">
        <v>694</v>
      </c>
      <c r="D310" t="s">
        <v>695</v>
      </c>
    </row>
    <row r="311" spans="1:4">
      <c r="A311">
        <v>310</v>
      </c>
      <c r="B311" t="s">
        <v>25</v>
      </c>
      <c r="C311" t="s">
        <v>694</v>
      </c>
      <c r="D311" t="s">
        <v>695</v>
      </c>
    </row>
    <row r="312" spans="1:4">
      <c r="A312">
        <v>311</v>
      </c>
      <c r="B312" t="s">
        <v>25</v>
      </c>
      <c r="C312" t="s">
        <v>694</v>
      </c>
      <c r="D312" t="s">
        <v>695</v>
      </c>
    </row>
    <row r="313" spans="1:4">
      <c r="A313">
        <v>312</v>
      </c>
      <c r="B313" t="s">
        <v>28</v>
      </c>
      <c r="C313" t="s">
        <v>694</v>
      </c>
      <c r="D313" t="s">
        <v>695</v>
      </c>
    </row>
    <row r="314" spans="1:4">
      <c r="A314">
        <v>313</v>
      </c>
      <c r="B314" t="s">
        <v>25</v>
      </c>
      <c r="C314" t="s">
        <v>694</v>
      </c>
      <c r="D314" t="s">
        <v>695</v>
      </c>
    </row>
    <row r="315" spans="1:4">
      <c r="A315">
        <v>314</v>
      </c>
      <c r="B315" t="s">
        <v>25</v>
      </c>
      <c r="C315" t="s">
        <v>694</v>
      </c>
      <c r="D315" t="s">
        <v>695</v>
      </c>
    </row>
    <row r="316" spans="1:4">
      <c r="A316">
        <v>315</v>
      </c>
      <c r="B316" t="s">
        <v>51</v>
      </c>
      <c r="C316" t="s">
        <v>694</v>
      </c>
      <c r="D316" t="s">
        <v>695</v>
      </c>
    </row>
    <row r="317" spans="1:4">
      <c r="A317">
        <v>316</v>
      </c>
      <c r="B317" t="s">
        <v>25</v>
      </c>
      <c r="C317" t="s">
        <v>694</v>
      </c>
      <c r="D317" t="s">
        <v>695</v>
      </c>
    </row>
    <row r="318" spans="1:4">
      <c r="A318">
        <v>317</v>
      </c>
      <c r="B318" t="s">
        <v>51</v>
      </c>
      <c r="C318" t="s">
        <v>694</v>
      </c>
      <c r="D318" t="s">
        <v>695</v>
      </c>
    </row>
    <row r="319" spans="1:4">
      <c r="A319">
        <v>318</v>
      </c>
      <c r="B319" t="s">
        <v>39</v>
      </c>
      <c r="C319" t="s">
        <v>694</v>
      </c>
      <c r="D319" t="s">
        <v>695</v>
      </c>
    </row>
    <row r="320" spans="1:4">
      <c r="A320">
        <v>319</v>
      </c>
      <c r="B320" t="s">
        <v>25</v>
      </c>
      <c r="C320" t="s">
        <v>694</v>
      </c>
      <c r="D320" t="s">
        <v>695</v>
      </c>
    </row>
    <row r="321" spans="1:4">
      <c r="A321">
        <v>320</v>
      </c>
      <c r="B321" t="s">
        <v>25</v>
      </c>
      <c r="C321" t="s">
        <v>694</v>
      </c>
      <c r="D321" t="s">
        <v>695</v>
      </c>
    </row>
    <row r="322" spans="1:4">
      <c r="A322">
        <v>321</v>
      </c>
      <c r="B322" t="s">
        <v>28</v>
      </c>
      <c r="C322" t="s">
        <v>694</v>
      </c>
      <c r="D322" t="s">
        <v>695</v>
      </c>
    </row>
    <row r="323" spans="1:4">
      <c r="A323">
        <v>322</v>
      </c>
      <c r="B323" t="s">
        <v>25</v>
      </c>
      <c r="C323" t="s">
        <v>694</v>
      </c>
      <c r="D323" t="s">
        <v>695</v>
      </c>
    </row>
    <row r="324" spans="1:4">
      <c r="A324">
        <v>323</v>
      </c>
      <c r="B324" t="s">
        <v>25</v>
      </c>
      <c r="C324" t="s">
        <v>694</v>
      </c>
      <c r="D324" t="s">
        <v>695</v>
      </c>
    </row>
    <row r="325" spans="1:4">
      <c r="A325">
        <v>324</v>
      </c>
      <c r="B325" t="s">
        <v>25</v>
      </c>
      <c r="C325" t="s">
        <v>694</v>
      </c>
      <c r="D325" t="s">
        <v>695</v>
      </c>
    </row>
    <row r="326" spans="1:4">
      <c r="A326">
        <v>325</v>
      </c>
      <c r="B326" t="s">
        <v>39</v>
      </c>
      <c r="C326" t="s">
        <v>694</v>
      </c>
      <c r="D326" t="s">
        <v>695</v>
      </c>
    </row>
    <row r="327" spans="1:4">
      <c r="A327">
        <v>326</v>
      </c>
      <c r="B327" t="s">
        <v>39</v>
      </c>
      <c r="C327" t="s">
        <v>694</v>
      </c>
      <c r="D327" t="s">
        <v>695</v>
      </c>
    </row>
    <row r="328" spans="1:4">
      <c r="A328">
        <v>327</v>
      </c>
      <c r="B328" t="s">
        <v>28</v>
      </c>
      <c r="C328" t="s">
        <v>694</v>
      </c>
      <c r="D328" t="s">
        <v>695</v>
      </c>
    </row>
    <row r="329" spans="1:4">
      <c r="A329">
        <v>328</v>
      </c>
      <c r="B329" t="s">
        <v>25</v>
      </c>
      <c r="C329" t="s">
        <v>694</v>
      </c>
      <c r="D329" t="s">
        <v>695</v>
      </c>
    </row>
    <row r="330" spans="1:4">
      <c r="A330">
        <v>329</v>
      </c>
      <c r="B330" t="s">
        <v>25</v>
      </c>
      <c r="C330" t="s">
        <v>694</v>
      </c>
      <c r="D330" t="s">
        <v>695</v>
      </c>
    </row>
    <row r="331" spans="1:4">
      <c r="A331">
        <v>330</v>
      </c>
      <c r="B331" t="s">
        <v>25</v>
      </c>
      <c r="C331" t="s">
        <v>694</v>
      </c>
      <c r="D331" t="s">
        <v>695</v>
      </c>
    </row>
    <row r="332" spans="1:4">
      <c r="A332">
        <v>331</v>
      </c>
      <c r="B332" t="s">
        <v>28</v>
      </c>
      <c r="C332" t="s">
        <v>694</v>
      </c>
      <c r="D332" t="s">
        <v>695</v>
      </c>
    </row>
    <row r="333" spans="1:4">
      <c r="A333">
        <v>332</v>
      </c>
      <c r="B333" t="s">
        <v>25</v>
      </c>
      <c r="C333" t="s">
        <v>694</v>
      </c>
      <c r="D333" t="s">
        <v>695</v>
      </c>
    </row>
    <row r="334" spans="1:4">
      <c r="A334">
        <v>333</v>
      </c>
      <c r="B334" t="s">
        <v>25</v>
      </c>
      <c r="C334" t="s">
        <v>694</v>
      </c>
      <c r="D334" t="s">
        <v>695</v>
      </c>
    </row>
    <row r="335" spans="1:4">
      <c r="A335">
        <v>334</v>
      </c>
      <c r="B335" t="s">
        <v>28</v>
      </c>
      <c r="C335" t="s">
        <v>694</v>
      </c>
      <c r="D335" t="s">
        <v>695</v>
      </c>
    </row>
    <row r="336" spans="1:4">
      <c r="A336">
        <v>335</v>
      </c>
      <c r="B336" t="s">
        <v>50</v>
      </c>
      <c r="C336" t="s">
        <v>694</v>
      </c>
      <c r="D336" t="s">
        <v>695</v>
      </c>
    </row>
    <row r="337" spans="1:4">
      <c r="A337">
        <v>336</v>
      </c>
      <c r="B337" t="s">
        <v>45</v>
      </c>
      <c r="C337" t="s">
        <v>694</v>
      </c>
      <c r="D337" t="s">
        <v>695</v>
      </c>
    </row>
    <row r="338" spans="1:4">
      <c r="A338">
        <v>337</v>
      </c>
      <c r="B338" t="s">
        <v>28</v>
      </c>
      <c r="C338" t="s">
        <v>694</v>
      </c>
      <c r="D338" t="s">
        <v>695</v>
      </c>
    </row>
    <row r="339" spans="1:4">
      <c r="A339">
        <v>338</v>
      </c>
      <c r="B339" t="s">
        <v>28</v>
      </c>
      <c r="C339" t="s">
        <v>694</v>
      </c>
      <c r="D339" t="s">
        <v>695</v>
      </c>
    </row>
    <row r="340" spans="1:4">
      <c r="A340">
        <v>339</v>
      </c>
      <c r="B340" t="s">
        <v>28</v>
      </c>
      <c r="C340" t="s">
        <v>694</v>
      </c>
      <c r="D340" t="s">
        <v>695</v>
      </c>
    </row>
    <row r="341" spans="1:4">
      <c r="A341">
        <v>340</v>
      </c>
      <c r="B341" t="s">
        <v>25</v>
      </c>
      <c r="C341" t="s">
        <v>694</v>
      </c>
      <c r="D341" t="s">
        <v>695</v>
      </c>
    </row>
    <row r="342" spans="1:4">
      <c r="A342">
        <v>341</v>
      </c>
      <c r="B342" t="s">
        <v>28</v>
      </c>
      <c r="C342" t="s">
        <v>694</v>
      </c>
      <c r="D342" t="s">
        <v>695</v>
      </c>
    </row>
    <row r="343" spans="1:4">
      <c r="A343">
        <v>342</v>
      </c>
      <c r="B343" t="s">
        <v>28</v>
      </c>
      <c r="C343" t="s">
        <v>694</v>
      </c>
      <c r="D343" t="s">
        <v>695</v>
      </c>
    </row>
    <row r="344" spans="1:4">
      <c r="A344">
        <v>343</v>
      </c>
      <c r="B344" t="s">
        <v>25</v>
      </c>
      <c r="C344" t="s">
        <v>694</v>
      </c>
      <c r="D344" t="s">
        <v>695</v>
      </c>
    </row>
    <row r="345" spans="1:4">
      <c r="A345">
        <v>344</v>
      </c>
      <c r="B345" t="s">
        <v>25</v>
      </c>
      <c r="C345" t="s">
        <v>694</v>
      </c>
      <c r="D345" t="s">
        <v>695</v>
      </c>
    </row>
    <row r="346" spans="1:4">
      <c r="A346">
        <v>345</v>
      </c>
      <c r="B346" t="s">
        <v>39</v>
      </c>
      <c r="C346" t="s">
        <v>694</v>
      </c>
      <c r="D346" t="s">
        <v>695</v>
      </c>
    </row>
    <row r="347" spans="1:4">
      <c r="A347">
        <v>346</v>
      </c>
      <c r="B347" t="s">
        <v>25</v>
      </c>
      <c r="C347" t="s">
        <v>694</v>
      </c>
      <c r="D347" t="s">
        <v>695</v>
      </c>
    </row>
    <row r="348" spans="1:4">
      <c r="A348">
        <v>347</v>
      </c>
      <c r="B348" t="s">
        <v>28</v>
      </c>
      <c r="C348" t="s">
        <v>694</v>
      </c>
      <c r="D348" t="s">
        <v>695</v>
      </c>
    </row>
    <row r="349" spans="1:4">
      <c r="A349">
        <v>348</v>
      </c>
      <c r="B349" t="s">
        <v>28</v>
      </c>
      <c r="C349" t="s">
        <v>694</v>
      </c>
      <c r="D349" t="s">
        <v>695</v>
      </c>
    </row>
    <row r="350" spans="1:4">
      <c r="A350">
        <v>349</v>
      </c>
      <c r="B350" t="s">
        <v>39</v>
      </c>
      <c r="C350" t="s">
        <v>694</v>
      </c>
      <c r="D350" t="s">
        <v>695</v>
      </c>
    </row>
    <row r="351" spans="1:4">
      <c r="A351">
        <v>350</v>
      </c>
      <c r="B351" t="s">
        <v>25</v>
      </c>
      <c r="C351" t="s">
        <v>694</v>
      </c>
      <c r="D351" t="s">
        <v>695</v>
      </c>
    </row>
    <row r="352" spans="1:4">
      <c r="A352">
        <v>351</v>
      </c>
      <c r="B352" t="s">
        <v>25</v>
      </c>
      <c r="C352" t="s">
        <v>694</v>
      </c>
      <c r="D352" t="s">
        <v>695</v>
      </c>
    </row>
    <row r="353" spans="1:4">
      <c r="A353">
        <v>352</v>
      </c>
      <c r="B353" t="s">
        <v>39</v>
      </c>
      <c r="C353" t="s">
        <v>694</v>
      </c>
      <c r="D353" t="s">
        <v>695</v>
      </c>
    </row>
    <row r="354" spans="1:4">
      <c r="A354">
        <v>353</v>
      </c>
      <c r="B354" t="s">
        <v>47</v>
      </c>
      <c r="C354" t="s">
        <v>694</v>
      </c>
      <c r="D354" t="s">
        <v>695</v>
      </c>
    </row>
    <row r="355" spans="1:4">
      <c r="A355">
        <v>354</v>
      </c>
      <c r="B355" t="s">
        <v>25</v>
      </c>
      <c r="C355" t="s">
        <v>694</v>
      </c>
      <c r="D355" t="s">
        <v>695</v>
      </c>
    </row>
    <row r="356" spans="1:4">
      <c r="A356">
        <v>355</v>
      </c>
      <c r="B356" t="s">
        <v>28</v>
      </c>
      <c r="C356" t="s">
        <v>694</v>
      </c>
      <c r="D356" t="s">
        <v>695</v>
      </c>
    </row>
    <row r="357" spans="1:4">
      <c r="A357">
        <v>356</v>
      </c>
      <c r="B357" t="s">
        <v>25</v>
      </c>
      <c r="C357" t="s">
        <v>694</v>
      </c>
      <c r="D357" t="s">
        <v>695</v>
      </c>
    </row>
    <row r="358" spans="1:4">
      <c r="A358">
        <v>357</v>
      </c>
      <c r="B358" t="s">
        <v>47</v>
      </c>
      <c r="C358" t="s">
        <v>694</v>
      </c>
      <c r="D358" t="s">
        <v>695</v>
      </c>
    </row>
    <row r="359" spans="1:4">
      <c r="A359">
        <v>358</v>
      </c>
      <c r="B359" t="s">
        <v>25</v>
      </c>
      <c r="C359" t="s">
        <v>694</v>
      </c>
      <c r="D359" t="s">
        <v>695</v>
      </c>
    </row>
    <row r="360" spans="1:4">
      <c r="A360">
        <v>359</v>
      </c>
      <c r="B360" t="s">
        <v>25</v>
      </c>
      <c r="C360" t="s">
        <v>694</v>
      </c>
      <c r="D360" t="s">
        <v>695</v>
      </c>
    </row>
    <row r="361" spans="1:4">
      <c r="A361">
        <v>360</v>
      </c>
      <c r="B361" t="s">
        <v>25</v>
      </c>
      <c r="C361" t="s">
        <v>694</v>
      </c>
      <c r="D361" t="s">
        <v>695</v>
      </c>
    </row>
    <row r="362" spans="1:4">
      <c r="A362">
        <v>361</v>
      </c>
      <c r="B362" t="s">
        <v>39</v>
      </c>
      <c r="C362" t="s">
        <v>694</v>
      </c>
      <c r="D362" t="s">
        <v>695</v>
      </c>
    </row>
    <row r="363" spans="1:4">
      <c r="A363">
        <v>362</v>
      </c>
      <c r="B363" t="s">
        <v>39</v>
      </c>
      <c r="C363" t="s">
        <v>694</v>
      </c>
      <c r="D363" t="s">
        <v>695</v>
      </c>
    </row>
    <row r="364" spans="1:4">
      <c r="A364">
        <v>363</v>
      </c>
      <c r="B364" t="s">
        <v>25</v>
      </c>
      <c r="C364" t="s">
        <v>694</v>
      </c>
      <c r="D364" t="s">
        <v>695</v>
      </c>
    </row>
    <row r="365" spans="1:4">
      <c r="A365">
        <v>364</v>
      </c>
      <c r="B365" t="s">
        <v>25</v>
      </c>
      <c r="C365" t="s">
        <v>694</v>
      </c>
      <c r="D365" t="s">
        <v>695</v>
      </c>
    </row>
    <row r="366" spans="1:4">
      <c r="A366">
        <v>365</v>
      </c>
      <c r="B366" t="s">
        <v>28</v>
      </c>
      <c r="C366" t="s">
        <v>694</v>
      </c>
      <c r="D366" t="s">
        <v>695</v>
      </c>
    </row>
    <row r="367" spans="1:4">
      <c r="A367">
        <v>366</v>
      </c>
      <c r="B367" t="s">
        <v>39</v>
      </c>
      <c r="C367" t="s">
        <v>694</v>
      </c>
      <c r="D367" t="s">
        <v>695</v>
      </c>
    </row>
    <row r="368" spans="1:4">
      <c r="A368">
        <v>367</v>
      </c>
      <c r="B368" t="s">
        <v>25</v>
      </c>
      <c r="C368" t="s">
        <v>694</v>
      </c>
      <c r="D368" t="s">
        <v>695</v>
      </c>
    </row>
    <row r="369" spans="1:4">
      <c r="A369">
        <v>368</v>
      </c>
      <c r="B369" t="s">
        <v>25</v>
      </c>
      <c r="C369" t="s">
        <v>694</v>
      </c>
      <c r="D369" t="s">
        <v>695</v>
      </c>
    </row>
    <row r="370" spans="1:4">
      <c r="A370">
        <v>369</v>
      </c>
      <c r="B370" t="s">
        <v>25</v>
      </c>
      <c r="C370" t="s">
        <v>694</v>
      </c>
      <c r="D370" t="s">
        <v>695</v>
      </c>
    </row>
    <row r="371" spans="1:4">
      <c r="A371">
        <v>370</v>
      </c>
      <c r="B371" t="s">
        <v>25</v>
      </c>
      <c r="C371" t="s">
        <v>694</v>
      </c>
      <c r="D371" t="s">
        <v>695</v>
      </c>
    </row>
    <row r="372" spans="1:4">
      <c r="A372">
        <v>371</v>
      </c>
      <c r="B372" t="s">
        <v>28</v>
      </c>
      <c r="C372" t="s">
        <v>694</v>
      </c>
      <c r="D372" t="s">
        <v>695</v>
      </c>
    </row>
    <row r="373" spans="1:4">
      <c r="A373">
        <v>372</v>
      </c>
      <c r="B373" t="s">
        <v>28</v>
      </c>
      <c r="C373" t="s">
        <v>694</v>
      </c>
      <c r="D373" t="s">
        <v>695</v>
      </c>
    </row>
    <row r="374" spans="1:4">
      <c r="A374">
        <v>373</v>
      </c>
      <c r="B374" t="s">
        <v>28</v>
      </c>
      <c r="C374" t="s">
        <v>694</v>
      </c>
      <c r="D374" t="s">
        <v>695</v>
      </c>
    </row>
    <row r="375" spans="1:4">
      <c r="A375">
        <v>374</v>
      </c>
      <c r="B375" t="s">
        <v>28</v>
      </c>
      <c r="C375" t="s">
        <v>694</v>
      </c>
      <c r="D375" t="s">
        <v>695</v>
      </c>
    </row>
    <row r="376" spans="1:4">
      <c r="A376">
        <v>375</v>
      </c>
      <c r="B376" t="s">
        <v>25</v>
      </c>
      <c r="C376" t="s">
        <v>694</v>
      </c>
      <c r="D376" t="s">
        <v>695</v>
      </c>
    </row>
    <row r="377" spans="1:4">
      <c r="A377">
        <v>376</v>
      </c>
      <c r="B377" t="s">
        <v>25</v>
      </c>
      <c r="C377" t="s">
        <v>694</v>
      </c>
      <c r="D377" t="s">
        <v>695</v>
      </c>
    </row>
    <row r="378" spans="1:4">
      <c r="A378">
        <v>377</v>
      </c>
      <c r="B378" t="s">
        <v>25</v>
      </c>
      <c r="C378" t="s">
        <v>694</v>
      </c>
      <c r="D378" t="s">
        <v>695</v>
      </c>
    </row>
    <row r="379" spans="1:4">
      <c r="A379">
        <v>378</v>
      </c>
      <c r="B379" t="s">
        <v>39</v>
      </c>
      <c r="C379" t="s">
        <v>694</v>
      </c>
      <c r="D379" t="s">
        <v>695</v>
      </c>
    </row>
    <row r="380" spans="1:4">
      <c r="A380">
        <v>379</v>
      </c>
      <c r="B380" t="s">
        <v>28</v>
      </c>
      <c r="C380" t="s">
        <v>694</v>
      </c>
      <c r="D380" t="s">
        <v>695</v>
      </c>
    </row>
    <row r="381" spans="1:4">
      <c r="A381">
        <v>380</v>
      </c>
      <c r="B381" t="s">
        <v>25</v>
      </c>
      <c r="C381" t="s">
        <v>694</v>
      </c>
      <c r="D381" t="s">
        <v>695</v>
      </c>
    </row>
    <row r="382" spans="1:4">
      <c r="A382">
        <v>381</v>
      </c>
      <c r="B382" t="s">
        <v>25</v>
      </c>
      <c r="C382" t="s">
        <v>694</v>
      </c>
      <c r="D382" t="s">
        <v>695</v>
      </c>
    </row>
    <row r="383" spans="1:4">
      <c r="A383">
        <v>382</v>
      </c>
      <c r="B383" t="s">
        <v>28</v>
      </c>
      <c r="C383" t="s">
        <v>694</v>
      </c>
      <c r="D383" t="s">
        <v>695</v>
      </c>
    </row>
    <row r="384" spans="1:4">
      <c r="A384">
        <v>383</v>
      </c>
      <c r="B384" t="s">
        <v>25</v>
      </c>
      <c r="C384" t="s">
        <v>694</v>
      </c>
      <c r="D384" t="s">
        <v>695</v>
      </c>
    </row>
    <row r="385" spans="1:4">
      <c r="A385">
        <v>384</v>
      </c>
      <c r="B385" t="s">
        <v>25</v>
      </c>
      <c r="C385" t="s">
        <v>694</v>
      </c>
      <c r="D385" t="s">
        <v>695</v>
      </c>
    </row>
    <row r="386" spans="1:4">
      <c r="A386">
        <v>385</v>
      </c>
      <c r="B386" t="s">
        <v>25</v>
      </c>
      <c r="C386" t="s">
        <v>694</v>
      </c>
      <c r="D386" t="s">
        <v>695</v>
      </c>
    </row>
    <row r="387" spans="1:4">
      <c r="A387">
        <v>386</v>
      </c>
      <c r="B387" t="s">
        <v>39</v>
      </c>
      <c r="C387" t="s">
        <v>694</v>
      </c>
      <c r="D387" t="s">
        <v>695</v>
      </c>
    </row>
    <row r="388" spans="1:4">
      <c r="A388">
        <v>387</v>
      </c>
      <c r="B388" t="s">
        <v>25</v>
      </c>
      <c r="C388" t="s">
        <v>694</v>
      </c>
      <c r="D388" t="s">
        <v>695</v>
      </c>
    </row>
    <row r="389" spans="1:4">
      <c r="A389">
        <v>388</v>
      </c>
      <c r="B389" t="s">
        <v>25</v>
      </c>
      <c r="C389" t="s">
        <v>694</v>
      </c>
      <c r="D389" t="s">
        <v>695</v>
      </c>
    </row>
    <row r="390" spans="1:4">
      <c r="A390">
        <v>389</v>
      </c>
      <c r="B390" t="s">
        <v>25</v>
      </c>
      <c r="C390" t="s">
        <v>694</v>
      </c>
      <c r="D390" t="s">
        <v>695</v>
      </c>
    </row>
    <row r="391" spans="1:4">
      <c r="A391">
        <v>390</v>
      </c>
      <c r="B391" t="s">
        <v>25</v>
      </c>
      <c r="C391" t="s">
        <v>694</v>
      </c>
      <c r="D391" t="s">
        <v>695</v>
      </c>
    </row>
    <row r="392" spans="1:4">
      <c r="A392">
        <v>391</v>
      </c>
      <c r="B392" t="s">
        <v>39</v>
      </c>
      <c r="C392" t="s">
        <v>694</v>
      </c>
      <c r="D392" t="s">
        <v>695</v>
      </c>
    </row>
    <row r="393" spans="1:4">
      <c r="A393">
        <v>392</v>
      </c>
      <c r="B393" t="s">
        <v>28</v>
      </c>
      <c r="C393" t="s">
        <v>694</v>
      </c>
      <c r="D393" t="s">
        <v>695</v>
      </c>
    </row>
    <row r="394" spans="1:4">
      <c r="A394">
        <v>393</v>
      </c>
      <c r="B394" t="s">
        <v>25</v>
      </c>
      <c r="C394" t="s">
        <v>694</v>
      </c>
      <c r="D394" t="s">
        <v>695</v>
      </c>
    </row>
    <row r="395" spans="1:4">
      <c r="A395">
        <v>394</v>
      </c>
      <c r="B395" t="s">
        <v>47</v>
      </c>
      <c r="C395" t="s">
        <v>694</v>
      </c>
      <c r="D395" t="s">
        <v>695</v>
      </c>
    </row>
    <row r="396" spans="1:4">
      <c r="A396">
        <v>395</v>
      </c>
      <c r="B396" t="s">
        <v>25</v>
      </c>
      <c r="C396" t="s">
        <v>694</v>
      </c>
      <c r="D396" t="s">
        <v>695</v>
      </c>
    </row>
    <row r="397" spans="1:4">
      <c r="A397">
        <v>396</v>
      </c>
      <c r="B397" t="s">
        <v>25</v>
      </c>
      <c r="C397" t="s">
        <v>694</v>
      </c>
      <c r="D397" t="s">
        <v>695</v>
      </c>
    </row>
    <row r="398" spans="1:4">
      <c r="A398">
        <v>397</v>
      </c>
      <c r="B398" t="s">
        <v>25</v>
      </c>
      <c r="C398" t="s">
        <v>694</v>
      </c>
      <c r="D398" t="s">
        <v>695</v>
      </c>
    </row>
    <row r="399" spans="1:4">
      <c r="A399">
        <v>398</v>
      </c>
      <c r="B399" t="s">
        <v>45</v>
      </c>
      <c r="C399" t="s">
        <v>694</v>
      </c>
      <c r="D399" t="s">
        <v>695</v>
      </c>
    </row>
    <row r="400" spans="1:4">
      <c r="A400">
        <v>399</v>
      </c>
      <c r="B400" t="s">
        <v>25</v>
      </c>
      <c r="C400" t="s">
        <v>694</v>
      </c>
      <c r="D400" t="s">
        <v>695</v>
      </c>
    </row>
    <row r="401" spans="1:4">
      <c r="A401">
        <v>400</v>
      </c>
      <c r="B401" t="s">
        <v>25</v>
      </c>
      <c r="C401" t="s">
        <v>694</v>
      </c>
      <c r="D401" t="s">
        <v>695</v>
      </c>
    </row>
    <row r="402" spans="1:4">
      <c r="A402">
        <v>401</v>
      </c>
      <c r="B402" t="s">
        <v>39</v>
      </c>
      <c r="C402" t="s">
        <v>694</v>
      </c>
      <c r="D402" t="s">
        <v>695</v>
      </c>
    </row>
    <row r="403" spans="1:4">
      <c r="A403">
        <v>402</v>
      </c>
      <c r="B403" t="s">
        <v>28</v>
      </c>
      <c r="C403" t="s">
        <v>694</v>
      </c>
      <c r="D403" t="s">
        <v>695</v>
      </c>
    </row>
    <row r="404" spans="1:4">
      <c r="A404">
        <v>403</v>
      </c>
      <c r="B404" t="s">
        <v>39</v>
      </c>
      <c r="C404" t="s">
        <v>694</v>
      </c>
      <c r="D404" t="s">
        <v>695</v>
      </c>
    </row>
    <row r="405" spans="1:4">
      <c r="A405">
        <v>404</v>
      </c>
      <c r="B405" t="s">
        <v>47</v>
      </c>
      <c r="C405" t="s">
        <v>694</v>
      </c>
      <c r="D405" t="s">
        <v>695</v>
      </c>
    </row>
    <row r="406" spans="1:4">
      <c r="A406">
        <v>405</v>
      </c>
      <c r="B406" t="s">
        <v>28</v>
      </c>
      <c r="C406" t="s">
        <v>694</v>
      </c>
      <c r="D406" t="s">
        <v>695</v>
      </c>
    </row>
    <row r="407" spans="1:4">
      <c r="A407">
        <v>406</v>
      </c>
      <c r="B407" t="s">
        <v>25</v>
      </c>
      <c r="C407" t="s">
        <v>694</v>
      </c>
      <c r="D407" t="s">
        <v>695</v>
      </c>
    </row>
    <row r="408" spans="1:4">
      <c r="A408">
        <v>407</v>
      </c>
      <c r="B408" t="s">
        <v>25</v>
      </c>
      <c r="C408" t="s">
        <v>694</v>
      </c>
      <c r="D408" t="s">
        <v>695</v>
      </c>
    </row>
    <row r="409" spans="1:4">
      <c r="A409">
        <v>408</v>
      </c>
      <c r="B409" t="s">
        <v>39</v>
      </c>
      <c r="C409" t="s">
        <v>694</v>
      </c>
      <c r="D409" t="s">
        <v>695</v>
      </c>
    </row>
    <row r="410" spans="1:4">
      <c r="A410">
        <v>409</v>
      </c>
      <c r="B410" t="s">
        <v>25</v>
      </c>
      <c r="C410" t="s">
        <v>694</v>
      </c>
      <c r="D410" t="s">
        <v>695</v>
      </c>
    </row>
    <row r="411" spans="1:4">
      <c r="A411">
        <v>410</v>
      </c>
      <c r="B411" t="s">
        <v>25</v>
      </c>
      <c r="C411" t="s">
        <v>694</v>
      </c>
      <c r="D411" t="s">
        <v>695</v>
      </c>
    </row>
    <row r="412" spans="1:4">
      <c r="A412">
        <v>411</v>
      </c>
      <c r="B412" t="s">
        <v>25</v>
      </c>
      <c r="C412" t="s">
        <v>694</v>
      </c>
      <c r="D412" t="s">
        <v>695</v>
      </c>
    </row>
    <row r="413" spans="1:4">
      <c r="A413">
        <v>412</v>
      </c>
      <c r="B413" t="s">
        <v>28</v>
      </c>
      <c r="C413" t="s">
        <v>694</v>
      </c>
      <c r="D413" t="s">
        <v>695</v>
      </c>
    </row>
    <row r="414" spans="1:4">
      <c r="A414">
        <v>413</v>
      </c>
      <c r="B414" t="s">
        <v>39</v>
      </c>
      <c r="C414" t="s">
        <v>694</v>
      </c>
      <c r="D414" t="s">
        <v>695</v>
      </c>
    </row>
    <row r="415" spans="1:4">
      <c r="A415">
        <v>414</v>
      </c>
      <c r="B415" t="s">
        <v>28</v>
      </c>
      <c r="C415" t="s">
        <v>694</v>
      </c>
      <c r="D415" t="s">
        <v>695</v>
      </c>
    </row>
    <row r="416" spans="1:4">
      <c r="A416">
        <v>415</v>
      </c>
      <c r="B416" t="s">
        <v>39</v>
      </c>
      <c r="C416" t="s">
        <v>694</v>
      </c>
      <c r="D416" t="s">
        <v>695</v>
      </c>
    </row>
    <row r="417" spans="1:4">
      <c r="A417">
        <v>416</v>
      </c>
      <c r="B417" t="s">
        <v>28</v>
      </c>
      <c r="C417" t="s">
        <v>694</v>
      </c>
      <c r="D417" t="s">
        <v>695</v>
      </c>
    </row>
    <row r="418" spans="1:4">
      <c r="A418">
        <v>417</v>
      </c>
      <c r="B418" t="s">
        <v>25</v>
      </c>
      <c r="C418" t="s">
        <v>694</v>
      </c>
      <c r="D418" t="s">
        <v>695</v>
      </c>
    </row>
    <row r="419" spans="1:4">
      <c r="A419">
        <v>418</v>
      </c>
      <c r="B419" t="s">
        <v>28</v>
      </c>
      <c r="C419" t="s">
        <v>694</v>
      </c>
      <c r="D419" t="s">
        <v>695</v>
      </c>
    </row>
    <row r="420" spans="1:4">
      <c r="A420">
        <v>419</v>
      </c>
      <c r="B420" t="s">
        <v>25</v>
      </c>
      <c r="C420" t="s">
        <v>694</v>
      </c>
      <c r="D420" t="s">
        <v>695</v>
      </c>
    </row>
    <row r="421" spans="1:4">
      <c r="A421">
        <v>420</v>
      </c>
      <c r="B421" t="s">
        <v>25</v>
      </c>
      <c r="C421" t="s">
        <v>694</v>
      </c>
      <c r="D421" t="s">
        <v>695</v>
      </c>
    </row>
    <row r="422" spans="1:4">
      <c r="A422">
        <v>421</v>
      </c>
      <c r="B422" t="s">
        <v>55</v>
      </c>
      <c r="C422" t="s">
        <v>694</v>
      </c>
      <c r="D422" t="s">
        <v>695</v>
      </c>
    </row>
    <row r="423" spans="1:4">
      <c r="A423">
        <v>422</v>
      </c>
      <c r="B423" t="s">
        <v>45</v>
      </c>
      <c r="C423" t="s">
        <v>694</v>
      </c>
      <c r="D423" t="s">
        <v>695</v>
      </c>
    </row>
    <row r="424" spans="1:4">
      <c r="A424">
        <v>423</v>
      </c>
      <c r="B424" t="s">
        <v>25</v>
      </c>
      <c r="C424" t="s">
        <v>694</v>
      </c>
      <c r="D424" t="s">
        <v>695</v>
      </c>
    </row>
    <row r="425" spans="1:4">
      <c r="A425">
        <v>424</v>
      </c>
      <c r="B425" t="s">
        <v>56</v>
      </c>
      <c r="C425" t="s">
        <v>694</v>
      </c>
      <c r="D425" t="s">
        <v>695</v>
      </c>
    </row>
    <row r="426" spans="1:4">
      <c r="A426">
        <v>425</v>
      </c>
      <c r="B426" t="s">
        <v>45</v>
      </c>
      <c r="C426" t="s">
        <v>694</v>
      </c>
      <c r="D426" t="s">
        <v>695</v>
      </c>
    </row>
    <row r="427" spans="1:4">
      <c r="A427">
        <v>426</v>
      </c>
      <c r="B427" t="s">
        <v>56</v>
      </c>
      <c r="C427" t="s">
        <v>694</v>
      </c>
      <c r="D427" t="s">
        <v>695</v>
      </c>
    </row>
    <row r="428" spans="1:4">
      <c r="A428">
        <v>427</v>
      </c>
      <c r="B428" t="s">
        <v>25</v>
      </c>
      <c r="C428" t="s">
        <v>694</v>
      </c>
      <c r="D428" t="s">
        <v>695</v>
      </c>
    </row>
    <row r="429" spans="1:4">
      <c r="A429">
        <v>428</v>
      </c>
      <c r="B429" t="s">
        <v>47</v>
      </c>
      <c r="C429" t="s">
        <v>694</v>
      </c>
      <c r="D429" t="s">
        <v>695</v>
      </c>
    </row>
    <row r="430" spans="1:4">
      <c r="A430">
        <v>429</v>
      </c>
      <c r="B430" t="s">
        <v>47</v>
      </c>
      <c r="C430" t="s">
        <v>694</v>
      </c>
      <c r="D430" t="s">
        <v>695</v>
      </c>
    </row>
    <row r="431" spans="1:4">
      <c r="A431">
        <v>430</v>
      </c>
      <c r="B431" t="s">
        <v>28</v>
      </c>
      <c r="C431" t="s">
        <v>694</v>
      </c>
      <c r="D431" t="s">
        <v>695</v>
      </c>
    </row>
    <row r="432" spans="1:4">
      <c r="A432">
        <v>431</v>
      </c>
      <c r="B432" t="s">
        <v>38</v>
      </c>
      <c r="C432" t="s">
        <v>694</v>
      </c>
      <c r="D432" t="s">
        <v>695</v>
      </c>
    </row>
    <row r="433" spans="1:4">
      <c r="A433">
        <v>432</v>
      </c>
      <c r="B433" t="s">
        <v>47</v>
      </c>
      <c r="C433" t="s">
        <v>694</v>
      </c>
      <c r="D433" t="s">
        <v>695</v>
      </c>
    </row>
    <row r="434" spans="1:4">
      <c r="A434">
        <v>433</v>
      </c>
      <c r="B434" t="s">
        <v>51</v>
      </c>
      <c r="C434" t="s">
        <v>694</v>
      </c>
      <c r="D434" t="s">
        <v>695</v>
      </c>
    </row>
    <row r="435" spans="1:4">
      <c r="A435">
        <v>434</v>
      </c>
      <c r="B435" t="s">
        <v>25</v>
      </c>
      <c r="C435" t="s">
        <v>694</v>
      </c>
      <c r="D435" t="s">
        <v>695</v>
      </c>
    </row>
    <row r="436" spans="1:4">
      <c r="A436">
        <v>435</v>
      </c>
      <c r="B436" t="s">
        <v>47</v>
      </c>
      <c r="C436" t="s">
        <v>694</v>
      </c>
      <c r="D436" t="s">
        <v>695</v>
      </c>
    </row>
    <row r="437" spans="1:4">
      <c r="A437">
        <v>436</v>
      </c>
      <c r="B437" t="s">
        <v>25</v>
      </c>
      <c r="C437" t="s">
        <v>694</v>
      </c>
      <c r="D437" t="s">
        <v>695</v>
      </c>
    </row>
    <row r="438" spans="1:4">
      <c r="A438">
        <v>437</v>
      </c>
      <c r="B438" t="s">
        <v>38</v>
      </c>
      <c r="C438" t="s">
        <v>694</v>
      </c>
      <c r="D438" t="s">
        <v>695</v>
      </c>
    </row>
    <row r="439" spans="1:4">
      <c r="A439">
        <v>438</v>
      </c>
      <c r="B439" t="s">
        <v>25</v>
      </c>
      <c r="C439" t="s">
        <v>694</v>
      </c>
      <c r="D439" t="s">
        <v>695</v>
      </c>
    </row>
    <row r="440" spans="1:4">
      <c r="A440">
        <v>439</v>
      </c>
      <c r="B440" t="s">
        <v>25</v>
      </c>
      <c r="C440" t="s">
        <v>694</v>
      </c>
      <c r="D440" t="s">
        <v>695</v>
      </c>
    </row>
    <row r="441" spans="1:4">
      <c r="A441">
        <v>440</v>
      </c>
      <c r="B441" t="s">
        <v>25</v>
      </c>
      <c r="C441" t="s">
        <v>694</v>
      </c>
      <c r="D441" t="s">
        <v>695</v>
      </c>
    </row>
    <row r="442" spans="1:4">
      <c r="A442">
        <v>441</v>
      </c>
      <c r="B442" t="s">
        <v>47</v>
      </c>
      <c r="C442" t="s">
        <v>694</v>
      </c>
      <c r="D442" t="s">
        <v>695</v>
      </c>
    </row>
    <row r="443" spans="1:4">
      <c r="A443">
        <v>442</v>
      </c>
      <c r="B443" t="s">
        <v>25</v>
      </c>
      <c r="C443" t="s">
        <v>694</v>
      </c>
      <c r="D443" t="s">
        <v>695</v>
      </c>
    </row>
    <row r="444" spans="1:4">
      <c r="A444">
        <v>443</v>
      </c>
      <c r="B444" t="s">
        <v>28</v>
      </c>
      <c r="C444" t="s">
        <v>694</v>
      </c>
      <c r="D444" t="s">
        <v>695</v>
      </c>
    </row>
    <row r="445" spans="1:4">
      <c r="A445">
        <v>444</v>
      </c>
      <c r="B445" t="s">
        <v>47</v>
      </c>
      <c r="C445" t="s">
        <v>694</v>
      </c>
      <c r="D445" t="s">
        <v>695</v>
      </c>
    </row>
    <row r="446" spans="1:4">
      <c r="A446">
        <v>445</v>
      </c>
      <c r="B446" t="s">
        <v>47</v>
      </c>
      <c r="C446" t="s">
        <v>694</v>
      </c>
      <c r="D446" t="s">
        <v>695</v>
      </c>
    </row>
    <row r="447" spans="1:4">
      <c r="A447">
        <v>446</v>
      </c>
      <c r="B447" t="s">
        <v>47</v>
      </c>
      <c r="C447" t="s">
        <v>694</v>
      </c>
      <c r="D447" t="s">
        <v>695</v>
      </c>
    </row>
    <row r="448" spans="1:4">
      <c r="A448">
        <v>447</v>
      </c>
      <c r="B448" t="s">
        <v>47</v>
      </c>
      <c r="C448" t="s">
        <v>694</v>
      </c>
      <c r="D448" t="s">
        <v>695</v>
      </c>
    </row>
    <row r="449" spans="1:4">
      <c r="A449">
        <v>448</v>
      </c>
      <c r="B449" t="s">
        <v>38</v>
      </c>
      <c r="C449" t="s">
        <v>694</v>
      </c>
      <c r="D449" t="s">
        <v>695</v>
      </c>
    </row>
    <row r="450" spans="1:4">
      <c r="A450">
        <v>449</v>
      </c>
      <c r="B450" t="s">
        <v>25</v>
      </c>
      <c r="C450" t="s">
        <v>694</v>
      </c>
      <c r="D450" t="s">
        <v>695</v>
      </c>
    </row>
    <row r="451" spans="1:4">
      <c r="A451">
        <v>450</v>
      </c>
      <c r="B451" t="s">
        <v>25</v>
      </c>
      <c r="C451" t="s">
        <v>694</v>
      </c>
      <c r="D451" t="s">
        <v>695</v>
      </c>
    </row>
    <row r="452" spans="1:4">
      <c r="A452">
        <v>451</v>
      </c>
      <c r="B452" t="s">
        <v>25</v>
      </c>
      <c r="C452" t="s">
        <v>694</v>
      </c>
      <c r="D452" t="s">
        <v>695</v>
      </c>
    </row>
    <row r="453" spans="1:4">
      <c r="A453">
        <v>452</v>
      </c>
      <c r="B453" t="s">
        <v>25</v>
      </c>
      <c r="C453" t="s">
        <v>694</v>
      </c>
      <c r="D453" t="s">
        <v>695</v>
      </c>
    </row>
    <row r="454" spans="1:4">
      <c r="A454">
        <v>453</v>
      </c>
      <c r="B454" t="s">
        <v>47</v>
      </c>
      <c r="C454" t="s">
        <v>694</v>
      </c>
      <c r="D454" t="s">
        <v>695</v>
      </c>
    </row>
    <row r="455" spans="1:4">
      <c r="A455">
        <v>454</v>
      </c>
      <c r="B455" t="s">
        <v>47</v>
      </c>
      <c r="C455" t="s">
        <v>694</v>
      </c>
      <c r="D455" t="s">
        <v>695</v>
      </c>
    </row>
    <row r="456" spans="1:4">
      <c r="A456">
        <v>455</v>
      </c>
      <c r="B456" t="s">
        <v>25</v>
      </c>
      <c r="C456" t="s">
        <v>694</v>
      </c>
      <c r="D456" t="s">
        <v>695</v>
      </c>
    </row>
    <row r="457" spans="1:4">
      <c r="A457">
        <v>456</v>
      </c>
      <c r="B457" t="s">
        <v>28</v>
      </c>
      <c r="C457" t="s">
        <v>694</v>
      </c>
      <c r="D457" t="s">
        <v>695</v>
      </c>
    </row>
    <row r="458" spans="1:4">
      <c r="A458">
        <v>457</v>
      </c>
      <c r="B458" t="s">
        <v>25</v>
      </c>
      <c r="C458" t="s">
        <v>694</v>
      </c>
      <c r="D458" t="s">
        <v>695</v>
      </c>
    </row>
    <row r="459" spans="1:4">
      <c r="A459">
        <v>458</v>
      </c>
      <c r="B459" t="s">
        <v>25</v>
      </c>
      <c r="C459" t="s">
        <v>694</v>
      </c>
      <c r="D459" t="s">
        <v>695</v>
      </c>
    </row>
    <row r="460" spans="1:4">
      <c r="A460">
        <v>459</v>
      </c>
      <c r="B460" t="s">
        <v>45</v>
      </c>
      <c r="C460" t="s">
        <v>694</v>
      </c>
      <c r="D460" t="s">
        <v>695</v>
      </c>
    </row>
    <row r="461" spans="1:4">
      <c r="A461">
        <v>460</v>
      </c>
      <c r="B461" t="s">
        <v>25</v>
      </c>
      <c r="C461" t="s">
        <v>694</v>
      </c>
      <c r="D461" t="s">
        <v>695</v>
      </c>
    </row>
    <row r="462" spans="1:4">
      <c r="A462">
        <v>461</v>
      </c>
      <c r="B462" t="s">
        <v>51</v>
      </c>
      <c r="C462" t="s">
        <v>694</v>
      </c>
      <c r="D462" t="s">
        <v>695</v>
      </c>
    </row>
    <row r="463" spans="1:4">
      <c r="A463">
        <v>462</v>
      </c>
      <c r="B463" t="s">
        <v>25</v>
      </c>
      <c r="C463" t="s">
        <v>694</v>
      </c>
      <c r="D463" t="s">
        <v>695</v>
      </c>
    </row>
    <row r="464" spans="1:4">
      <c r="A464">
        <v>463</v>
      </c>
      <c r="B464" t="s">
        <v>25</v>
      </c>
      <c r="C464" t="s">
        <v>694</v>
      </c>
      <c r="D464" t="s">
        <v>695</v>
      </c>
    </row>
    <row r="465" spans="1:4">
      <c r="A465">
        <v>464</v>
      </c>
      <c r="B465" t="s">
        <v>45</v>
      </c>
      <c r="C465" t="s">
        <v>694</v>
      </c>
      <c r="D465" t="s">
        <v>695</v>
      </c>
    </row>
    <row r="466" spans="1:4">
      <c r="A466">
        <v>465</v>
      </c>
      <c r="B466" t="s">
        <v>45</v>
      </c>
      <c r="C466" t="s">
        <v>694</v>
      </c>
      <c r="D466" t="s">
        <v>695</v>
      </c>
    </row>
    <row r="467" spans="1:4">
      <c r="A467">
        <v>466</v>
      </c>
      <c r="B467" t="s">
        <v>25</v>
      </c>
      <c r="C467" t="s">
        <v>694</v>
      </c>
      <c r="D467" t="s">
        <v>695</v>
      </c>
    </row>
    <row r="468" spans="1:4">
      <c r="A468">
        <v>467</v>
      </c>
      <c r="B468" t="s">
        <v>38</v>
      </c>
      <c r="C468" t="s">
        <v>694</v>
      </c>
      <c r="D468" t="s">
        <v>695</v>
      </c>
    </row>
    <row r="469" spans="1:4">
      <c r="A469">
        <v>468</v>
      </c>
      <c r="B469" t="s">
        <v>39</v>
      </c>
      <c r="C469" t="s">
        <v>694</v>
      </c>
      <c r="D469" t="s">
        <v>695</v>
      </c>
    </row>
    <row r="470" spans="1:4">
      <c r="A470">
        <v>469</v>
      </c>
      <c r="B470" t="s">
        <v>52</v>
      </c>
      <c r="C470" t="s">
        <v>694</v>
      </c>
      <c r="D470" t="s">
        <v>695</v>
      </c>
    </row>
    <row r="471" spans="1:4">
      <c r="A471">
        <v>470</v>
      </c>
      <c r="B471" t="s">
        <v>25</v>
      </c>
      <c r="C471" t="s">
        <v>694</v>
      </c>
      <c r="D471" t="s">
        <v>695</v>
      </c>
    </row>
    <row r="472" spans="1:4">
      <c r="A472">
        <v>471</v>
      </c>
      <c r="B472" t="s">
        <v>25</v>
      </c>
      <c r="C472" t="s">
        <v>694</v>
      </c>
      <c r="D472" t="s">
        <v>695</v>
      </c>
    </row>
    <row r="473" spans="1:4">
      <c r="A473">
        <v>472</v>
      </c>
      <c r="B473" t="s">
        <v>43</v>
      </c>
      <c r="C473" t="s">
        <v>694</v>
      </c>
      <c r="D473" t="s">
        <v>695</v>
      </c>
    </row>
    <row r="474" spans="1:4">
      <c r="A474">
        <v>473</v>
      </c>
      <c r="B474" t="s">
        <v>47</v>
      </c>
      <c r="C474" t="s">
        <v>694</v>
      </c>
      <c r="D474" t="s">
        <v>695</v>
      </c>
    </row>
    <row r="475" spans="1:4">
      <c r="A475">
        <v>474</v>
      </c>
      <c r="B475" t="s">
        <v>47</v>
      </c>
      <c r="C475" t="s">
        <v>694</v>
      </c>
      <c r="D475" t="s">
        <v>695</v>
      </c>
    </row>
    <row r="476" spans="1:4">
      <c r="A476">
        <v>475</v>
      </c>
      <c r="B476" t="s">
        <v>25</v>
      </c>
      <c r="C476" t="s">
        <v>694</v>
      </c>
      <c r="D476" t="s">
        <v>695</v>
      </c>
    </row>
    <row r="477" spans="1:4">
      <c r="A477">
        <v>476</v>
      </c>
      <c r="B477" t="s">
        <v>38</v>
      </c>
      <c r="C477" t="s">
        <v>694</v>
      </c>
      <c r="D477" t="s">
        <v>695</v>
      </c>
    </row>
    <row r="478" spans="1:4">
      <c r="A478">
        <v>477</v>
      </c>
      <c r="B478" t="s">
        <v>25</v>
      </c>
      <c r="C478" t="s">
        <v>694</v>
      </c>
      <c r="D478" t="s">
        <v>695</v>
      </c>
    </row>
    <row r="479" spans="1:4">
      <c r="A479">
        <v>478</v>
      </c>
      <c r="B479" t="s">
        <v>52</v>
      </c>
      <c r="C479" t="s">
        <v>694</v>
      </c>
      <c r="D479" t="s">
        <v>695</v>
      </c>
    </row>
    <row r="480" spans="1:4">
      <c r="A480">
        <v>479</v>
      </c>
      <c r="B480" t="s">
        <v>25</v>
      </c>
      <c r="C480" t="s">
        <v>694</v>
      </c>
      <c r="D480" t="s">
        <v>695</v>
      </c>
    </row>
    <row r="481" spans="1:4">
      <c r="A481">
        <v>480</v>
      </c>
      <c r="B481" t="s">
        <v>25</v>
      </c>
      <c r="C481" t="s">
        <v>694</v>
      </c>
      <c r="D481" t="s">
        <v>695</v>
      </c>
    </row>
    <row r="482" spans="1:4">
      <c r="A482">
        <v>481</v>
      </c>
      <c r="B482" t="s">
        <v>25</v>
      </c>
      <c r="C482" t="s">
        <v>694</v>
      </c>
      <c r="D482" t="s">
        <v>695</v>
      </c>
    </row>
    <row r="483" spans="1:4">
      <c r="A483">
        <v>482</v>
      </c>
      <c r="B483" t="s">
        <v>47</v>
      </c>
      <c r="C483" t="s">
        <v>694</v>
      </c>
      <c r="D483" t="s">
        <v>695</v>
      </c>
    </row>
    <row r="484" spans="1:4">
      <c r="A484">
        <v>483</v>
      </c>
      <c r="B484" t="s">
        <v>25</v>
      </c>
      <c r="C484" t="s">
        <v>694</v>
      </c>
      <c r="D484" t="s">
        <v>695</v>
      </c>
    </row>
    <row r="485" spans="1:4">
      <c r="A485">
        <v>484</v>
      </c>
      <c r="B485" t="s">
        <v>38</v>
      </c>
      <c r="C485" t="s">
        <v>694</v>
      </c>
      <c r="D485" t="s">
        <v>695</v>
      </c>
    </row>
    <row r="486" spans="1:4">
      <c r="A486">
        <v>485</v>
      </c>
      <c r="B486" t="s">
        <v>25</v>
      </c>
      <c r="C486" t="s">
        <v>694</v>
      </c>
      <c r="D486" t="s">
        <v>695</v>
      </c>
    </row>
    <row r="487" spans="1:4">
      <c r="A487">
        <v>486</v>
      </c>
      <c r="B487" t="s">
        <v>25</v>
      </c>
      <c r="C487" t="s">
        <v>694</v>
      </c>
      <c r="D487" t="s">
        <v>695</v>
      </c>
    </row>
    <row r="488" spans="1:4">
      <c r="A488">
        <v>487</v>
      </c>
      <c r="B488" t="s">
        <v>39</v>
      </c>
      <c r="C488" t="s">
        <v>694</v>
      </c>
      <c r="D488" t="s">
        <v>695</v>
      </c>
    </row>
    <row r="489" spans="1:4">
      <c r="A489">
        <v>488</v>
      </c>
      <c r="B489" t="s">
        <v>25</v>
      </c>
      <c r="C489" t="s">
        <v>694</v>
      </c>
      <c r="D489" t="s">
        <v>695</v>
      </c>
    </row>
    <row r="490" spans="1:4">
      <c r="A490">
        <v>489</v>
      </c>
      <c r="B490" t="s">
        <v>49</v>
      </c>
      <c r="C490" t="s">
        <v>694</v>
      </c>
      <c r="D490" t="s">
        <v>695</v>
      </c>
    </row>
    <row r="491" spans="1:4">
      <c r="A491">
        <v>490</v>
      </c>
      <c r="B491" t="s">
        <v>28</v>
      </c>
      <c r="C491" t="s">
        <v>694</v>
      </c>
      <c r="D491" t="s">
        <v>695</v>
      </c>
    </row>
    <row r="492" spans="1:4">
      <c r="A492">
        <v>491</v>
      </c>
      <c r="B492" t="s">
        <v>25</v>
      </c>
      <c r="C492" t="s">
        <v>694</v>
      </c>
      <c r="D492" t="s">
        <v>695</v>
      </c>
    </row>
    <row r="493" spans="1:4">
      <c r="A493">
        <v>492</v>
      </c>
      <c r="B493" t="s">
        <v>25</v>
      </c>
      <c r="C493" t="s">
        <v>694</v>
      </c>
      <c r="D493" t="s">
        <v>695</v>
      </c>
    </row>
    <row r="494" spans="1:4">
      <c r="A494">
        <v>493</v>
      </c>
      <c r="B494" t="s">
        <v>25</v>
      </c>
      <c r="C494" t="s">
        <v>694</v>
      </c>
      <c r="D494" t="s">
        <v>695</v>
      </c>
    </row>
    <row r="495" spans="1:4">
      <c r="A495">
        <v>494</v>
      </c>
      <c r="B495" t="s">
        <v>25</v>
      </c>
      <c r="C495" t="s">
        <v>694</v>
      </c>
      <c r="D495" t="s">
        <v>695</v>
      </c>
    </row>
    <row r="496" spans="1:4">
      <c r="A496">
        <v>495</v>
      </c>
      <c r="B496" t="s">
        <v>38</v>
      </c>
      <c r="C496" t="s">
        <v>694</v>
      </c>
      <c r="D496" t="s">
        <v>695</v>
      </c>
    </row>
    <row r="497" spans="1:4">
      <c r="A497">
        <v>496</v>
      </c>
      <c r="B497" t="s">
        <v>43</v>
      </c>
      <c r="C497" t="s">
        <v>694</v>
      </c>
      <c r="D497" t="s">
        <v>695</v>
      </c>
    </row>
    <row r="498" spans="1:4">
      <c r="A498">
        <v>497</v>
      </c>
      <c r="B498" t="s">
        <v>25</v>
      </c>
      <c r="C498" t="s">
        <v>694</v>
      </c>
      <c r="D498" t="s">
        <v>695</v>
      </c>
    </row>
    <row r="499" spans="1:4">
      <c r="A499">
        <v>498</v>
      </c>
      <c r="B499" t="s">
        <v>25</v>
      </c>
      <c r="C499" t="s">
        <v>694</v>
      </c>
      <c r="D499" t="s">
        <v>695</v>
      </c>
    </row>
    <row r="500" spans="1:4">
      <c r="A500">
        <v>499</v>
      </c>
      <c r="B500" t="s">
        <v>25</v>
      </c>
      <c r="C500" t="s">
        <v>694</v>
      </c>
      <c r="D500" t="s">
        <v>695</v>
      </c>
    </row>
    <row r="501" spans="1:4">
      <c r="A501">
        <v>500</v>
      </c>
      <c r="B501" t="s">
        <v>43</v>
      </c>
      <c r="C501" t="s">
        <v>694</v>
      </c>
      <c r="D501" t="s">
        <v>695</v>
      </c>
    </row>
    <row r="502" spans="1:4">
      <c r="A502">
        <v>501</v>
      </c>
      <c r="B502" t="s">
        <v>50</v>
      </c>
      <c r="C502" t="s">
        <v>694</v>
      </c>
      <c r="D502" t="s">
        <v>695</v>
      </c>
    </row>
    <row r="503" spans="1:4">
      <c r="A503">
        <v>502</v>
      </c>
      <c r="B503" t="s">
        <v>47</v>
      </c>
      <c r="C503" t="s">
        <v>694</v>
      </c>
      <c r="D503" t="s">
        <v>695</v>
      </c>
    </row>
    <row r="504" spans="1:4">
      <c r="A504">
        <v>503</v>
      </c>
      <c r="B504" t="s">
        <v>25</v>
      </c>
      <c r="C504" t="s">
        <v>694</v>
      </c>
      <c r="D504" t="s">
        <v>695</v>
      </c>
    </row>
    <row r="505" spans="1:4">
      <c r="A505">
        <v>504</v>
      </c>
      <c r="B505" t="s">
        <v>49</v>
      </c>
      <c r="C505" t="s">
        <v>694</v>
      </c>
      <c r="D505" t="s">
        <v>695</v>
      </c>
    </row>
    <row r="506" spans="1:4">
      <c r="A506">
        <v>505</v>
      </c>
      <c r="B506" t="s">
        <v>47</v>
      </c>
      <c r="C506" t="s">
        <v>694</v>
      </c>
      <c r="D506" t="s">
        <v>695</v>
      </c>
    </row>
    <row r="507" spans="1:4">
      <c r="A507">
        <v>506</v>
      </c>
      <c r="B507" t="s">
        <v>25</v>
      </c>
      <c r="C507" t="s">
        <v>694</v>
      </c>
      <c r="D507" t="s">
        <v>695</v>
      </c>
    </row>
    <row r="508" spans="1:4">
      <c r="A508">
        <v>507</v>
      </c>
      <c r="B508" t="s">
        <v>25</v>
      </c>
      <c r="C508" t="s">
        <v>694</v>
      </c>
      <c r="D508" t="s">
        <v>695</v>
      </c>
    </row>
    <row r="509" spans="1:4">
      <c r="A509">
        <v>508</v>
      </c>
      <c r="B509" t="s">
        <v>25</v>
      </c>
      <c r="C509" t="s">
        <v>694</v>
      </c>
      <c r="D509" t="s">
        <v>695</v>
      </c>
    </row>
    <row r="510" spans="1:4">
      <c r="A510">
        <v>509</v>
      </c>
      <c r="B510" t="s">
        <v>47</v>
      </c>
      <c r="C510" t="s">
        <v>694</v>
      </c>
      <c r="D510" t="s">
        <v>695</v>
      </c>
    </row>
    <row r="511" spans="1:4">
      <c r="A511">
        <v>510</v>
      </c>
      <c r="B511" t="s">
        <v>25</v>
      </c>
      <c r="C511" t="s">
        <v>694</v>
      </c>
      <c r="D511" t="s">
        <v>695</v>
      </c>
    </row>
    <row r="512" spans="1:4">
      <c r="A512">
        <v>511</v>
      </c>
      <c r="B512" t="s">
        <v>38</v>
      </c>
      <c r="C512" t="s">
        <v>694</v>
      </c>
      <c r="D512" t="s">
        <v>695</v>
      </c>
    </row>
    <row r="513" spans="1:4">
      <c r="A513">
        <v>512</v>
      </c>
      <c r="B513" t="s">
        <v>25</v>
      </c>
      <c r="C513" t="s">
        <v>694</v>
      </c>
      <c r="D513" t="s">
        <v>695</v>
      </c>
    </row>
    <row r="514" spans="1:4">
      <c r="A514">
        <v>513</v>
      </c>
      <c r="B514" t="s">
        <v>45</v>
      </c>
      <c r="C514" t="s">
        <v>694</v>
      </c>
      <c r="D514" t="s">
        <v>695</v>
      </c>
    </row>
    <row r="515" spans="1:4">
      <c r="A515">
        <v>514</v>
      </c>
      <c r="B515" t="s">
        <v>38</v>
      </c>
      <c r="C515" t="s">
        <v>694</v>
      </c>
      <c r="D515" t="s">
        <v>695</v>
      </c>
    </row>
    <row r="516" spans="1:4">
      <c r="A516">
        <v>515</v>
      </c>
      <c r="B516" t="s">
        <v>25</v>
      </c>
      <c r="C516" t="s">
        <v>694</v>
      </c>
      <c r="D516" t="s">
        <v>695</v>
      </c>
    </row>
    <row r="517" spans="1:4">
      <c r="A517">
        <v>516</v>
      </c>
      <c r="B517" t="s">
        <v>25</v>
      </c>
      <c r="C517" t="s">
        <v>694</v>
      </c>
      <c r="D517" t="s">
        <v>695</v>
      </c>
    </row>
    <row r="518" spans="1:4">
      <c r="A518">
        <v>517</v>
      </c>
      <c r="B518" t="s">
        <v>25</v>
      </c>
      <c r="C518" t="s">
        <v>694</v>
      </c>
      <c r="D518" t="s">
        <v>695</v>
      </c>
    </row>
    <row r="519" spans="1:4">
      <c r="A519">
        <v>518</v>
      </c>
      <c r="B519" t="s">
        <v>51</v>
      </c>
      <c r="C519" t="s">
        <v>694</v>
      </c>
      <c r="D519" t="s">
        <v>695</v>
      </c>
    </row>
    <row r="520" spans="1:4">
      <c r="A520">
        <v>519</v>
      </c>
      <c r="B520" t="s">
        <v>38</v>
      </c>
      <c r="C520" t="s">
        <v>694</v>
      </c>
      <c r="D520" t="s">
        <v>695</v>
      </c>
    </row>
    <row r="521" spans="1:4">
      <c r="A521">
        <v>520</v>
      </c>
      <c r="B521" t="s">
        <v>39</v>
      </c>
      <c r="C521" t="s">
        <v>694</v>
      </c>
      <c r="D521" t="s">
        <v>695</v>
      </c>
    </row>
    <row r="522" spans="1:4">
      <c r="A522">
        <v>521</v>
      </c>
      <c r="B522" t="s">
        <v>25</v>
      </c>
      <c r="C522" t="s">
        <v>694</v>
      </c>
      <c r="D522" t="s">
        <v>695</v>
      </c>
    </row>
    <row r="523" spans="1:4">
      <c r="A523">
        <v>522</v>
      </c>
      <c r="B523" t="s">
        <v>25</v>
      </c>
      <c r="C523" t="s">
        <v>694</v>
      </c>
      <c r="D523" t="s">
        <v>695</v>
      </c>
    </row>
    <row r="524" spans="1:4">
      <c r="A524">
        <v>523</v>
      </c>
      <c r="B524" t="s">
        <v>47</v>
      </c>
      <c r="C524" t="s">
        <v>694</v>
      </c>
      <c r="D524" t="s">
        <v>695</v>
      </c>
    </row>
    <row r="525" spans="1:4">
      <c r="A525">
        <v>524</v>
      </c>
      <c r="B525" t="s">
        <v>47</v>
      </c>
      <c r="C525" t="s">
        <v>694</v>
      </c>
      <c r="D525" t="s">
        <v>695</v>
      </c>
    </row>
    <row r="526" spans="1:4">
      <c r="A526">
        <v>525</v>
      </c>
      <c r="B526" t="s">
        <v>47</v>
      </c>
      <c r="C526" t="s">
        <v>694</v>
      </c>
      <c r="D526" t="s">
        <v>695</v>
      </c>
    </row>
    <row r="527" spans="1:4">
      <c r="A527">
        <v>526</v>
      </c>
      <c r="B527" t="s">
        <v>47</v>
      </c>
      <c r="C527" t="s">
        <v>694</v>
      </c>
      <c r="D527" t="s">
        <v>695</v>
      </c>
    </row>
    <row r="528" spans="1:4">
      <c r="A528">
        <v>527</v>
      </c>
      <c r="B528" t="s">
        <v>25</v>
      </c>
      <c r="C528" t="s">
        <v>694</v>
      </c>
      <c r="D528" t="s">
        <v>695</v>
      </c>
    </row>
    <row r="529" spans="1:4">
      <c r="A529">
        <v>528</v>
      </c>
      <c r="B529" t="s">
        <v>38</v>
      </c>
      <c r="C529" t="s">
        <v>694</v>
      </c>
      <c r="D529" t="s">
        <v>695</v>
      </c>
    </row>
    <row r="530" spans="1:4">
      <c r="A530">
        <v>529</v>
      </c>
      <c r="B530" t="s">
        <v>39</v>
      </c>
      <c r="C530" t="s">
        <v>694</v>
      </c>
      <c r="D530" t="s">
        <v>695</v>
      </c>
    </row>
    <row r="531" spans="1:4">
      <c r="A531">
        <v>530</v>
      </c>
      <c r="B531" t="s">
        <v>47</v>
      </c>
      <c r="C531" t="s">
        <v>694</v>
      </c>
      <c r="D531" t="s">
        <v>695</v>
      </c>
    </row>
    <row r="532" spans="1:4">
      <c r="A532">
        <v>531</v>
      </c>
      <c r="B532" t="s">
        <v>25</v>
      </c>
      <c r="C532" t="s">
        <v>694</v>
      </c>
      <c r="D532" t="s">
        <v>695</v>
      </c>
    </row>
    <row r="533" spans="1:4">
      <c r="A533">
        <v>532</v>
      </c>
      <c r="B533" t="s">
        <v>47</v>
      </c>
      <c r="C533" t="s">
        <v>694</v>
      </c>
      <c r="D533" t="s">
        <v>695</v>
      </c>
    </row>
    <row r="534" spans="1:4">
      <c r="A534">
        <v>533</v>
      </c>
      <c r="B534" t="s">
        <v>47</v>
      </c>
      <c r="C534" t="s">
        <v>694</v>
      </c>
      <c r="D534" t="s">
        <v>695</v>
      </c>
    </row>
    <row r="535" spans="1:4">
      <c r="A535">
        <v>534</v>
      </c>
      <c r="B535" t="s">
        <v>25</v>
      </c>
      <c r="C535" t="s">
        <v>694</v>
      </c>
      <c r="D535" t="s">
        <v>695</v>
      </c>
    </row>
    <row r="536" spans="1:4">
      <c r="A536">
        <v>535</v>
      </c>
      <c r="B536" t="s">
        <v>25</v>
      </c>
      <c r="C536" t="s">
        <v>694</v>
      </c>
      <c r="D536" t="s">
        <v>695</v>
      </c>
    </row>
    <row r="537" spans="1:4">
      <c r="A537">
        <v>536</v>
      </c>
      <c r="B537" t="s">
        <v>47</v>
      </c>
      <c r="C537" t="s">
        <v>694</v>
      </c>
      <c r="D537" t="s">
        <v>695</v>
      </c>
    </row>
    <row r="538" spans="1:4">
      <c r="A538">
        <v>537</v>
      </c>
      <c r="B538" t="s">
        <v>45</v>
      </c>
      <c r="C538" t="s">
        <v>694</v>
      </c>
      <c r="D538" t="s">
        <v>695</v>
      </c>
    </row>
    <row r="539" spans="1:4">
      <c r="A539">
        <v>538</v>
      </c>
      <c r="B539" t="s">
        <v>38</v>
      </c>
      <c r="C539" t="s">
        <v>694</v>
      </c>
      <c r="D539" t="s">
        <v>695</v>
      </c>
    </row>
    <row r="540" spans="1:4">
      <c r="A540">
        <v>539</v>
      </c>
      <c r="B540" t="s">
        <v>51</v>
      </c>
      <c r="C540" t="s">
        <v>694</v>
      </c>
      <c r="D540" t="s">
        <v>695</v>
      </c>
    </row>
    <row r="541" spans="1:4">
      <c r="A541">
        <v>540</v>
      </c>
      <c r="B541" t="s">
        <v>28</v>
      </c>
      <c r="C541" t="s">
        <v>694</v>
      </c>
      <c r="D541" t="s">
        <v>695</v>
      </c>
    </row>
    <row r="542" spans="1:4">
      <c r="A542">
        <v>541</v>
      </c>
      <c r="B542" t="s">
        <v>38</v>
      </c>
      <c r="C542" t="s">
        <v>694</v>
      </c>
      <c r="D542" t="s">
        <v>695</v>
      </c>
    </row>
    <row r="543" spans="1:4">
      <c r="A543">
        <v>542</v>
      </c>
      <c r="B543" t="s">
        <v>51</v>
      </c>
      <c r="C543" t="s">
        <v>694</v>
      </c>
      <c r="D543" t="s">
        <v>695</v>
      </c>
    </row>
    <row r="544" spans="1:4">
      <c r="A544">
        <v>543</v>
      </c>
      <c r="B544" t="s">
        <v>47</v>
      </c>
      <c r="C544" t="s">
        <v>694</v>
      </c>
      <c r="D544" t="s">
        <v>695</v>
      </c>
    </row>
    <row r="545" spans="1:4">
      <c r="A545">
        <v>544</v>
      </c>
      <c r="B545" t="s">
        <v>47</v>
      </c>
      <c r="C545" t="s">
        <v>694</v>
      </c>
      <c r="D545" t="s">
        <v>695</v>
      </c>
    </row>
    <row r="546" spans="1:4">
      <c r="A546">
        <v>545</v>
      </c>
      <c r="B546" t="s">
        <v>25</v>
      </c>
      <c r="C546" t="s">
        <v>694</v>
      </c>
      <c r="D546" t="s">
        <v>695</v>
      </c>
    </row>
    <row r="547" spans="1:4">
      <c r="A547">
        <v>546</v>
      </c>
      <c r="B547" t="s">
        <v>47</v>
      </c>
      <c r="C547" t="s">
        <v>694</v>
      </c>
      <c r="D547" t="s">
        <v>695</v>
      </c>
    </row>
    <row r="548" spans="1:4">
      <c r="A548">
        <v>547</v>
      </c>
      <c r="B548" t="s">
        <v>47</v>
      </c>
      <c r="C548" t="s">
        <v>694</v>
      </c>
      <c r="D548" t="s">
        <v>695</v>
      </c>
    </row>
    <row r="549" spans="1:4">
      <c r="A549">
        <v>548</v>
      </c>
      <c r="B549" t="s">
        <v>47</v>
      </c>
      <c r="C549" t="s">
        <v>694</v>
      </c>
      <c r="D549" t="s">
        <v>695</v>
      </c>
    </row>
    <row r="550" spans="1:4">
      <c r="A550">
        <v>549</v>
      </c>
      <c r="B550" t="s">
        <v>25</v>
      </c>
      <c r="C550" t="s">
        <v>694</v>
      </c>
      <c r="D550" t="s">
        <v>695</v>
      </c>
    </row>
    <row r="551" spans="1:4">
      <c r="A551">
        <v>550</v>
      </c>
      <c r="B551" t="s">
        <v>25</v>
      </c>
      <c r="C551" t="s">
        <v>694</v>
      </c>
      <c r="D551" t="s">
        <v>695</v>
      </c>
    </row>
    <row r="552" spans="1:4">
      <c r="A552">
        <v>551</v>
      </c>
      <c r="B552" t="s">
        <v>51</v>
      </c>
      <c r="C552" t="s">
        <v>694</v>
      </c>
      <c r="D552" t="s">
        <v>695</v>
      </c>
    </row>
    <row r="553" spans="1:4">
      <c r="A553">
        <v>552</v>
      </c>
      <c r="B553" t="s">
        <v>47</v>
      </c>
      <c r="C553" t="s">
        <v>694</v>
      </c>
      <c r="D553" t="s">
        <v>695</v>
      </c>
    </row>
    <row r="554" spans="1:4">
      <c r="A554">
        <v>553</v>
      </c>
      <c r="B554" t="s">
        <v>25</v>
      </c>
      <c r="C554" t="s">
        <v>694</v>
      </c>
      <c r="D554" t="s">
        <v>695</v>
      </c>
    </row>
    <row r="555" spans="1:4">
      <c r="A555">
        <v>554</v>
      </c>
      <c r="B555" t="s">
        <v>38</v>
      </c>
      <c r="C555" t="s">
        <v>694</v>
      </c>
      <c r="D555" t="s">
        <v>695</v>
      </c>
    </row>
    <row r="556" spans="1:4">
      <c r="A556">
        <v>555</v>
      </c>
      <c r="B556" t="s">
        <v>45</v>
      </c>
      <c r="C556" t="s">
        <v>694</v>
      </c>
      <c r="D556" t="s">
        <v>695</v>
      </c>
    </row>
    <row r="557" spans="1:4">
      <c r="A557">
        <v>556</v>
      </c>
      <c r="B557" t="s">
        <v>33</v>
      </c>
      <c r="C557" t="s">
        <v>694</v>
      </c>
      <c r="D557" t="s">
        <v>695</v>
      </c>
    </row>
    <row r="558" spans="1:4">
      <c r="A558">
        <v>557</v>
      </c>
      <c r="B558" t="s">
        <v>38</v>
      </c>
      <c r="C558" t="s">
        <v>694</v>
      </c>
      <c r="D558" t="s">
        <v>695</v>
      </c>
    </row>
    <row r="559" spans="1:4">
      <c r="A559">
        <v>558</v>
      </c>
      <c r="B559" t="s">
        <v>51</v>
      </c>
      <c r="C559" t="s">
        <v>694</v>
      </c>
      <c r="D559" t="s">
        <v>695</v>
      </c>
    </row>
    <row r="560" spans="1:4">
      <c r="A560">
        <v>559</v>
      </c>
      <c r="B560" t="s">
        <v>47</v>
      </c>
      <c r="C560" t="s">
        <v>694</v>
      </c>
      <c r="D560" t="s">
        <v>695</v>
      </c>
    </row>
    <row r="561" spans="1:4">
      <c r="A561">
        <v>560</v>
      </c>
      <c r="B561" t="s">
        <v>47</v>
      </c>
      <c r="C561" t="s">
        <v>694</v>
      </c>
      <c r="D561" t="s">
        <v>695</v>
      </c>
    </row>
    <row r="562" spans="1:4">
      <c r="A562">
        <v>561</v>
      </c>
      <c r="B562" t="s">
        <v>25</v>
      </c>
      <c r="C562" t="s">
        <v>694</v>
      </c>
      <c r="D562" t="s">
        <v>695</v>
      </c>
    </row>
    <row r="563" spans="1:4">
      <c r="A563">
        <v>562</v>
      </c>
      <c r="B563" t="s">
        <v>47</v>
      </c>
      <c r="C563" t="s">
        <v>694</v>
      </c>
      <c r="D563" t="s">
        <v>695</v>
      </c>
    </row>
    <row r="564" spans="1:4">
      <c r="A564">
        <v>563</v>
      </c>
      <c r="B564" t="s">
        <v>50</v>
      </c>
      <c r="C564" t="s">
        <v>694</v>
      </c>
      <c r="D564" t="s">
        <v>695</v>
      </c>
    </row>
    <row r="565" spans="1:4">
      <c r="A565">
        <v>564</v>
      </c>
      <c r="B565" t="s">
        <v>25</v>
      </c>
      <c r="C565" t="s">
        <v>694</v>
      </c>
      <c r="D565" t="s">
        <v>695</v>
      </c>
    </row>
    <row r="566" spans="1:4">
      <c r="A566">
        <v>565</v>
      </c>
      <c r="B566" t="s">
        <v>47</v>
      </c>
      <c r="C566" t="s">
        <v>694</v>
      </c>
      <c r="D566" t="s">
        <v>695</v>
      </c>
    </row>
    <row r="567" spans="1:4">
      <c r="A567">
        <v>566</v>
      </c>
      <c r="B567" t="s">
        <v>39</v>
      </c>
      <c r="C567" t="s">
        <v>694</v>
      </c>
      <c r="D567" t="s">
        <v>695</v>
      </c>
    </row>
    <row r="568" spans="1:4">
      <c r="A568">
        <v>567</v>
      </c>
      <c r="B568" t="s">
        <v>25</v>
      </c>
      <c r="C568" t="s">
        <v>694</v>
      </c>
      <c r="D568" t="s">
        <v>695</v>
      </c>
    </row>
    <row r="569" spans="1:4">
      <c r="A569">
        <v>568</v>
      </c>
      <c r="B569" t="s">
        <v>28</v>
      </c>
      <c r="C569" t="s">
        <v>694</v>
      </c>
      <c r="D569" t="s">
        <v>695</v>
      </c>
    </row>
    <row r="570" spans="1:4">
      <c r="A570">
        <v>569</v>
      </c>
      <c r="B570" t="s">
        <v>25</v>
      </c>
      <c r="C570" t="s">
        <v>694</v>
      </c>
      <c r="D570" t="s">
        <v>695</v>
      </c>
    </row>
    <row r="571" spans="1:4">
      <c r="A571">
        <v>570</v>
      </c>
      <c r="B571" t="s">
        <v>51</v>
      </c>
      <c r="C571" t="s">
        <v>694</v>
      </c>
      <c r="D571" t="s">
        <v>695</v>
      </c>
    </row>
    <row r="572" spans="1:4">
      <c r="A572">
        <v>571</v>
      </c>
      <c r="B572" t="s">
        <v>47</v>
      </c>
      <c r="C572" t="s">
        <v>694</v>
      </c>
      <c r="D572" t="s">
        <v>695</v>
      </c>
    </row>
    <row r="573" spans="1:4">
      <c r="A573">
        <v>572</v>
      </c>
      <c r="B573" t="s">
        <v>47</v>
      </c>
      <c r="C573" t="s">
        <v>694</v>
      </c>
      <c r="D573" t="s">
        <v>695</v>
      </c>
    </row>
    <row r="574" spans="1:4">
      <c r="A574">
        <v>573</v>
      </c>
      <c r="B574" t="s">
        <v>47</v>
      </c>
      <c r="C574" t="s">
        <v>694</v>
      </c>
      <c r="D574" t="s">
        <v>695</v>
      </c>
    </row>
    <row r="575" spans="1:4">
      <c r="A575">
        <v>574</v>
      </c>
      <c r="B575" t="s">
        <v>47</v>
      </c>
      <c r="C575" t="s">
        <v>694</v>
      </c>
      <c r="D575" t="s">
        <v>695</v>
      </c>
    </row>
    <row r="576" spans="1:4">
      <c r="A576">
        <v>575</v>
      </c>
      <c r="B576" t="s">
        <v>47</v>
      </c>
      <c r="C576" t="s">
        <v>694</v>
      </c>
      <c r="D576" t="s">
        <v>695</v>
      </c>
    </row>
    <row r="577" spans="1:4">
      <c r="A577">
        <v>576</v>
      </c>
      <c r="B577" t="s">
        <v>47</v>
      </c>
      <c r="C577" t="s">
        <v>694</v>
      </c>
      <c r="D577" t="s">
        <v>695</v>
      </c>
    </row>
    <row r="578" spans="1:4">
      <c r="A578">
        <v>577</v>
      </c>
      <c r="B578" t="s">
        <v>50</v>
      </c>
      <c r="C578" t="s">
        <v>694</v>
      </c>
      <c r="D578" t="s">
        <v>695</v>
      </c>
    </row>
    <row r="579" spans="1:4">
      <c r="A579">
        <v>578</v>
      </c>
      <c r="B579" t="s">
        <v>38</v>
      </c>
      <c r="C579" t="s">
        <v>694</v>
      </c>
      <c r="D579" t="s">
        <v>695</v>
      </c>
    </row>
    <row r="580" spans="1:4">
      <c r="A580">
        <v>579</v>
      </c>
      <c r="B580" t="s">
        <v>25</v>
      </c>
      <c r="C580" t="s">
        <v>694</v>
      </c>
      <c r="D580" t="s">
        <v>695</v>
      </c>
    </row>
    <row r="581" spans="1:4">
      <c r="A581">
        <v>580</v>
      </c>
      <c r="B581" t="s">
        <v>50</v>
      </c>
      <c r="C581" t="s">
        <v>694</v>
      </c>
      <c r="D581" t="s">
        <v>695</v>
      </c>
    </row>
    <row r="582" spans="1:4">
      <c r="A582">
        <v>581</v>
      </c>
      <c r="B582" t="s">
        <v>25</v>
      </c>
      <c r="C582" t="s">
        <v>694</v>
      </c>
      <c r="D582" t="s">
        <v>695</v>
      </c>
    </row>
    <row r="583" spans="1:4">
      <c r="A583">
        <v>582</v>
      </c>
      <c r="B583" t="s">
        <v>50</v>
      </c>
      <c r="C583" t="s">
        <v>694</v>
      </c>
      <c r="D583" t="s">
        <v>695</v>
      </c>
    </row>
    <row r="584" spans="1:4">
      <c r="A584">
        <v>583</v>
      </c>
      <c r="B584" t="s">
        <v>25</v>
      </c>
      <c r="C584" t="s">
        <v>694</v>
      </c>
      <c r="D584" t="s">
        <v>695</v>
      </c>
    </row>
    <row r="585" spans="1:4">
      <c r="A585">
        <v>584</v>
      </c>
      <c r="B585" t="s">
        <v>25</v>
      </c>
      <c r="C585" t="s">
        <v>694</v>
      </c>
      <c r="D585" t="s">
        <v>695</v>
      </c>
    </row>
    <row r="586" spans="1:4">
      <c r="A586">
        <v>585</v>
      </c>
      <c r="B586" t="s">
        <v>49</v>
      </c>
      <c r="C586" t="s">
        <v>694</v>
      </c>
      <c r="D586" t="s">
        <v>695</v>
      </c>
    </row>
    <row r="587" spans="1:4">
      <c r="A587">
        <v>586</v>
      </c>
      <c r="B587" t="s">
        <v>25</v>
      </c>
      <c r="C587" t="s">
        <v>694</v>
      </c>
      <c r="D587" t="s">
        <v>695</v>
      </c>
    </row>
    <row r="588" spans="1:4">
      <c r="A588">
        <v>587</v>
      </c>
      <c r="B588" t="s">
        <v>51</v>
      </c>
      <c r="C588" t="s">
        <v>694</v>
      </c>
      <c r="D588" t="s">
        <v>695</v>
      </c>
    </row>
    <row r="589" spans="1:4">
      <c r="A589">
        <v>588</v>
      </c>
      <c r="B589" t="s">
        <v>25</v>
      </c>
      <c r="C589" t="s">
        <v>694</v>
      </c>
      <c r="D589" t="s">
        <v>695</v>
      </c>
    </row>
    <row r="590" spans="1:4">
      <c r="A590">
        <v>589</v>
      </c>
      <c r="B590" t="s">
        <v>43</v>
      </c>
      <c r="C590" t="s">
        <v>694</v>
      </c>
      <c r="D590" t="s">
        <v>695</v>
      </c>
    </row>
    <row r="591" spans="1:4">
      <c r="A591">
        <v>590</v>
      </c>
      <c r="B591" t="s">
        <v>51</v>
      </c>
      <c r="C591" t="s">
        <v>694</v>
      </c>
      <c r="D591" t="s">
        <v>695</v>
      </c>
    </row>
    <row r="592" spans="1:4">
      <c r="A592">
        <v>591</v>
      </c>
      <c r="B592" t="s">
        <v>50</v>
      </c>
      <c r="C592" t="s">
        <v>694</v>
      </c>
      <c r="D592" t="s">
        <v>695</v>
      </c>
    </row>
    <row r="593" spans="1:4">
      <c r="A593">
        <v>592</v>
      </c>
      <c r="B593" t="s">
        <v>50</v>
      </c>
      <c r="C593" t="s">
        <v>694</v>
      </c>
      <c r="D593" t="s">
        <v>695</v>
      </c>
    </row>
    <row r="594" spans="1:4">
      <c r="A594">
        <v>593</v>
      </c>
      <c r="B594" t="s">
        <v>25</v>
      </c>
      <c r="C594" t="s">
        <v>694</v>
      </c>
      <c r="D594" t="s">
        <v>695</v>
      </c>
    </row>
    <row r="595" spans="1:4">
      <c r="A595">
        <v>594</v>
      </c>
      <c r="B595" t="s">
        <v>25</v>
      </c>
      <c r="C595" t="s">
        <v>694</v>
      </c>
      <c r="D595" t="s">
        <v>695</v>
      </c>
    </row>
    <row r="596" spans="1:4">
      <c r="A596">
        <v>595</v>
      </c>
      <c r="B596" t="s">
        <v>25</v>
      </c>
      <c r="C596" t="s">
        <v>694</v>
      </c>
      <c r="D596" t="s">
        <v>695</v>
      </c>
    </row>
    <row r="597" spans="1:4">
      <c r="A597">
        <v>596</v>
      </c>
      <c r="B597" t="s">
        <v>25</v>
      </c>
      <c r="C597" t="s">
        <v>694</v>
      </c>
      <c r="D597" t="s">
        <v>695</v>
      </c>
    </row>
    <row r="598" spans="1:4">
      <c r="A598">
        <v>597</v>
      </c>
      <c r="B598" t="s">
        <v>25</v>
      </c>
      <c r="C598" t="s">
        <v>694</v>
      </c>
      <c r="D598" t="s">
        <v>695</v>
      </c>
    </row>
    <row r="599" spans="1:4">
      <c r="A599">
        <v>598</v>
      </c>
      <c r="B599" t="s">
        <v>39</v>
      </c>
      <c r="C599" t="s">
        <v>694</v>
      </c>
      <c r="D599" t="s">
        <v>695</v>
      </c>
    </row>
    <row r="600" spans="1:4">
      <c r="A600">
        <v>599</v>
      </c>
      <c r="B600" t="s">
        <v>50</v>
      </c>
      <c r="C600" t="s">
        <v>694</v>
      </c>
      <c r="D600" t="s">
        <v>695</v>
      </c>
    </row>
    <row r="601" spans="1:4">
      <c r="A601">
        <v>600</v>
      </c>
      <c r="B601" t="s">
        <v>25</v>
      </c>
      <c r="C601" t="s">
        <v>694</v>
      </c>
      <c r="D601" t="s">
        <v>695</v>
      </c>
    </row>
    <row r="602" spans="1:4">
      <c r="A602">
        <v>601</v>
      </c>
      <c r="B602" t="s">
        <v>25</v>
      </c>
      <c r="C602" t="s">
        <v>694</v>
      </c>
      <c r="D602" t="s">
        <v>695</v>
      </c>
    </row>
    <row r="603" spans="1:4">
      <c r="A603">
        <v>602</v>
      </c>
      <c r="B603" t="s">
        <v>25</v>
      </c>
      <c r="C603" t="s">
        <v>694</v>
      </c>
      <c r="D603" t="s">
        <v>695</v>
      </c>
    </row>
    <row r="604" spans="1:4">
      <c r="A604">
        <v>603</v>
      </c>
      <c r="B604" t="s">
        <v>25</v>
      </c>
      <c r="C604" t="s">
        <v>694</v>
      </c>
      <c r="D604" t="s">
        <v>695</v>
      </c>
    </row>
    <row r="605" spans="1:4">
      <c r="A605">
        <v>604</v>
      </c>
      <c r="B605" t="s">
        <v>25</v>
      </c>
      <c r="C605" t="s">
        <v>694</v>
      </c>
      <c r="D605" t="s">
        <v>695</v>
      </c>
    </row>
    <row r="606" spans="1:4">
      <c r="A606">
        <v>605</v>
      </c>
      <c r="B606" t="s">
        <v>25</v>
      </c>
      <c r="C606" t="s">
        <v>694</v>
      </c>
      <c r="D606" t="s">
        <v>695</v>
      </c>
    </row>
    <row r="607" spans="1:4">
      <c r="A607">
        <v>606</v>
      </c>
      <c r="B607" t="s">
        <v>39</v>
      </c>
      <c r="C607" t="s">
        <v>694</v>
      </c>
      <c r="D607" t="s">
        <v>695</v>
      </c>
    </row>
    <row r="608" spans="1:4">
      <c r="A608">
        <v>607</v>
      </c>
      <c r="B608" t="s">
        <v>25</v>
      </c>
      <c r="C608" t="s">
        <v>694</v>
      </c>
      <c r="D608" t="s">
        <v>695</v>
      </c>
    </row>
    <row r="609" spans="1:4">
      <c r="A609">
        <v>608</v>
      </c>
      <c r="B609" t="s">
        <v>51</v>
      </c>
      <c r="C609" t="s">
        <v>694</v>
      </c>
      <c r="D609" t="s">
        <v>695</v>
      </c>
    </row>
    <row r="610" spans="1:4">
      <c r="A610">
        <v>609</v>
      </c>
      <c r="B610" t="s">
        <v>25</v>
      </c>
      <c r="C610" t="s">
        <v>694</v>
      </c>
      <c r="D610" t="s">
        <v>695</v>
      </c>
    </row>
    <row r="611" spans="1:4">
      <c r="A611">
        <v>610</v>
      </c>
      <c r="B611" t="s">
        <v>45</v>
      </c>
      <c r="C611" t="s">
        <v>694</v>
      </c>
      <c r="D611" t="s">
        <v>695</v>
      </c>
    </row>
    <row r="612" spans="1:4">
      <c r="A612">
        <v>611</v>
      </c>
      <c r="B612" t="s">
        <v>38</v>
      </c>
      <c r="C612" t="s">
        <v>694</v>
      </c>
      <c r="D612" t="s">
        <v>695</v>
      </c>
    </row>
    <row r="613" spans="1:4">
      <c r="A613">
        <v>612</v>
      </c>
      <c r="B613" t="s">
        <v>25</v>
      </c>
      <c r="C613" t="s">
        <v>694</v>
      </c>
      <c r="D613" t="s">
        <v>695</v>
      </c>
    </row>
    <row r="614" spans="1:4">
      <c r="A614">
        <v>613</v>
      </c>
      <c r="B614" t="s">
        <v>25</v>
      </c>
      <c r="C614" t="s">
        <v>694</v>
      </c>
      <c r="D614" t="s">
        <v>695</v>
      </c>
    </row>
    <row r="615" spans="1:4">
      <c r="A615">
        <v>614</v>
      </c>
      <c r="B615" t="s">
        <v>50</v>
      </c>
      <c r="C615" t="s">
        <v>694</v>
      </c>
      <c r="D615" t="s">
        <v>695</v>
      </c>
    </row>
    <row r="616" spans="1:4">
      <c r="A616">
        <v>615</v>
      </c>
      <c r="B616" t="s">
        <v>51</v>
      </c>
      <c r="C616" t="s">
        <v>694</v>
      </c>
      <c r="D616" t="s">
        <v>695</v>
      </c>
    </row>
    <row r="617" spans="1:4">
      <c r="A617">
        <v>616</v>
      </c>
      <c r="B617" t="s">
        <v>25</v>
      </c>
      <c r="C617" t="s">
        <v>694</v>
      </c>
      <c r="D617" t="s">
        <v>695</v>
      </c>
    </row>
    <row r="618" spans="1:4">
      <c r="A618">
        <v>617</v>
      </c>
      <c r="B618" t="s">
        <v>38</v>
      </c>
      <c r="C618" t="s">
        <v>694</v>
      </c>
      <c r="D618" t="s">
        <v>695</v>
      </c>
    </row>
    <row r="619" spans="1:4">
      <c r="A619">
        <v>618</v>
      </c>
      <c r="B619" t="s">
        <v>25</v>
      </c>
      <c r="C619" t="s">
        <v>694</v>
      </c>
      <c r="D619" t="s">
        <v>695</v>
      </c>
    </row>
    <row r="620" spans="1:4">
      <c r="A620">
        <v>619</v>
      </c>
      <c r="B620" t="s">
        <v>25</v>
      </c>
      <c r="C620" t="s">
        <v>694</v>
      </c>
      <c r="D620" t="s">
        <v>695</v>
      </c>
    </row>
    <row r="621" spans="1:4">
      <c r="A621">
        <v>620</v>
      </c>
      <c r="B621" t="s">
        <v>25</v>
      </c>
      <c r="C621" t="s">
        <v>694</v>
      </c>
      <c r="D621" t="s">
        <v>695</v>
      </c>
    </row>
    <row r="622" spans="1:4">
      <c r="A622">
        <v>621</v>
      </c>
      <c r="B622" t="s">
        <v>25</v>
      </c>
      <c r="C622" t="s">
        <v>694</v>
      </c>
      <c r="D622" t="s">
        <v>695</v>
      </c>
    </row>
    <row r="623" spans="1:4">
      <c r="A623">
        <v>622</v>
      </c>
      <c r="B623" t="s">
        <v>50</v>
      </c>
      <c r="C623" t="s">
        <v>694</v>
      </c>
      <c r="D623" t="s">
        <v>695</v>
      </c>
    </row>
    <row r="624" spans="1:4">
      <c r="A624">
        <v>623</v>
      </c>
      <c r="B624" t="s">
        <v>51</v>
      </c>
      <c r="C624" t="s">
        <v>694</v>
      </c>
      <c r="D624" t="s">
        <v>695</v>
      </c>
    </row>
    <row r="625" spans="1:4">
      <c r="A625">
        <v>624</v>
      </c>
      <c r="B625" t="s">
        <v>51</v>
      </c>
      <c r="C625" t="s">
        <v>694</v>
      </c>
      <c r="D625" t="s">
        <v>695</v>
      </c>
    </row>
    <row r="626" spans="1:4">
      <c r="A626">
        <v>625</v>
      </c>
      <c r="B626" t="s">
        <v>51</v>
      </c>
      <c r="C626" t="s">
        <v>694</v>
      </c>
      <c r="D626" t="s">
        <v>695</v>
      </c>
    </row>
    <row r="627" spans="1:4">
      <c r="A627">
        <v>626</v>
      </c>
      <c r="B627" t="s">
        <v>25</v>
      </c>
      <c r="C627" t="s">
        <v>694</v>
      </c>
      <c r="D627" t="s">
        <v>695</v>
      </c>
    </row>
    <row r="628" spans="1:4">
      <c r="A628">
        <v>627</v>
      </c>
      <c r="B628" t="s">
        <v>25</v>
      </c>
      <c r="C628" t="s">
        <v>694</v>
      </c>
      <c r="D628" t="s">
        <v>695</v>
      </c>
    </row>
    <row r="629" spans="1:4">
      <c r="A629">
        <v>628</v>
      </c>
      <c r="B629" t="s">
        <v>25</v>
      </c>
      <c r="C629" t="s">
        <v>694</v>
      </c>
      <c r="D629" t="s">
        <v>695</v>
      </c>
    </row>
    <row r="630" spans="1:4">
      <c r="A630">
        <v>629</v>
      </c>
      <c r="B630" t="s">
        <v>51</v>
      </c>
      <c r="C630" t="s">
        <v>694</v>
      </c>
      <c r="D630" t="s">
        <v>695</v>
      </c>
    </row>
    <row r="631" spans="1:4">
      <c r="A631">
        <v>630</v>
      </c>
      <c r="B631" t="s">
        <v>51</v>
      </c>
      <c r="C631" t="s">
        <v>694</v>
      </c>
      <c r="D631" t="s">
        <v>695</v>
      </c>
    </row>
    <row r="632" spans="1:4">
      <c r="A632">
        <v>631</v>
      </c>
      <c r="B632" t="s">
        <v>25</v>
      </c>
      <c r="C632" t="s">
        <v>694</v>
      </c>
      <c r="D632" t="s">
        <v>695</v>
      </c>
    </row>
    <row r="633" spans="1:4">
      <c r="A633">
        <v>632</v>
      </c>
      <c r="B633" t="s">
        <v>25</v>
      </c>
      <c r="C633" t="s">
        <v>694</v>
      </c>
      <c r="D633" t="s">
        <v>695</v>
      </c>
    </row>
    <row r="634" spans="1:4">
      <c r="A634">
        <v>633</v>
      </c>
      <c r="B634" t="s">
        <v>25</v>
      </c>
      <c r="C634" t="s">
        <v>694</v>
      </c>
      <c r="D634" t="s">
        <v>695</v>
      </c>
    </row>
    <row r="635" spans="1:4">
      <c r="A635">
        <v>634</v>
      </c>
      <c r="B635" t="s">
        <v>57</v>
      </c>
      <c r="C635" t="s">
        <v>694</v>
      </c>
      <c r="D635" t="s">
        <v>695</v>
      </c>
    </row>
    <row r="636" spans="1:4">
      <c r="A636">
        <v>635</v>
      </c>
      <c r="B636" t="s">
        <v>28</v>
      </c>
      <c r="C636" t="s">
        <v>694</v>
      </c>
      <c r="D636" t="s">
        <v>695</v>
      </c>
    </row>
    <row r="637" spans="1:4">
      <c r="A637">
        <v>636</v>
      </c>
      <c r="B637" t="s">
        <v>45</v>
      </c>
      <c r="C637" t="s">
        <v>694</v>
      </c>
      <c r="D637" t="s">
        <v>695</v>
      </c>
    </row>
    <row r="638" spans="1:4">
      <c r="A638">
        <v>637</v>
      </c>
      <c r="B638" t="s">
        <v>45</v>
      </c>
      <c r="C638" t="s">
        <v>694</v>
      </c>
      <c r="D638" t="s">
        <v>695</v>
      </c>
    </row>
    <row r="639" spans="1:4">
      <c r="A639">
        <v>638</v>
      </c>
      <c r="B639" t="s">
        <v>43</v>
      </c>
      <c r="C639" t="s">
        <v>694</v>
      </c>
      <c r="D639" t="s">
        <v>695</v>
      </c>
    </row>
    <row r="640" spans="1:4">
      <c r="A640">
        <v>639</v>
      </c>
      <c r="B640" t="s">
        <v>28</v>
      </c>
      <c r="C640" t="s">
        <v>694</v>
      </c>
      <c r="D640" t="s">
        <v>695</v>
      </c>
    </row>
    <row r="641" spans="1:4">
      <c r="A641">
        <v>640</v>
      </c>
      <c r="B641" t="s">
        <v>58</v>
      </c>
      <c r="C641" t="s">
        <v>694</v>
      </c>
      <c r="D641" t="s">
        <v>695</v>
      </c>
    </row>
    <row r="642" spans="1:4">
      <c r="A642">
        <v>641</v>
      </c>
      <c r="B642" t="s">
        <v>25</v>
      </c>
      <c r="C642" t="s">
        <v>694</v>
      </c>
      <c r="D642" t="s">
        <v>695</v>
      </c>
    </row>
    <row r="643" spans="1:4">
      <c r="A643">
        <v>642</v>
      </c>
      <c r="B643" t="s">
        <v>25</v>
      </c>
      <c r="C643" t="s">
        <v>694</v>
      </c>
      <c r="D643" t="s">
        <v>695</v>
      </c>
    </row>
    <row r="644" spans="1:4">
      <c r="A644">
        <v>643</v>
      </c>
      <c r="B644" t="s">
        <v>25</v>
      </c>
      <c r="C644" t="s">
        <v>694</v>
      </c>
      <c r="D644" t="s">
        <v>695</v>
      </c>
    </row>
    <row r="645" spans="1:4">
      <c r="A645">
        <v>644</v>
      </c>
      <c r="B645" t="s">
        <v>25</v>
      </c>
      <c r="C645" t="s">
        <v>694</v>
      </c>
      <c r="D645" t="s">
        <v>695</v>
      </c>
    </row>
    <row r="646" spans="1:4">
      <c r="A646">
        <v>645</v>
      </c>
      <c r="B646" t="s">
        <v>25</v>
      </c>
      <c r="C646" t="s">
        <v>694</v>
      </c>
      <c r="D646" t="s">
        <v>695</v>
      </c>
    </row>
    <row r="647" spans="1:4">
      <c r="A647">
        <v>646</v>
      </c>
      <c r="B647" t="s">
        <v>25</v>
      </c>
      <c r="C647" t="s">
        <v>694</v>
      </c>
      <c r="D647" t="s">
        <v>695</v>
      </c>
    </row>
    <row r="648" spans="1:4">
      <c r="A648">
        <v>647</v>
      </c>
      <c r="B648" t="s">
        <v>25</v>
      </c>
      <c r="C648" t="s">
        <v>694</v>
      </c>
      <c r="D648" t="s">
        <v>695</v>
      </c>
    </row>
    <row r="649" spans="1:4">
      <c r="A649">
        <v>648</v>
      </c>
      <c r="B649" t="s">
        <v>25</v>
      </c>
      <c r="C649" t="s">
        <v>694</v>
      </c>
      <c r="D649" t="s">
        <v>695</v>
      </c>
    </row>
    <row r="650" spans="1:4">
      <c r="A650">
        <v>649</v>
      </c>
      <c r="B650" t="s">
        <v>25</v>
      </c>
      <c r="C650" t="s">
        <v>694</v>
      </c>
      <c r="D650" t="s">
        <v>695</v>
      </c>
    </row>
    <row r="651" spans="1:4">
      <c r="A651">
        <v>650</v>
      </c>
      <c r="B651" t="s">
        <v>57</v>
      </c>
      <c r="C651" t="s">
        <v>694</v>
      </c>
      <c r="D651" t="s">
        <v>695</v>
      </c>
    </row>
    <row r="652" spans="1:4">
      <c r="A652">
        <v>651</v>
      </c>
      <c r="B652" t="s">
        <v>49</v>
      </c>
      <c r="C652" t="s">
        <v>694</v>
      </c>
      <c r="D652" t="s">
        <v>695</v>
      </c>
    </row>
    <row r="653" spans="1:4">
      <c r="A653">
        <v>652</v>
      </c>
      <c r="B653" t="s">
        <v>49</v>
      </c>
      <c r="C653" t="s">
        <v>694</v>
      </c>
      <c r="D653" t="s">
        <v>695</v>
      </c>
    </row>
    <row r="654" spans="1:4">
      <c r="A654">
        <v>653</v>
      </c>
      <c r="B654" t="s">
        <v>25</v>
      </c>
      <c r="C654" t="s">
        <v>694</v>
      </c>
      <c r="D654" t="s">
        <v>695</v>
      </c>
    </row>
    <row r="655" spans="1:4">
      <c r="A655">
        <v>654</v>
      </c>
      <c r="B655" t="s">
        <v>25</v>
      </c>
      <c r="C655" t="s">
        <v>694</v>
      </c>
      <c r="D655" t="s">
        <v>695</v>
      </c>
    </row>
    <row r="656" spans="1:4">
      <c r="A656">
        <v>655</v>
      </c>
      <c r="B656" t="s">
        <v>50</v>
      </c>
      <c r="C656" t="s">
        <v>694</v>
      </c>
      <c r="D656" t="s">
        <v>695</v>
      </c>
    </row>
    <row r="657" spans="1:4">
      <c r="A657">
        <v>656</v>
      </c>
      <c r="B657" t="s">
        <v>25</v>
      </c>
      <c r="C657" t="s">
        <v>694</v>
      </c>
      <c r="D657" t="s">
        <v>695</v>
      </c>
    </row>
    <row r="658" spans="1:4">
      <c r="A658">
        <v>657</v>
      </c>
      <c r="B658" t="s">
        <v>25</v>
      </c>
      <c r="C658" t="s">
        <v>694</v>
      </c>
      <c r="D658" t="s">
        <v>695</v>
      </c>
    </row>
    <row r="659" spans="1:4">
      <c r="A659">
        <v>658</v>
      </c>
      <c r="B659" t="s">
        <v>50</v>
      </c>
      <c r="C659" t="s">
        <v>694</v>
      </c>
      <c r="D659" t="s">
        <v>695</v>
      </c>
    </row>
    <row r="660" spans="1:4">
      <c r="A660">
        <v>659</v>
      </c>
      <c r="B660" t="s">
        <v>50</v>
      </c>
      <c r="C660" t="s">
        <v>694</v>
      </c>
      <c r="D660" t="s">
        <v>695</v>
      </c>
    </row>
    <row r="661" spans="1:4">
      <c r="A661">
        <v>660</v>
      </c>
      <c r="B661" t="s">
        <v>25</v>
      </c>
      <c r="C661" t="s">
        <v>694</v>
      </c>
      <c r="D661" t="s">
        <v>695</v>
      </c>
    </row>
    <row r="662" spans="1:4">
      <c r="A662">
        <v>661</v>
      </c>
      <c r="B662" t="s">
        <v>25</v>
      </c>
      <c r="C662" t="s">
        <v>694</v>
      </c>
      <c r="D662" t="s">
        <v>695</v>
      </c>
    </row>
    <row r="663" spans="1:4">
      <c r="A663">
        <v>662</v>
      </c>
      <c r="B663" t="s">
        <v>38</v>
      </c>
      <c r="C663" t="s">
        <v>694</v>
      </c>
      <c r="D663" t="s">
        <v>695</v>
      </c>
    </row>
    <row r="664" spans="1:4">
      <c r="A664">
        <v>663</v>
      </c>
      <c r="B664" t="s">
        <v>49</v>
      </c>
      <c r="C664" t="s">
        <v>694</v>
      </c>
      <c r="D664" t="s">
        <v>695</v>
      </c>
    </row>
    <row r="665" spans="1:4">
      <c r="A665">
        <v>664</v>
      </c>
      <c r="B665" t="s">
        <v>25</v>
      </c>
      <c r="C665" t="s">
        <v>694</v>
      </c>
      <c r="D665" t="s">
        <v>695</v>
      </c>
    </row>
    <row r="666" spans="1:4">
      <c r="A666">
        <v>665</v>
      </c>
      <c r="B666" t="s">
        <v>25</v>
      </c>
      <c r="C666" t="s">
        <v>694</v>
      </c>
      <c r="D666" t="s">
        <v>695</v>
      </c>
    </row>
    <row r="667" spans="1:4">
      <c r="A667">
        <v>666</v>
      </c>
      <c r="B667" t="s">
        <v>50</v>
      </c>
      <c r="C667" t="s">
        <v>694</v>
      </c>
      <c r="D667" t="s">
        <v>695</v>
      </c>
    </row>
    <row r="668" spans="1:4">
      <c r="A668">
        <v>667</v>
      </c>
      <c r="B668" t="s">
        <v>49</v>
      </c>
      <c r="C668" t="s">
        <v>694</v>
      </c>
      <c r="D668" t="s">
        <v>695</v>
      </c>
    </row>
    <row r="669" spans="1:4">
      <c r="A669">
        <v>668</v>
      </c>
      <c r="B669" t="s">
        <v>49</v>
      </c>
      <c r="C669" t="s">
        <v>694</v>
      </c>
      <c r="D669" t="s">
        <v>695</v>
      </c>
    </row>
    <row r="670" spans="1:4">
      <c r="A670">
        <v>669</v>
      </c>
      <c r="B670" t="s">
        <v>25</v>
      </c>
      <c r="C670" t="s">
        <v>694</v>
      </c>
      <c r="D670" t="s">
        <v>695</v>
      </c>
    </row>
    <row r="671" spans="1:4">
      <c r="A671">
        <v>670</v>
      </c>
      <c r="B671" t="s">
        <v>25</v>
      </c>
      <c r="C671" t="s">
        <v>694</v>
      </c>
      <c r="D671" t="s">
        <v>695</v>
      </c>
    </row>
    <row r="672" spans="1:4">
      <c r="A672">
        <v>671</v>
      </c>
      <c r="B672" t="s">
        <v>49</v>
      </c>
      <c r="C672" t="s">
        <v>694</v>
      </c>
      <c r="D672" t="s">
        <v>695</v>
      </c>
    </row>
    <row r="673" spans="1:4">
      <c r="A673">
        <v>672</v>
      </c>
      <c r="B673" t="s">
        <v>49</v>
      </c>
      <c r="C673" t="s">
        <v>694</v>
      </c>
      <c r="D673" t="s">
        <v>695</v>
      </c>
    </row>
    <row r="674" spans="1:4">
      <c r="A674">
        <v>673</v>
      </c>
      <c r="B674" t="s">
        <v>49</v>
      </c>
      <c r="C674" t="s">
        <v>694</v>
      </c>
      <c r="D674" t="s">
        <v>695</v>
      </c>
    </row>
    <row r="675" spans="1:4">
      <c r="A675">
        <v>674</v>
      </c>
      <c r="B675" t="s">
        <v>25</v>
      </c>
      <c r="C675" t="s">
        <v>694</v>
      </c>
      <c r="D675" t="s">
        <v>695</v>
      </c>
    </row>
    <row r="676" spans="1:4">
      <c r="A676">
        <v>675</v>
      </c>
      <c r="B676" t="s">
        <v>49</v>
      </c>
      <c r="C676" t="s">
        <v>694</v>
      </c>
      <c r="D676" t="s">
        <v>695</v>
      </c>
    </row>
    <row r="677" spans="1:4">
      <c r="A677">
        <v>676</v>
      </c>
      <c r="B677" t="s">
        <v>25</v>
      </c>
      <c r="C677" t="s">
        <v>694</v>
      </c>
      <c r="D677" t="s">
        <v>695</v>
      </c>
    </row>
    <row r="678" spans="1:4">
      <c r="A678">
        <v>677</v>
      </c>
      <c r="B678" t="s">
        <v>50</v>
      </c>
      <c r="C678" t="s">
        <v>694</v>
      </c>
      <c r="D678" t="s">
        <v>695</v>
      </c>
    </row>
    <row r="679" spans="1:4">
      <c r="A679">
        <v>678</v>
      </c>
      <c r="B679" t="s">
        <v>49</v>
      </c>
      <c r="C679" t="s">
        <v>694</v>
      </c>
      <c r="D679" t="s">
        <v>695</v>
      </c>
    </row>
    <row r="680" spans="1:4">
      <c r="A680">
        <v>679</v>
      </c>
      <c r="B680" t="s">
        <v>49</v>
      </c>
      <c r="C680" t="s">
        <v>694</v>
      </c>
      <c r="D680" t="s">
        <v>695</v>
      </c>
    </row>
    <row r="681" spans="1:4">
      <c r="A681">
        <v>680</v>
      </c>
      <c r="B681" t="s">
        <v>39</v>
      </c>
      <c r="C681" t="s">
        <v>694</v>
      </c>
      <c r="D681" t="s">
        <v>695</v>
      </c>
    </row>
    <row r="682" spans="1:4">
      <c r="A682">
        <v>681</v>
      </c>
      <c r="B682" t="s">
        <v>25</v>
      </c>
      <c r="C682" t="s">
        <v>694</v>
      </c>
      <c r="D682" t="s">
        <v>695</v>
      </c>
    </row>
    <row r="683" spans="1:4">
      <c r="A683">
        <v>682</v>
      </c>
      <c r="B683" t="s">
        <v>25</v>
      </c>
      <c r="C683" t="s">
        <v>694</v>
      </c>
      <c r="D683" t="s">
        <v>695</v>
      </c>
    </row>
    <row r="684" spans="1:4">
      <c r="A684">
        <v>683</v>
      </c>
      <c r="B684" t="s">
        <v>25</v>
      </c>
      <c r="C684" t="s">
        <v>694</v>
      </c>
      <c r="D684" t="s">
        <v>695</v>
      </c>
    </row>
    <row r="685" spans="1:4">
      <c r="A685">
        <v>684</v>
      </c>
      <c r="B685" t="s">
        <v>25</v>
      </c>
      <c r="C685" t="s">
        <v>694</v>
      </c>
      <c r="D685" t="s">
        <v>695</v>
      </c>
    </row>
    <row r="686" spans="1:4">
      <c r="A686">
        <v>685</v>
      </c>
      <c r="B686" t="s">
        <v>25</v>
      </c>
      <c r="C686" t="s">
        <v>694</v>
      </c>
      <c r="D686" t="s">
        <v>695</v>
      </c>
    </row>
    <row r="687" spans="1:4">
      <c r="A687">
        <v>686</v>
      </c>
      <c r="B687" t="s">
        <v>25</v>
      </c>
      <c r="C687" t="s">
        <v>694</v>
      </c>
      <c r="D687" t="s">
        <v>695</v>
      </c>
    </row>
    <row r="688" spans="1:4">
      <c r="A688">
        <v>687</v>
      </c>
      <c r="B688" t="s">
        <v>25</v>
      </c>
      <c r="C688" t="s">
        <v>694</v>
      </c>
      <c r="D688" t="s">
        <v>695</v>
      </c>
    </row>
    <row r="689" spans="1:4">
      <c r="A689">
        <v>688</v>
      </c>
      <c r="B689" t="s">
        <v>25</v>
      </c>
      <c r="C689" t="s">
        <v>694</v>
      </c>
      <c r="D689" t="s">
        <v>695</v>
      </c>
    </row>
    <row r="690" spans="1:4">
      <c r="A690">
        <v>689</v>
      </c>
      <c r="B690" t="s">
        <v>25</v>
      </c>
      <c r="C690" t="s">
        <v>694</v>
      </c>
      <c r="D690" t="s">
        <v>695</v>
      </c>
    </row>
    <row r="691" spans="1:4">
      <c r="A691">
        <v>690</v>
      </c>
      <c r="B691" t="s">
        <v>25</v>
      </c>
      <c r="C691" t="s">
        <v>694</v>
      </c>
      <c r="D691" t="s">
        <v>695</v>
      </c>
    </row>
    <row r="692" spans="1:4">
      <c r="A692">
        <v>691</v>
      </c>
      <c r="B692" t="s">
        <v>25</v>
      </c>
      <c r="C692" t="s">
        <v>694</v>
      </c>
      <c r="D692" t="s">
        <v>695</v>
      </c>
    </row>
    <row r="693" spans="1:4">
      <c r="A693">
        <v>692</v>
      </c>
      <c r="B693" t="s">
        <v>25</v>
      </c>
      <c r="C693" t="s">
        <v>694</v>
      </c>
      <c r="D693" t="s">
        <v>695</v>
      </c>
    </row>
    <row r="694" spans="1:4">
      <c r="A694">
        <v>693</v>
      </c>
      <c r="B694" t="s">
        <v>25</v>
      </c>
      <c r="C694" t="s">
        <v>694</v>
      </c>
      <c r="D694" t="s">
        <v>695</v>
      </c>
    </row>
    <row r="695" spans="1:4">
      <c r="A695">
        <v>694</v>
      </c>
      <c r="B695" t="s">
        <v>25</v>
      </c>
      <c r="C695" t="s">
        <v>694</v>
      </c>
      <c r="D695" t="s">
        <v>695</v>
      </c>
    </row>
    <row r="696" spans="1:4">
      <c r="A696">
        <v>695</v>
      </c>
      <c r="B696" t="s">
        <v>25</v>
      </c>
      <c r="C696" t="s">
        <v>694</v>
      </c>
      <c r="D696" t="s">
        <v>695</v>
      </c>
    </row>
    <row r="697" spans="1:4">
      <c r="A697">
        <v>696</v>
      </c>
      <c r="B697" t="s">
        <v>25</v>
      </c>
      <c r="C697" t="s">
        <v>694</v>
      </c>
      <c r="D697" t="s">
        <v>695</v>
      </c>
    </row>
    <row r="698" spans="1:4">
      <c r="A698">
        <v>697</v>
      </c>
      <c r="B698" t="s">
        <v>50</v>
      </c>
      <c r="C698" t="s">
        <v>694</v>
      </c>
      <c r="D698" t="s">
        <v>695</v>
      </c>
    </row>
    <row r="699" spans="1:4">
      <c r="A699">
        <v>698</v>
      </c>
      <c r="B699" t="s">
        <v>25</v>
      </c>
      <c r="C699" t="s">
        <v>694</v>
      </c>
      <c r="D699" t="s">
        <v>695</v>
      </c>
    </row>
    <row r="700" spans="1:4">
      <c r="A700">
        <v>699</v>
      </c>
      <c r="B700" t="s">
        <v>25</v>
      </c>
      <c r="C700" t="s">
        <v>694</v>
      </c>
      <c r="D700" t="s">
        <v>695</v>
      </c>
    </row>
    <row r="701" spans="1:4">
      <c r="A701">
        <v>700</v>
      </c>
      <c r="B701" t="s">
        <v>25</v>
      </c>
      <c r="C701" t="s">
        <v>694</v>
      </c>
      <c r="D701" t="s">
        <v>695</v>
      </c>
    </row>
    <row r="702" spans="1:4">
      <c r="A702">
        <v>701</v>
      </c>
      <c r="B702" t="s">
        <v>25</v>
      </c>
      <c r="C702" t="s">
        <v>694</v>
      </c>
      <c r="D702" t="s">
        <v>695</v>
      </c>
    </row>
    <row r="703" spans="1:4">
      <c r="A703">
        <v>702</v>
      </c>
      <c r="B703" t="s">
        <v>25</v>
      </c>
      <c r="C703" t="s">
        <v>694</v>
      </c>
      <c r="D703" t="s">
        <v>695</v>
      </c>
    </row>
    <row r="704" spans="1:4">
      <c r="A704">
        <v>703</v>
      </c>
      <c r="B704" t="s">
        <v>25</v>
      </c>
      <c r="C704" t="s">
        <v>694</v>
      </c>
      <c r="D704" t="s">
        <v>695</v>
      </c>
    </row>
    <row r="705" spans="1:4">
      <c r="A705">
        <v>704</v>
      </c>
      <c r="B705" t="s">
        <v>28</v>
      </c>
      <c r="C705" t="s">
        <v>694</v>
      </c>
      <c r="D705" t="s">
        <v>695</v>
      </c>
    </row>
    <row r="706" spans="1:4">
      <c r="A706">
        <v>705</v>
      </c>
      <c r="B706" t="s">
        <v>50</v>
      </c>
      <c r="C706" t="s">
        <v>694</v>
      </c>
      <c r="D706" t="s">
        <v>695</v>
      </c>
    </row>
    <row r="707" spans="1:4">
      <c r="A707">
        <v>706</v>
      </c>
      <c r="B707" t="s">
        <v>25</v>
      </c>
      <c r="C707" t="s">
        <v>694</v>
      </c>
      <c r="D707" t="s">
        <v>695</v>
      </c>
    </row>
    <row r="708" spans="1:4">
      <c r="A708">
        <v>707</v>
      </c>
      <c r="B708" t="s">
        <v>25</v>
      </c>
      <c r="C708" t="s">
        <v>694</v>
      </c>
      <c r="D708" t="s">
        <v>695</v>
      </c>
    </row>
    <row r="709" spans="1:4">
      <c r="A709">
        <v>708</v>
      </c>
      <c r="B709" t="s">
        <v>25</v>
      </c>
      <c r="C709" t="s">
        <v>694</v>
      </c>
      <c r="D709" t="s">
        <v>695</v>
      </c>
    </row>
    <row r="710" spans="1:4">
      <c r="A710">
        <v>709</v>
      </c>
      <c r="B710" t="s">
        <v>25</v>
      </c>
      <c r="C710" t="s">
        <v>694</v>
      </c>
      <c r="D710" t="s">
        <v>695</v>
      </c>
    </row>
    <row r="711" spans="1:4">
      <c r="A711">
        <v>710</v>
      </c>
      <c r="B711" t="s">
        <v>25</v>
      </c>
      <c r="C711" t="s">
        <v>694</v>
      </c>
      <c r="D711" t="s">
        <v>695</v>
      </c>
    </row>
    <row r="712" spans="1:4">
      <c r="A712">
        <v>711</v>
      </c>
      <c r="B712" t="s">
        <v>25</v>
      </c>
      <c r="C712" t="s">
        <v>694</v>
      </c>
      <c r="D712" t="s">
        <v>695</v>
      </c>
    </row>
    <row r="713" spans="1:4">
      <c r="A713">
        <v>712</v>
      </c>
      <c r="B713" t="s">
        <v>39</v>
      </c>
      <c r="C713" t="s">
        <v>694</v>
      </c>
      <c r="D713" t="s">
        <v>695</v>
      </c>
    </row>
    <row r="714" spans="1:4">
      <c r="A714">
        <v>713</v>
      </c>
      <c r="B714" t="s">
        <v>39</v>
      </c>
      <c r="C714" t="s">
        <v>694</v>
      </c>
      <c r="D714" t="s">
        <v>695</v>
      </c>
    </row>
    <row r="715" spans="1:4">
      <c r="A715">
        <v>714</v>
      </c>
      <c r="B715" t="s">
        <v>25</v>
      </c>
      <c r="C715" t="s">
        <v>694</v>
      </c>
      <c r="D715" t="s">
        <v>695</v>
      </c>
    </row>
    <row r="716" spans="1:4">
      <c r="A716">
        <v>715</v>
      </c>
      <c r="B716" t="s">
        <v>25</v>
      </c>
      <c r="C716" t="s">
        <v>694</v>
      </c>
      <c r="D716" t="s">
        <v>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Summary</vt:lpstr>
      <vt:lpstr>Audit</vt:lpstr>
      <vt:lpstr>Agent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tanishka hira</cp:lastModifiedBy>
  <dcterms:created xsi:type="dcterms:W3CDTF">2026-10-09T06:08:55Z</dcterms:created>
  <dcterms:modified xsi:type="dcterms:W3CDTF">2026-10-23T14:22:59Z</dcterms:modified>
</cp:coreProperties>
</file>